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26" sheetId="1" r:id="rId5"/>
    <sheet state="visible" name="Fevereiro26" sheetId="2" r:id="rId6"/>
    <sheet state="visible" name="Março26" sheetId="3" r:id="rId7"/>
    <sheet state="visible" name="Abril26" sheetId="4" r:id="rId8"/>
    <sheet state="visible" name="Maio26" sheetId="5" r:id="rId9"/>
    <sheet state="visible" name="Junho26" sheetId="6" r:id="rId10"/>
    <sheet state="visible" name="Julho26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67">
      <text>
        <t xml:space="preserve">PROPOSTA 2.397,88</t>
      </text>
    </comment>
    <comment authorId="0" ref="B198">
      <text>
        <t xml:space="preserve">TEM 2 PROPOSTAS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5">
      <text>
        <t xml:space="preserve">11 981062611</t>
      </text>
    </comment>
    <comment authorId="0" ref="E94">
      <text>
        <t xml:space="preserve">Contabilidade. Não tem o fone deles</t>
      </text>
    </comment>
    <comment authorId="0" ref="J113">
      <text>
        <t xml:space="preserve">assinou pelo Gov em 07/05, porém, Caillane aguardou assinar o link enviado e, por isso, não lançou na semana 1.</t>
      </text>
    </comment>
    <comment authorId="0" ref="J112">
      <text>
        <t xml:space="preserve">assinou pelo Gov em 07/05, porém, Caillane aguardou assinar o link enviado e, por isso, não lançou na semana 1.</t>
      </text>
    </comment>
    <comment authorId="0" ref="J111">
      <text>
        <t xml:space="preserve">assinou pelo Gov em 07/05, porém, Caillane aguardou assinar o link enviado e, por isso, não lançou na semana 1.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8">
      <text>
        <t xml:space="preserve">Contabilidade. Não tem o fone deles</t>
      </text>
    </comment>
  </commentList>
</comments>
</file>

<file path=xl/sharedStrings.xml><?xml version="1.0" encoding="utf-8"?>
<sst xmlns="http://schemas.openxmlformats.org/spreadsheetml/2006/main" count="15832" uniqueCount="4759">
  <si>
    <t>DADOS DO LEAD</t>
  </si>
  <si>
    <t>DADOS DE ORÇAMENTO</t>
  </si>
  <si>
    <t>OBSERVAÇÃO</t>
  </si>
  <si>
    <t>QTD</t>
  </si>
  <si>
    <t>EMPRESA</t>
  </si>
  <si>
    <t xml:space="preserve">CNPJ </t>
  </si>
  <si>
    <t>NOME</t>
  </si>
  <si>
    <t>TELEFONE</t>
  </si>
  <si>
    <t>EMAIL</t>
  </si>
  <si>
    <t>QUANTIDADE DE FUNCIONARIOS</t>
  </si>
  <si>
    <t>TIPO DE CONTRATO</t>
  </si>
  <si>
    <t>DATA ENVIO DE ORÇAMENTO</t>
  </si>
  <si>
    <t>DATA DE FECHAMENTO DA VENDA</t>
  </si>
  <si>
    <t>VALOR MENSAL</t>
  </si>
  <si>
    <t>VALOR TOTAL</t>
  </si>
  <si>
    <t>STATUS</t>
  </si>
  <si>
    <t>SITUAÇAO DO CONTRATO</t>
  </si>
  <si>
    <t>NUMERO O.S</t>
  </si>
  <si>
    <t>FONTE DO LEAD</t>
  </si>
  <si>
    <t>VENDEDOR</t>
  </si>
  <si>
    <t>OBSERVAÇAO DO VENDEDOR</t>
  </si>
  <si>
    <t>AGRITER AGRONEGOCIOS LTDA</t>
  </si>
  <si>
    <t>22.678.553/0005-64</t>
  </si>
  <si>
    <t>Viviane</t>
  </si>
  <si>
    <t>(65) 8417-9214</t>
  </si>
  <si>
    <t>Viviane@agriter.com.br</t>
  </si>
  <si>
    <t>x</t>
  </si>
  <si>
    <t>ALOCAÇÃO PROFISSIONAL</t>
  </si>
  <si>
    <t>RECUSADO</t>
  </si>
  <si>
    <t>NOVO</t>
  </si>
  <si>
    <t>KOMMO</t>
  </si>
  <si>
    <t>GUSTAVO</t>
  </si>
  <si>
    <t>11/11 - Estamos em negociação com a Srta. Viviane</t>
  </si>
  <si>
    <t>PACOTE DE SST e TÉCNICO DE SEGURANÇA DO TRABALHO IN COMPANY</t>
  </si>
  <si>
    <t>INSTITUTO SONHO GRANDE</t>
  </si>
  <si>
    <t>22.915.504/0001-74</t>
  </si>
  <si>
    <t>FABIO</t>
  </si>
  <si>
    <t>(11) 97721-5192</t>
  </si>
  <si>
    <t>Fabio.hamm@sonhogrande.org</t>
  </si>
  <si>
    <t>PACOTE SST + NR1</t>
  </si>
  <si>
    <t>MINUTA ENVIADA</t>
  </si>
  <si>
    <t>TELEFONE FIXO</t>
  </si>
  <si>
    <t xml:space="preserve">Reunião agendada para o dia 02/12/2025 </t>
  </si>
  <si>
    <t>MAOS CONFECCAO, COMERCIO, IMPORTACAO E EXPORTACAO DE ACESSORIOS LTDA</t>
  </si>
  <si>
    <t>03.611.941/0001-50</t>
  </si>
  <si>
    <t>DENISE</t>
  </si>
  <si>
    <t>(11)961616511</t>
  </si>
  <si>
    <t>adm.maos2@uol.com.br</t>
  </si>
  <si>
    <t xml:space="preserve">PACOTE SST </t>
  </si>
  <si>
    <t>VINICIOS</t>
  </si>
  <si>
    <t>16/01/2026 - NÃO ATENDE E NÃO RETORNA WHATSAPP</t>
  </si>
  <si>
    <t>VIRTU GNL PARTICIPAÇÕES S.A.</t>
  </si>
  <si>
    <t>54.575.033/0001-99</t>
  </si>
  <si>
    <t>LEANDRO MARTINS</t>
  </si>
  <si>
    <t>(11) 910171975</t>
  </si>
  <si>
    <t>leandro.martins@virtugnl.com</t>
  </si>
  <si>
    <t>NR1</t>
  </si>
  <si>
    <t>Á VISTA</t>
  </si>
  <si>
    <t>PROPOSTA ENVIADA</t>
  </si>
  <si>
    <t>28/01/2026 - NÃO ATENDE</t>
  </si>
  <si>
    <t>BOX LANCHES E CIA LTDA.</t>
  </si>
  <si>
    <t>43.688.087/0001-44</t>
  </si>
  <si>
    <t>Meire Cristina Vieir</t>
  </si>
  <si>
    <t>(11) 94594-0673</t>
  </si>
  <si>
    <t>dp.meire@nucontabil.com.br</t>
  </si>
  <si>
    <t>PACOTE SST</t>
  </si>
  <si>
    <t>27/01/2026 - MEIRE: Não sei qual é a data, estamos cobrando a mesma coisa deste cliente, eles são difíceis ....</t>
  </si>
  <si>
    <t>CSBG ESTACIONAMENTO LTDA</t>
  </si>
  <si>
    <t>60.068.511/0001-77</t>
  </si>
  <si>
    <t>MARILDA (CONTIMAC)</t>
  </si>
  <si>
    <t>marilda@contimac.com.br</t>
  </si>
  <si>
    <t>CONTRATO FECHADO</t>
  </si>
  <si>
    <t>MINUTA ASSINADA</t>
  </si>
  <si>
    <t>E-MAIL</t>
  </si>
  <si>
    <t>28/01/2026 - MARILDA INFORMOU QUE O RESPONSÁVEL FICOU DE ASSINAR NO FIM DESSA SEMANA POIS, IRÁ VOLTAR DE FÉRIAS</t>
  </si>
  <si>
    <t>LUISIANIA PARK ESTACIONAMENTO LTDA</t>
  </si>
  <si>
    <t>62.608.475/0001-12</t>
  </si>
  <si>
    <t>WB PARK ESTACIONAMENTO LTDA</t>
  </si>
  <si>
    <t>63.325.939/0001-46</t>
  </si>
  <si>
    <t>NOVA MIX INDUSTRIAL E COMERCIAL DE ALIMENTOS LTDA</t>
  </si>
  <si>
    <t>08.142.803/0010-83</t>
  </si>
  <si>
    <t>BRUNO SOUZA</t>
  </si>
  <si>
    <t>(22) 38119007</t>
  </si>
  <si>
    <t>bruno.souza@quataalimentos.com.br</t>
  </si>
  <si>
    <t>PGR, LTCAT, INSALUBRIDADE E PERICULOSIDADE</t>
  </si>
  <si>
    <t>16/01/2026 - NÃO A TENDE / E-MAIL ENCAMINHADO</t>
  </si>
  <si>
    <t>BRASCAN CENTURY PLAZA</t>
  </si>
  <si>
    <t>06.255.144/0001-75</t>
  </si>
  <si>
    <t>NATASCHA</t>
  </si>
  <si>
    <t>(11)2165-8132</t>
  </si>
  <si>
    <t>genteegestao@brascanitaim.com.br</t>
  </si>
  <si>
    <t>ANTIGO</t>
  </si>
  <si>
    <t>16/01/2026 - VINICIUS ESTÁ EM NEGOCIAÇÃO</t>
  </si>
  <si>
    <t xml:space="preserve">FLEXIMEDICAL SOLUCOES EM SAUDE LTDA </t>
  </si>
  <si>
    <t>07.384.026/0001-20</t>
  </si>
  <si>
    <t>Rosangela Maria</t>
  </si>
  <si>
    <t>(11) 99012-3431</t>
  </si>
  <si>
    <t>rosangela@soukure.com.br</t>
  </si>
  <si>
    <t>INDICAÇÃO</t>
  </si>
  <si>
    <t>VINICIUS</t>
  </si>
  <si>
    <t>UNI.CO COMERCIO S/A</t>
  </si>
  <si>
    <t>00.399.603/0001-08</t>
  </si>
  <si>
    <t>Djaciane Costa</t>
  </si>
  <si>
    <t>(11)99675-4361</t>
  </si>
  <si>
    <t>djaciane.costa@grupounico.com</t>
  </si>
  <si>
    <t xml:space="preserve">NOVA ERA FACILITIES LTDA
</t>
  </si>
  <si>
    <t>45.831.154.0001-63</t>
  </si>
  <si>
    <t>MARILDA</t>
  </si>
  <si>
    <t>(11)950241622</t>
  </si>
  <si>
    <t>marilda@novaerafacilities.com.br</t>
  </si>
  <si>
    <t>LUCAS</t>
  </si>
  <si>
    <t>30/01/2026 - SEM RETORNO DO CLIENTE</t>
  </si>
  <si>
    <t>FOURSYS TECH LTDA</t>
  </si>
  <si>
    <t>03.808.125/0001-30</t>
  </si>
  <si>
    <t>DANIELE</t>
  </si>
  <si>
    <t>(11)950755942</t>
  </si>
  <si>
    <t>daniele.santos@foursys.com.br</t>
  </si>
  <si>
    <t>PROPOSTA NA KOMMO</t>
  </si>
  <si>
    <t>AMALFI RESTAURANTE LTDA</t>
  </si>
  <si>
    <t>55.172.005/0001-93</t>
  </si>
  <si>
    <t>FERNANDA</t>
  </si>
  <si>
    <t>(11)988124605</t>
  </si>
  <si>
    <t>fernanda.canha@casabossa.com.br</t>
  </si>
  <si>
    <t>PACOTE SST+ NR1</t>
  </si>
  <si>
    <t>Fcontabil Contabilidade Ltda</t>
  </si>
  <si>
    <t>13.449.550/0001-34</t>
  </si>
  <si>
    <t xml:space="preserve">SIMONE </t>
  </si>
  <si>
    <t>11 2389-3673</t>
  </si>
  <si>
    <t>simone@fcontabilidade.com.br</t>
  </si>
  <si>
    <t>MIKAELLE</t>
  </si>
  <si>
    <t>Uxb Informática Ltda</t>
  </si>
  <si>
    <t>22.930.253/0001-05</t>
  </si>
  <si>
    <t xml:space="preserve">BRUNO SANTA </t>
  </si>
  <si>
    <t>FCR Clínica Odontológica Ltda</t>
  </si>
  <si>
    <t>58.434.188/0001-66</t>
  </si>
  <si>
    <t>RONALDO</t>
  </si>
  <si>
    <t>Sampar Transportes Ltda</t>
  </si>
  <si>
    <t>46.641.238/0001-05</t>
  </si>
  <si>
    <t>MAXIMUS-IMPORTACAO E EXPORTACAO LTDA</t>
  </si>
  <si>
    <t>04.984.641/0001-89</t>
  </si>
  <si>
    <t xml:space="preserve">AKEMI </t>
  </si>
  <si>
    <t>(11)32224624</t>
  </si>
  <si>
    <r>
      <rPr>
        <rFont val="Century Gothic"/>
        <color rgb="FF000000"/>
        <sz val="10.0"/>
      </rPr>
      <t>abc.akemi@hotmail.com</t>
    </r>
  </si>
  <si>
    <t>GO NOW CENU CONDICIONAMENTO FISICO LTDA</t>
  </si>
  <si>
    <t>63.250.496/0001-71</t>
  </si>
  <si>
    <t>ISABELA</t>
  </si>
  <si>
    <t>(11)3213-8713</t>
  </si>
  <si>
    <t>dp@gruppogobbi.com.br</t>
  </si>
  <si>
    <t>VITÓRIA</t>
  </si>
  <si>
    <t>PROCISA DO BRASIL PROJETOS, CONSTRUCOES E INSTALACOES LTDA.</t>
  </si>
  <si>
    <t>08.084.898/0016-11</t>
  </si>
  <si>
    <t>GABRIELLE</t>
  </si>
  <si>
    <t>11 94506-1151</t>
  </si>
  <si>
    <t>m.galindo1@procisa.com.br</t>
  </si>
  <si>
    <t>AET</t>
  </si>
  <si>
    <t>09/01/2026 A empresa nunca mais deu uma devolutiva.</t>
  </si>
  <si>
    <t>HOJE SISTEMAS DE INFORMATICA - EM RECUPERACAO JUDICIAL</t>
  </si>
  <si>
    <t>08.868.001/0001-64</t>
  </si>
  <si>
    <t>LARISSA</t>
  </si>
  <si>
    <t>(11) 95291-4468</t>
  </si>
  <si>
    <t>dp@profitdam.com.br</t>
  </si>
  <si>
    <t xml:space="preserve">EGT INDUSTRIES DO BRASIL LTDA </t>
  </si>
  <si>
    <t>57.940.632/0001-52</t>
  </si>
  <si>
    <t>GLAUCIA</t>
  </si>
  <si>
    <t xml:space="preserve"> 11 4635-0144</t>
  </si>
  <si>
    <t>glaucia.viana@egt.com</t>
  </si>
  <si>
    <t>ICE GO LTDA</t>
  </si>
  <si>
    <t>58.990.388/0001-03</t>
  </si>
  <si>
    <t>JONAS</t>
  </si>
  <si>
    <t>(11) 95155-3199</t>
  </si>
  <si>
    <t>diretoriaoficial@icego.com.br</t>
  </si>
  <si>
    <t>HM ENGENHARIA E CONSTRUCOES S.A</t>
  </si>
  <si>
    <t>47.062.179/0001-75</t>
  </si>
  <si>
    <t>Letícia Martins Sophia</t>
  </si>
  <si>
    <t>(19) 99720-3363</t>
  </si>
  <si>
    <t xml:space="preserve"> leticia.sophia@maishm.com.br</t>
  </si>
  <si>
    <t>28/01/2026 - INFORMOU QUE OPTOU POR SEGUIR COM ATUAL PRESTADORA</t>
  </si>
  <si>
    <t>BE SMART SERVICOS FINANCEIROS LTDA</t>
  </si>
  <si>
    <t>16.629.836/0001-90</t>
  </si>
  <si>
    <t xml:space="preserve">Fellipe </t>
  </si>
  <si>
    <t>(21)999860507</t>
  </si>
  <si>
    <t>Fellipe.goncalves@investsmart.com.br</t>
  </si>
  <si>
    <t>D+ G ASSESSORIA EM EVENTOS LTDA</t>
  </si>
  <si>
    <t>03.193.792/0001-56</t>
  </si>
  <si>
    <t>Dirce Domingues</t>
  </si>
  <si>
    <t>(11)981423714</t>
  </si>
  <si>
    <t>menoraprendiz2@promoaction.com.br</t>
  </si>
  <si>
    <t>27/01/2026 - Cliente optou por continuar com a atual prestadora de serviço.</t>
  </si>
  <si>
    <t>JR COMPRESSORES DE AR LTDA</t>
  </si>
  <si>
    <t>54.674.984/0001-15</t>
  </si>
  <si>
    <t>Rafael</t>
  </si>
  <si>
    <t>rnetttelecom@gmail.com</t>
  </si>
  <si>
    <t>PACOTE SST+ NR1+ TREINAMENTOS</t>
  </si>
  <si>
    <t>VENDA GANHA NA KOMMO</t>
  </si>
  <si>
    <t>ALLUGGA EQUIPAMENTOS LTDA</t>
  </si>
  <si>
    <t>43.077.253/0001-76</t>
  </si>
  <si>
    <t>MÁRCIA</t>
  </si>
  <si>
    <t>(11)95057-7748</t>
  </si>
  <si>
    <t>marcia.viana@allugga.com</t>
  </si>
  <si>
    <t>HAWTHORNE RECURSOS HUMANOS LTDA</t>
  </si>
  <si>
    <t>33.364.104/0001-34</t>
  </si>
  <si>
    <t>Suzel Siqueira</t>
  </si>
  <si>
    <t>(11)98994-3098</t>
  </si>
  <si>
    <t>qualidade@liquid.ind.br</t>
  </si>
  <si>
    <t>ADEQUAÇÃO DE NR10 E NR12</t>
  </si>
  <si>
    <t>LASER COMPANY BRASIL LTDA</t>
  </si>
  <si>
    <t>44.442.908/0001-20</t>
  </si>
  <si>
    <t>Gabrieli de Souza</t>
  </si>
  <si>
    <t>(11)995665887</t>
  </si>
  <si>
    <t>dp@lasercompany.com</t>
  </si>
  <si>
    <t>PERICIA  - PROCESSO TRABALHISTA</t>
  </si>
  <si>
    <t>À VISTA</t>
  </si>
  <si>
    <t>BASE DE COOPERACAO INTERNACIONAL CHINA-BRASIL PARA PROMOCAO DA MEDICINA TRADICIONAL CHINESA</t>
  </si>
  <si>
    <t>31.694.963/0001-66</t>
  </si>
  <si>
    <t>FANG</t>
  </si>
  <si>
    <t>administrativo@basemtc.com.br</t>
  </si>
  <si>
    <t>KARIN THAI LTDA</t>
  </si>
  <si>
    <t>62.778.172/0001-48</t>
  </si>
  <si>
    <t>Karin</t>
  </si>
  <si>
    <t>Karinjardim@hotmail.com</t>
  </si>
  <si>
    <t>D FERRARO RESTAURANTE LTDA</t>
  </si>
  <si>
    <t>63.571.997/0001-50</t>
  </si>
  <si>
    <t>(11)989040476</t>
  </si>
  <si>
    <t>admdferraro@gmail.com</t>
  </si>
  <si>
    <t>ENGENHARIA E COMERCIO RIGEL LTDA</t>
  </si>
  <si>
    <t>53.640.280/0001-69</t>
  </si>
  <si>
    <t>Charles</t>
  </si>
  <si>
    <t>charlesdecarvalho7@gmail.com</t>
  </si>
  <si>
    <t>CLUBE DA COMUNIDADE CENTRO DA COROA FUTEBOL CLUBE</t>
  </si>
  <si>
    <t>27.954.461/0001-50</t>
  </si>
  <si>
    <t>LUIZ CARLOS</t>
  </si>
  <si>
    <t>11 94723-0207</t>
  </si>
  <si>
    <t>rgrpark@gmail.com</t>
  </si>
  <si>
    <t>WHATSAPP</t>
  </si>
  <si>
    <t>CLINICA ODONTOLOGICA ORTOED LTDA</t>
  </si>
  <si>
    <t>52.951.119/0001-43</t>
  </si>
  <si>
    <t>EDGARD</t>
  </si>
  <si>
    <t>(11)999123391</t>
  </si>
  <si>
    <t>ortoed@terra.com.br</t>
  </si>
  <si>
    <t>LANCHONETE JSJ LTDA</t>
  </si>
  <si>
    <t>07.710.856/0001-08</t>
  </si>
  <si>
    <t xml:space="preserve">VALDECIR </t>
  </si>
  <si>
    <t>(11)999091121</t>
  </si>
  <si>
    <t>waldeco_2009@hotmail.com</t>
  </si>
  <si>
    <t>WAY CARE CLINICA VETERINARIA LTDA</t>
  </si>
  <si>
    <t>48.217.937/0001-40</t>
  </si>
  <si>
    <t>Renato</t>
  </si>
  <si>
    <t>Renato.russo@waycare-vet.com.br</t>
  </si>
  <si>
    <t>30/01/2026 - PROPOSTA DECLINADA SEM RETORNO DO CLIENTE.</t>
  </si>
  <si>
    <t xml:space="preserve">M3CORP SOLUCOES PERSONALIZADAS EM INTERNET LTDA </t>
  </si>
  <si>
    <t>10.608.614/0001-04</t>
  </si>
  <si>
    <t>JULIANA LISBOA</t>
  </si>
  <si>
    <t>(11)961347732</t>
  </si>
  <si>
    <t>juliana.lisboa@m3corp.com.br</t>
  </si>
  <si>
    <t>NR01</t>
  </si>
  <si>
    <t>RIOS GESTAO IMOBILIARIA LTDA</t>
  </si>
  <si>
    <t>60.611.592/0001-00</t>
  </si>
  <si>
    <t>DANIELA</t>
  </si>
  <si>
    <t>11 98920-1170</t>
  </si>
  <si>
    <t>danidominguesp@outlook.com</t>
  </si>
  <si>
    <t>C.R.C. TEIXEIRA MATERIAIS DE CONSTRUCAO LTDA</t>
  </si>
  <si>
    <t>21.705.798/0001-47</t>
  </si>
  <si>
    <t>FECHOU</t>
  </si>
  <si>
    <t>HIGOR ALMEIDA SERVICOS ADMINISTRATIVOS E CONSULTORIA LTDA</t>
  </si>
  <si>
    <t>53.508.167/0001-24</t>
  </si>
  <si>
    <t>Micaele Sobral</t>
  </si>
  <si>
    <t>(11)996588281</t>
  </si>
  <si>
    <r>
      <rPr>
        <rFont val="Century Gothic"/>
        <color rgb="FF000000"/>
        <sz val="10.0"/>
      </rPr>
      <t>micaelesbl@icloud.com</t>
    </r>
  </si>
  <si>
    <t>COMISSARIA ULTRAMAR DE DESPACHOS INTERNACIONAIS LTDA</t>
  </si>
  <si>
    <t>Rosi Calado</t>
  </si>
  <si>
    <t>(11)941891478</t>
  </si>
  <si>
    <r>
      <rPr>
        <rFont val="Century Gothic"/>
        <color rgb="FF000000"/>
        <sz val="10.0"/>
      </rPr>
      <t>rcalado@e-ultramar.com.br</t>
    </r>
  </si>
  <si>
    <t>PEPES X FACILITIES</t>
  </si>
  <si>
    <t>51.015.736/0001-74</t>
  </si>
  <si>
    <t>André de Oliveira</t>
  </si>
  <si>
    <t>andre@pepespark.com.br</t>
  </si>
  <si>
    <t>INSTITUICAO BENEFICENTE NOSSO LAR</t>
  </si>
  <si>
    <t>62.026.976/0001-90</t>
  </si>
  <si>
    <t>Thais Settanni</t>
  </si>
  <si>
    <t>(11) 2066-1680</t>
  </si>
  <si>
    <t>thais@ibnossolar.org.br</t>
  </si>
  <si>
    <t>PGR, PCMSO, LTCAT, ESOCIAL E IN LOCO</t>
  </si>
  <si>
    <t>Confrme conversamos o orçamento está aprovado, mas como nossa diretoria é voluntária, não estão diariamente na Instituição, mas assim que o Clodoaldo vier, ele assinará o devido documento.</t>
  </si>
  <si>
    <t>LIVUS SAO MATEUS EMPREENDIMENTO IMOBILIARIO SPE LTDA</t>
  </si>
  <si>
    <t>50.252.503/0001-22</t>
  </si>
  <si>
    <t>LUCIVÁ</t>
  </si>
  <si>
    <t>(11) 3386-2555</t>
  </si>
  <si>
    <r>
      <rPr>
        <rFont val="Century Gothic"/>
        <color rgb="FF000000"/>
        <sz val="10.0"/>
      </rPr>
      <t>luciva@mtoengenharia.com.br</t>
    </r>
  </si>
  <si>
    <t>PCMSO, LTCAT e Esocial</t>
  </si>
  <si>
    <t>LIVUS VILA SANTA CATARINA EMPREENDIMENTO IMOBILIARIO SPE LTDA</t>
  </si>
  <si>
    <t>52.960.403/0001-86</t>
  </si>
  <si>
    <r>
      <rPr>
        <rFont val="Century Gothic"/>
        <color rgb="FF000000"/>
        <sz val="10.0"/>
      </rPr>
      <t>luciva@mtoengenharia.com.br</t>
    </r>
  </si>
  <si>
    <t>CEVA LOGISTICS LTDA</t>
  </si>
  <si>
    <t>43.854.116/0087-70</t>
  </si>
  <si>
    <t>Juliano Roman</t>
  </si>
  <si>
    <t>(51) 3201-2339</t>
  </si>
  <si>
    <t>JulianoXavier.Roman@cevalogistics.com</t>
  </si>
  <si>
    <t>TREINAMENTO CURSO DE BRIGADISTA ORGÂNICO</t>
  </si>
  <si>
    <t xml:space="preserve">AGENCIA DE COMUNICAÇÃO E MARKETING INTEGRADA SALLVA LTDA </t>
  </si>
  <si>
    <t>57.167.286/0001-11</t>
  </si>
  <si>
    <t>EDICLEIDE SALES CAMPOS</t>
  </si>
  <si>
    <t xml:space="preserve">(11) 98941-2401 </t>
  </si>
  <si>
    <t xml:space="preserve">cleide@agenciasallva.com.br </t>
  </si>
  <si>
    <t xml:space="preserve">19/01 - CONTRATO ASSINADO </t>
  </si>
  <si>
    <t>C1 AUTOMACAO LTDA</t>
  </si>
  <si>
    <t>44.960.574/0001-87</t>
  </si>
  <si>
    <t>Cinesio Moreira Mendes</t>
  </si>
  <si>
    <t>(11) 95146-8339</t>
  </si>
  <si>
    <t>cinesiomendes@gmail.com</t>
  </si>
  <si>
    <t>PGR, PCMSO E ESOCIAL</t>
  </si>
  <si>
    <t>AMSS INDUSTRIA MECANICA LTDA</t>
  </si>
  <si>
    <t>48.925.481/0001-72</t>
  </si>
  <si>
    <t>Samanta Hayakawa</t>
  </si>
  <si>
    <t>PACOTE SST + SERVIÇOS</t>
  </si>
  <si>
    <t>TOP ASSESSORIA E CONSULTORIA LTDA</t>
  </si>
  <si>
    <t>50.222.180/0001-24</t>
  </si>
  <si>
    <t>Anderson da Silva Leite</t>
  </si>
  <si>
    <t>(11)98317-8811</t>
  </si>
  <si>
    <t>andersondasilvaleite54@gmail.com</t>
  </si>
  <si>
    <t>RP AUDICONTABIL</t>
  </si>
  <si>
    <t>60.962.909/0001-52</t>
  </si>
  <si>
    <t>SILVANA</t>
  </si>
  <si>
    <t>(11)3231-1999</t>
  </si>
  <si>
    <t>rpaudi@rpaudi.com.br</t>
  </si>
  <si>
    <t>PSICOSSOCIAL</t>
  </si>
  <si>
    <t>12x</t>
  </si>
  <si>
    <t>BRASIL NETSERVICES LTDA</t>
  </si>
  <si>
    <t>04.964.868/0001-62</t>
  </si>
  <si>
    <t>Jair Antonio Momente</t>
  </si>
  <si>
    <t>(11) 97676-9069</t>
  </si>
  <si>
    <t>momente@brasilnetservices.com.br</t>
  </si>
  <si>
    <t>PGR, PCMSO, eSocial E EXAMES</t>
  </si>
  <si>
    <t>AGUARDANDO ASSINATURA</t>
  </si>
  <si>
    <t xml:space="preserve">METRAPACK FILMES TECNICOS COMERCIO IMPORTACAO E EXPORTACAO LTDA </t>
  </si>
  <si>
    <t xml:space="preserve">03.817.291/0001-01 </t>
  </si>
  <si>
    <t>Marcello Silva Meceni</t>
  </si>
  <si>
    <t>(11) 97305-2818</t>
  </si>
  <si>
    <t>marcello@metrapack.com.br</t>
  </si>
  <si>
    <t>SIDEL DO BRASIL LTDA</t>
  </si>
  <si>
    <t>61.438.206/0001-92</t>
  </si>
  <si>
    <t>FERNANDA DANTAS</t>
  </si>
  <si>
    <t>(11) 994859847</t>
  </si>
  <si>
    <t>fernanda.dantas@sidel.com</t>
  </si>
  <si>
    <t>TREINAMENTOS</t>
  </si>
  <si>
    <t>A VISTA</t>
  </si>
  <si>
    <t>ITP BENEFICIAMENTO DE SEMENTES LTDA</t>
  </si>
  <si>
    <t>05.059.447/0001-50</t>
  </si>
  <si>
    <t>Maike Leandro</t>
  </si>
  <si>
    <t>(16) 98158-5620</t>
  </si>
  <si>
    <t>mrlendro@satusager.com</t>
  </si>
  <si>
    <t>Avaliações Quimicas e de Ruído</t>
  </si>
  <si>
    <t>EMPRESA REALIZOU  UM ADENDO EM UM PEDIDO APROVADO ANTERIORMENTE</t>
  </si>
  <si>
    <t>EA CONSTRUTORA ENGENHARIA E COMÉRCIO LTDA</t>
  </si>
  <si>
    <t>43.584.951/0001-68</t>
  </si>
  <si>
    <t>Eric Endo</t>
  </si>
  <si>
    <t>ericendo88@gmail.com</t>
  </si>
  <si>
    <t>ANALYTICS2GO TECHNOLOGIES LTDA.</t>
  </si>
  <si>
    <t>27.193.446/0001-36</t>
  </si>
  <si>
    <t>Luiz Amadeu Biagioni</t>
  </si>
  <si>
    <t>(11)986028215</t>
  </si>
  <si>
    <t>lbiabioni@a2go.ai</t>
  </si>
  <si>
    <t>OTICAS COSTA MARQUES LTDA</t>
  </si>
  <si>
    <t>64.089.281/0001-83</t>
  </si>
  <si>
    <t>GLAUCIO</t>
  </si>
  <si>
    <t>(11)98273-9383</t>
  </si>
  <si>
    <t>glauciorcmm@yahoo.com.br</t>
  </si>
  <si>
    <t>29/01 FECHOU COM OUTRA DEVIDO A LOCALIZAÇÃO.</t>
  </si>
  <si>
    <t xml:space="preserve"> MOTZ TRANSPORTES LTDA </t>
  </si>
  <si>
    <t>35.825.580/0001-30</t>
  </si>
  <si>
    <t>Diego Cezaretti</t>
  </si>
  <si>
    <t xml:space="preserve">diego.auria@motz.com.br </t>
  </si>
  <si>
    <t>PACOTE SST+ SERVIÇOS</t>
  </si>
  <si>
    <t>30/01/2026 - PROPOSTA COM VINICIUS FERREIRA (SISTEMAS)</t>
  </si>
  <si>
    <t>DMM HOLDING LTDA DEMAIS</t>
  </si>
  <si>
    <t>27.299.967/0001-72</t>
  </si>
  <si>
    <t xml:space="preserve">DEBORA OLIVEIRA DE MIRANDA ALMEIDA </t>
  </si>
  <si>
    <t>(11) 5579-6678</t>
  </si>
  <si>
    <t xml:space="preserve">elisabeth@mirandaadm.com.br </t>
  </si>
  <si>
    <t>CHECK-UP COMÉRCIO DE ACESSÓRIOS INDUSTRIAIS</t>
  </si>
  <si>
    <t>15.189.312/0001-62</t>
  </si>
  <si>
    <t>HEITOR MORETTO</t>
  </si>
  <si>
    <t xml:space="preserve">(11) 95417-5442 </t>
  </si>
  <si>
    <t>FINANCEIRO@CHECKUPACESSORIOS.COM.BR</t>
  </si>
  <si>
    <t>CAMORRA COMÉRCIO DE ALIMENTOS LTDA</t>
  </si>
  <si>
    <t>12.516.052/0001-02</t>
  </si>
  <si>
    <t>Glaucia</t>
  </si>
  <si>
    <t>(11) 98384-1515</t>
  </si>
  <si>
    <t xml:space="preserve">CAMILLAMACEDO@UOL.COM.BR </t>
  </si>
  <si>
    <t xml:space="preserve">DOZE SAÚDE E SEGURANÇA DO TRABALHO </t>
  </si>
  <si>
    <t>60.488.560/0001-69</t>
  </si>
  <si>
    <t>GIOVANNA BLOHEM</t>
  </si>
  <si>
    <t>(11) 4522-2724</t>
  </si>
  <si>
    <t>MEDICINA@DOZEOCUPACIONAL.COM.BR</t>
  </si>
  <si>
    <t>CREDENCIAMENTO</t>
  </si>
  <si>
    <t>VEKMAN ENGENHARIA E CONSTRUCAO LTDA</t>
  </si>
  <si>
    <t>45.243.085/0001-77</t>
  </si>
  <si>
    <t>VICTOR SILVA MAIA</t>
  </si>
  <si>
    <t>(11) 97145-8876</t>
  </si>
  <si>
    <t>admvekman@gmail.com</t>
  </si>
  <si>
    <t>X</t>
  </si>
  <si>
    <t>PLANO DE RESGATE EM ESPAÇO CONFINADO E ESCAVAÇÕES (COM ART)</t>
  </si>
  <si>
    <t xml:space="preserve">AGUILERA NUTROLOGIA E ESTETICA LTDA </t>
  </si>
  <si>
    <t xml:space="preserve">33.420.839/0001-38 </t>
  </si>
  <si>
    <t>IRENE</t>
  </si>
  <si>
    <t>(11) 3673-3582</t>
  </si>
  <si>
    <t>financeiro@clinicaaguilera.com</t>
  </si>
  <si>
    <t>J P BRINDES LTDA</t>
  </si>
  <si>
    <t>07.971.710/0001-08</t>
  </si>
  <si>
    <t>JOAQUIM PAULO</t>
  </si>
  <si>
    <t>(11) 3101-1611</t>
  </si>
  <si>
    <t>jpbrindes@jpbrindes.com.br</t>
  </si>
  <si>
    <t>PACOTE SST +  AEP</t>
  </si>
  <si>
    <t>ASSOCIACAO DOS AMIGOS DO MUSEU JUDAICO NO ESTADO DE SAO PAULO</t>
  </si>
  <si>
    <t>04.414.533/0001-70</t>
  </si>
  <si>
    <t>DUANE</t>
  </si>
  <si>
    <t>(11)2075-3205</t>
  </si>
  <si>
    <t>rh@museujudaicosp.org.br</t>
  </si>
  <si>
    <t>29/01 Não consegui contato com o cliente nem através do e-mail nem por ligação</t>
  </si>
  <si>
    <t>UNIVERSO DA MODA OFICIAL LTDA</t>
  </si>
  <si>
    <t>29.009.385/0001-30</t>
  </si>
  <si>
    <t>ELEISON</t>
  </si>
  <si>
    <t>(11) 96954-7492</t>
  </si>
  <si>
    <t>Eleisonpereira76@gmail.com</t>
  </si>
  <si>
    <t>26/01 Em contato o rewsponsável alega não ter tido tempo para visualizar a proposta que fará e me dara um retorno.</t>
  </si>
  <si>
    <t>OXIGEN COMERCIO, INDUSTRIA E REPRESENTACOES DE EQUIPAMENTOS MEDICOS LTDA</t>
  </si>
  <si>
    <t>00.911.246/0001-15</t>
  </si>
  <si>
    <t>Georg Bauer</t>
  </si>
  <si>
    <t>(11) 2696-0010</t>
  </si>
  <si>
    <t>rita@oxigenind.com.br</t>
  </si>
  <si>
    <t>NR 13 VASOS SOB PRESSÃO</t>
  </si>
  <si>
    <t>26/01/2026 - Proposta enviada para assinatura digital.</t>
  </si>
  <si>
    <t>CAVENAGHI INDUSTRIA E COMERCIO DE EQUIPAMENTOS ESPECIAIS LTDA</t>
  </si>
  <si>
    <t>04.589.483/0001-62</t>
  </si>
  <si>
    <t>ANDRÉA FRANÇA</t>
  </si>
  <si>
    <t>(11) 97524-7481</t>
  </si>
  <si>
    <t>andrea@unigets.com.br</t>
  </si>
  <si>
    <t xml:space="preserve">TOMADOR MOBIBRASIL TRANSPORTE SÃO PAULO LTDA </t>
  </si>
  <si>
    <t>11.031.202/0001-17</t>
  </si>
  <si>
    <t>MAURICIO SOUZA</t>
  </si>
  <si>
    <t>(11) 98972-5942</t>
  </si>
  <si>
    <t>mauricio.souza@i9corporation.com.br</t>
  </si>
  <si>
    <t>PACOTE DE SST (PGR, PCMSO, LTCAT, EXAMES OCUPACIAONAIS, NR-7, NR-5, NR-1, APR, FICHA DE EPI  e  
PERMISSÕES DE TRABALHO</t>
  </si>
  <si>
    <t>á vista</t>
  </si>
  <si>
    <t>CVS - CLINICA MEDICA LTDA</t>
  </si>
  <si>
    <t>21.925.603/0002-55</t>
  </si>
  <si>
    <t>Carolyne Vilhegas Sawamura</t>
  </si>
  <si>
    <t>(11) 98892-1985</t>
  </si>
  <si>
    <t>contato@carolynesawamura.com.br</t>
  </si>
  <si>
    <t>STCI LATIN AMERICA COMERCIO E SERVICOS LTDA</t>
  </si>
  <si>
    <t>14.113.367/0001-26</t>
  </si>
  <si>
    <t>Marisa Aparecida Doretto Sant Anna Mello</t>
  </si>
  <si>
    <t>(11) 4195-6327</t>
  </si>
  <si>
    <t>marisa.doretto@st-ci.com</t>
  </si>
  <si>
    <t>PACOTE SST + AET + NR6</t>
  </si>
  <si>
    <t>CORP - MAICOWASH LTDA</t>
  </si>
  <si>
    <t>47.328.312/0001-92</t>
  </si>
  <si>
    <t>Michael Angelo</t>
  </si>
  <si>
    <t>(11)934680308</t>
  </si>
  <si>
    <t>financeiro@maicowash.com.br</t>
  </si>
  <si>
    <t>PGR e PCMSO</t>
  </si>
  <si>
    <t>QD CONTABIL DO BRASIL</t>
  </si>
  <si>
    <t>29.944.951/0001-09</t>
  </si>
  <si>
    <t>Beatriz Barbosa</t>
  </si>
  <si>
    <t>(11)999581676</t>
  </si>
  <si>
    <t>qiandu.sp.pessoal@gmail.com</t>
  </si>
  <si>
    <t>RADAR SAO PAULO - GERENCIAMENTO DE COBRANCAS LTDA</t>
  </si>
  <si>
    <t>03.132.815/0001-12</t>
  </si>
  <si>
    <t>Jurandir Estevão</t>
  </si>
  <si>
    <t>jurandir@radarsaopaulo.com.br</t>
  </si>
  <si>
    <t>FRIGOTEC SERVICOS E PECAS LTDA</t>
  </si>
  <si>
    <t>57.645.073/0001-58</t>
  </si>
  <si>
    <t>Dayane</t>
  </si>
  <si>
    <t>contabil@frigo.com.br</t>
  </si>
  <si>
    <t xml:space="preserve">BEZ MANUTENCAO E COMERCIO LTDA </t>
  </si>
  <si>
    <t>57.618.263/0001-86</t>
  </si>
  <si>
    <t xml:space="preserve">VSP COMERCIO E APOIO ADMINISTRATIVO LTDA </t>
  </si>
  <si>
    <t xml:space="preserve">52.916.070/0001-98 </t>
  </si>
  <si>
    <t xml:space="preserve"> BEZERRA COMERCIO E APOIO ADMINISTRATIVO LTDA</t>
  </si>
  <si>
    <t>52.918.142/0001-36</t>
  </si>
  <si>
    <t>JGA SOLUCOES EM TECNOLOGIA LTDA</t>
  </si>
  <si>
    <t>53.969.281/0001-51</t>
  </si>
  <si>
    <t>Ivone Santos</t>
  </si>
  <si>
    <t>5078-6121</t>
  </si>
  <si>
    <t>financeiro@jgasolucoes.tec.br</t>
  </si>
  <si>
    <t>MARIO FERNANDO PRIETO PERES CEI 205.08786/00</t>
  </si>
  <si>
    <t>165.931.948-08</t>
  </si>
  <si>
    <t>Mario Fernando</t>
  </si>
  <si>
    <t>centrodecefaleiasp@gmail.com</t>
  </si>
  <si>
    <t>TRANS TOUR ENVIAR E RECEBER LTDA</t>
  </si>
  <si>
    <t>04.509.995/0001-71</t>
  </si>
  <si>
    <t xml:space="preserve">WESLEY WILLIAN RIBEIRO </t>
  </si>
  <si>
    <t>11 32555656, 11 953360842</t>
  </si>
  <si>
    <t>rh@transtour.com.br</t>
  </si>
  <si>
    <t>O.S NR1</t>
  </si>
  <si>
    <t>SMART QUALITY SOLUTIONS TERCERIZACAO DE MAO DE OBRA LTDA</t>
  </si>
  <si>
    <t>48.566.313/0001-38</t>
  </si>
  <si>
    <t>PIETRA</t>
  </si>
  <si>
    <t>(11)99556-6488</t>
  </si>
  <si>
    <t>sergio.barbosa@gruposmartquality.com.br</t>
  </si>
  <si>
    <t>EXAMES</t>
  </si>
  <si>
    <t>GROCK E CO LTDA</t>
  </si>
  <si>
    <t>64.150.989/0001-00</t>
  </si>
  <si>
    <t>GABRIELA</t>
  </si>
  <si>
    <t>(11) 99964-1203</t>
  </si>
  <si>
    <t>xnamaicompany.bras@gmail.com</t>
  </si>
  <si>
    <t xml:space="preserve">SKALA SOLUCAO EM SERVICOS LTDA </t>
  </si>
  <si>
    <t>16.575.939.0001-14</t>
  </si>
  <si>
    <t>ROSANGELA</t>
  </si>
  <si>
    <t>11 93024-4512</t>
  </si>
  <si>
    <t>recursoshumanos@skala.com.br</t>
  </si>
  <si>
    <t>PGR, PGR e LTCAT</t>
  </si>
  <si>
    <t>26/11 Afirma estar na mão do financeiro, mas por enquanto sem retorno</t>
  </si>
  <si>
    <t>AJ IMPORT</t>
  </si>
  <si>
    <t>12.453.146/0001-71</t>
  </si>
  <si>
    <t>Giovana Monpean</t>
  </si>
  <si>
    <t>(11) 97070-2828</t>
  </si>
  <si>
    <t>giovana.monpean@grupoajimport.com.br</t>
  </si>
  <si>
    <t>DENTAL CARE KBA S/S - LTDA</t>
  </si>
  <si>
    <t>23.849.891/0001-50</t>
  </si>
  <si>
    <t xml:space="preserve">KAREN  BYDGAL </t>
  </si>
  <si>
    <t>(11) 5531-4698</t>
  </si>
  <si>
    <t>dr.bydgal@gmail.com</t>
  </si>
  <si>
    <t>AD Ambiental LTDA</t>
  </si>
  <si>
    <t>50.251.035/0001-71</t>
  </si>
  <si>
    <t>ANDRÉ HUGO BOETTGER ROCHA</t>
  </si>
  <si>
    <t xml:space="preserve">(11) 93224-5555 </t>
  </si>
  <si>
    <t>andre@adambiental.com.br</t>
  </si>
  <si>
    <t xml:space="preserve">FIT-TEST </t>
  </si>
  <si>
    <t>SHIRLIANNE PRIME COMERCIAL LTDA</t>
  </si>
  <si>
    <t>58.409.268/0001-61</t>
  </si>
  <si>
    <t>RICARDO</t>
  </si>
  <si>
    <r>
      <rPr>
        <rFont val="Century Gothic"/>
        <color rgb="FF1155CC"/>
        <sz val="10.0"/>
        <u/>
      </rPr>
      <t>(11) 96916-5614</t>
    </r>
  </si>
  <si>
    <r>
      <rPr>
        <rFont val="Century Gothic"/>
        <color rgb="FF1155CC"/>
        <sz val="10.0"/>
        <u/>
      </rPr>
      <t>ricardocpromera@gmail.com</t>
    </r>
  </si>
  <si>
    <t>PARCELAS</t>
  </si>
  <si>
    <t>20/02/2026 - MEIRE INFORMOU QUE O CLIENTE SOLICITOU REVISÃO NA QUANTIDADE DE VIDAS, DE 38 PARA 6 FUNCIONÁRIOS ATIVOS.</t>
  </si>
  <si>
    <t>HOT DOG E HAMBURGUER RESTAURANTE ELDORADO LTDA</t>
  </si>
  <si>
    <t>57.619.559/0001-11</t>
  </si>
  <si>
    <t>Marlla Ayres</t>
  </si>
  <si>
    <t>(11)988285483</t>
  </si>
  <si>
    <t>rh@nathans.com.br</t>
  </si>
  <si>
    <t>29/01/2026- Ligação feita cliente informou que ainda está aguardando a aprovação da diretoria, não tem data prevista para o retorno. Aguardar devolutiva da mesma.</t>
  </si>
  <si>
    <t>NF BRASIL PARTICIPACOES LTDA.</t>
  </si>
  <si>
    <t>41.992.559/0001-22</t>
  </si>
  <si>
    <t>33.107.426/0004-40</t>
  </si>
  <si>
    <r>
      <rPr>
        <rFont val="Arial"/>
        <color rgb="FF000000"/>
        <sz val="10.0"/>
      </rPr>
      <t>rcalado@e-ultramar.com.br</t>
    </r>
  </si>
  <si>
    <t>NF BRASIL DESENVOLVIMENTO E EXPLORACAO DE RESTAURANTES LTDA</t>
  </si>
  <si>
    <t>42.509.939/0002-07</t>
  </si>
  <si>
    <t xml:space="preserve">Por falta de comunicação encerrei as tratativas </t>
  </si>
  <si>
    <t>Estou encerrando o contato com a empresa por falta de comunicação, caso houver alguma devolutiva referente a proposta, estarei retificando e reenviando.</t>
  </si>
  <si>
    <t>S. RODRIGUES COMERCIO DE PRODUTOS FARMACEUTICOS LTDA</t>
  </si>
  <si>
    <t>82.459.116/0008-24</t>
  </si>
  <si>
    <t>LUIS ALFREDO STAHLSCHMIDT RODRIGUES</t>
  </si>
  <si>
    <t>(11) 2574-1305</t>
  </si>
  <si>
    <t>luiz@dassette.com.br</t>
  </si>
  <si>
    <t>24/02/2026 - INCREMENTO DE SERVIÇOS: AET, TREINAMENTO NR6 E 5 VIDAS ADICIONAIS (VALOR ADICIONAL R$ 2.655,84)</t>
  </si>
  <si>
    <t>INSTITUTO GLOBAL ATTITUDE</t>
  </si>
  <si>
    <t>15.082.986/0001-63</t>
  </si>
  <si>
    <t>Amanda Santos</t>
  </si>
  <si>
    <t>(11)998537733</t>
  </si>
  <si>
    <t>amanda.santos@globalattitude.org.br</t>
  </si>
  <si>
    <t>29/01/2026 - Até terça teria um retorno.</t>
  </si>
  <si>
    <t>(11)33111304</t>
  </si>
  <si>
    <t>(11)50786121</t>
  </si>
  <si>
    <t>11/02/2026 - Empresa informou que por processos internos não vai realizar a gestão em SST no momento.</t>
  </si>
  <si>
    <t xml:space="preserve">SNE AUDIOVISUAL E CENOGRAFIA LTDA </t>
  </si>
  <si>
    <t>28.238.084/0001-15</t>
  </si>
  <si>
    <t>GIOVANNA</t>
  </si>
  <si>
    <t>(11)98984-5668</t>
  </si>
  <si>
    <t>rh2@gruposne.com.br</t>
  </si>
  <si>
    <t>total 6.466,32 (24 meses) contato para a meta somente 12 meses</t>
  </si>
  <si>
    <t>S PEREZ ZAVITSANOS COMERCIO E DISTRIBUICAO</t>
  </si>
  <si>
    <t>15.519.563/0001-68</t>
  </si>
  <si>
    <t>SALUA ANDRADE</t>
  </si>
  <si>
    <t>(11) 981298582</t>
  </si>
  <si>
    <t>salua.andrade@uol.com.br</t>
  </si>
  <si>
    <t xml:space="preserve">SOMENTE A NR01 POIS O CONTRATO JÁ HAVIA SIDO RENOVADO </t>
  </si>
  <si>
    <t>CONDOMINIO SHOPPING CIDADE JARDIM</t>
  </si>
  <si>
    <t>10.739.781/0001-94</t>
  </si>
  <si>
    <t>Tássia Finazzi Guimarães</t>
  </si>
  <si>
    <t>(11)973977797</t>
  </si>
  <si>
    <t>tassiaguimaraes@cidadejardimshopping.com.br</t>
  </si>
  <si>
    <t>LOPES STAUDT ENGENHARIA LTDA</t>
  </si>
  <si>
    <t>34.998.767/0001-73</t>
  </si>
  <si>
    <t>GISELE</t>
  </si>
  <si>
    <t>(11) 994648740</t>
  </si>
  <si>
    <t>adm@lopesstaudt.com.br</t>
  </si>
  <si>
    <t>06/02/2026 - Empresa fechou com outra medicina</t>
  </si>
  <si>
    <t>PHAC SOLUCOES TECNOLOGICAS LTDA</t>
  </si>
  <si>
    <t>07.768.422/0001-50</t>
  </si>
  <si>
    <t>Erik Miguel</t>
  </si>
  <si>
    <t>(11)983268395</t>
  </si>
  <si>
    <t>rh@phac.com.br</t>
  </si>
  <si>
    <t>SEBO JOSE DE ALENCAR II COM DE LIVROS LTDA</t>
  </si>
  <si>
    <t>64.756.847/0001-83</t>
  </si>
  <si>
    <t>Rinaldo Garcia</t>
  </si>
  <si>
    <t>(11)940309171</t>
  </si>
  <si>
    <t>seguranca1@metalfersiderurgialtda.com.br</t>
  </si>
  <si>
    <t>F GOMES PINTURAS E REVESTIMENTOS LTDA</t>
  </si>
  <si>
    <t>45.107.755/0001-28</t>
  </si>
  <si>
    <t>AMANDA</t>
  </si>
  <si>
    <t>(11) 942586791</t>
  </si>
  <si>
    <t>fgomespinturas005@gmail.com</t>
  </si>
  <si>
    <t xml:space="preserve">RM REPRESENTACOES LTDA </t>
  </si>
  <si>
    <t>50.679.674/0001-32</t>
  </si>
  <si>
    <t>RODRIGO</t>
  </si>
  <si>
    <t xml:space="preserve">(11)940183531 </t>
  </si>
  <si>
    <t>rmrepresentacoes.comercial2@gmail.com</t>
  </si>
  <si>
    <t>HEGEO ASSESSORIA CONTABIL LTDA</t>
  </si>
  <si>
    <t>37.503.991/0001-35</t>
  </si>
  <si>
    <t>GEAN</t>
  </si>
  <si>
    <t>(11) 94024-4134</t>
  </si>
  <si>
    <r>
      <rPr>
        <rFont val="Arial"/>
        <color rgb="FF000000"/>
        <sz val="10.0"/>
      </rPr>
      <t>daniele@hegeocontabil.com.br</t>
    </r>
  </si>
  <si>
    <t>PGR, LTCAT, PCMSO e NR-01</t>
  </si>
  <si>
    <t>FUNDACAO DE APOIO AO MUSEU PAULISTA</t>
  </si>
  <si>
    <t>46.348.623/0001-50</t>
  </si>
  <si>
    <t>JULIANA LIMA</t>
  </si>
  <si>
    <t xml:space="preserve"> (11 99514-0861)</t>
  </si>
  <si>
    <t>administrativo@faamp.com.br</t>
  </si>
  <si>
    <t>26/02 A empresa resolveu seguir com a prestadora atual;</t>
  </si>
  <si>
    <t>FINA PARTICIPACOES LTDA</t>
  </si>
  <si>
    <t>03.040.401/0001-63</t>
  </si>
  <si>
    <t>LENIZA</t>
  </si>
  <si>
    <t>(11) 97612-2909</t>
  </si>
  <si>
    <t>leniza@fina.com.br</t>
  </si>
  <si>
    <t>LIFE PONG SAO CAETANO DO SUL LTDA</t>
  </si>
  <si>
    <t>63.836.590/0001-07</t>
  </si>
  <si>
    <t>Henrique Mitsuo</t>
  </si>
  <si>
    <t>(11) 99889-8552</t>
  </si>
  <si>
    <t>fernando.turchiai@garzaif.com.br</t>
  </si>
  <si>
    <t xml:space="preserve">TOTEN PROJETOS E CONSULTORIA DE ENGENHARIA LTDA </t>
  </si>
  <si>
    <t>54.693.963/0001-47</t>
  </si>
  <si>
    <t>GABRIEL</t>
  </si>
  <si>
    <t>(11)953532132</t>
  </si>
  <si>
    <t>gabriel.oliveira@toten.org</t>
  </si>
  <si>
    <t>DIGIEVO INOVACAO TECNOLOGICA LTDA</t>
  </si>
  <si>
    <t>27.284.511/0001-39</t>
  </si>
  <si>
    <t>CAMILA</t>
  </si>
  <si>
    <t>(11) 95836-3077</t>
  </si>
  <si>
    <t>camila.silva@digievo.co</t>
  </si>
  <si>
    <t xml:space="preserve">FLEXA FILMES IND. E COM. DE MATERIAL PLASTICO LTDA </t>
  </si>
  <si>
    <t>34.960.693/0001-86</t>
  </si>
  <si>
    <t>JESSICA MARGARITA SUÁREZ FERRETI</t>
  </si>
  <si>
    <t>(11) 99244-7287</t>
  </si>
  <si>
    <t>RH@EXTRUSORASFERRETI.COM.BR</t>
  </si>
  <si>
    <t>AET + NR01</t>
  </si>
  <si>
    <t>LOTUS POWER LAVANDERIA LTDA</t>
  </si>
  <si>
    <t>10.234.576/0001-77</t>
  </si>
  <si>
    <t>DOUGLAS FIGUEIRA</t>
  </si>
  <si>
    <t>dcfigueira1@gmail.com</t>
  </si>
  <si>
    <t>AVALIAÇÃO QUÍMICA – PERCLOROETILENO</t>
  </si>
  <si>
    <t>ALIDOLADO COMERCIAL LTDA</t>
  </si>
  <si>
    <t>54.902.285/0001-85</t>
  </si>
  <si>
    <t xml:space="preserve">IYAD AL TINAOUI </t>
  </si>
  <si>
    <t>(11)95153-1303</t>
  </si>
  <si>
    <t>ALIDOLADO@OUTLOOK.COM.BR</t>
  </si>
  <si>
    <t xml:space="preserve">A empresa nos deu uma devolutiva que foi fechado uma parceria com uma clínica que já teria contrato com eles, infelizemnte não pude reverter essa situação. </t>
  </si>
  <si>
    <t>RELLUNA COMERCIO VAREJISTA DE ROUPAS E ACESSORIOS LTDA</t>
  </si>
  <si>
    <t>22.923.248/0001-67</t>
  </si>
  <si>
    <t>Cassyane</t>
  </si>
  <si>
    <t>(11) 5128-0309</t>
  </si>
  <si>
    <t>cassyane2116@gmail.com</t>
  </si>
  <si>
    <t>DEVOLUTIVA: A empresa estava com algumas proposta e escolheram a mais barata, não tive chance de reduzir o investimento, pois foi uma devolutiva dos responsáveis da empresa.</t>
  </si>
  <si>
    <t>WILMOTORCYCLES SERVICES LTDA</t>
  </si>
  <si>
    <t>61.371.411/0001-88</t>
  </si>
  <si>
    <t>Manoela Batista da Silva</t>
  </si>
  <si>
    <t>(11) 98225-8666</t>
  </si>
  <si>
    <t>financeirowilmotorcycles@gmail.com</t>
  </si>
  <si>
    <t>MARINER ADVANCED MULTIMEDIA LTDA</t>
  </si>
  <si>
    <t>05.630.584/0001-00</t>
  </si>
  <si>
    <t>Raquel</t>
  </si>
  <si>
    <t>(11) 3288-8800</t>
  </si>
  <si>
    <t>raquel@pulsarmultimedia.com</t>
  </si>
  <si>
    <t>18/02/2026 - RAQUEL INFORMOU QUE NOSSA PROPOSTA ESTÁ ACIMA DO ESPERADO E SOLICITOU UMA REDUÇÃO PARA EM TORNO DE 400 ... (REDUZIMOS PARA 450, AGORA RETORNAR NA PRÓXIMA SEMANA)</t>
  </si>
  <si>
    <t>EXPRESSO ARGHI LTDA</t>
  </si>
  <si>
    <t>01.368.814/0001-46</t>
  </si>
  <si>
    <t xml:space="preserve">Rosalia Pimenta </t>
  </si>
  <si>
    <t xml:space="preserve">(11) 93502-5329 </t>
  </si>
  <si>
    <t>rh@expressoarghi.com.br</t>
  </si>
  <si>
    <t>26/02/2026 - EMPRESA FECHOU AGORA EM FEVEREIRO, MAS TERÁ O INICIO EM MAIO</t>
  </si>
  <si>
    <t>ESPARTA FISIOTERAPIA E TREINAMENTO LTDA</t>
  </si>
  <si>
    <t>62.116.749/0001-56</t>
  </si>
  <si>
    <t>Amanda</t>
  </si>
  <si>
    <t>(11) 2033-7000</t>
  </si>
  <si>
    <t>gerencia.institutoesparta@gmail.com</t>
  </si>
  <si>
    <t>19/02/2026 - AMANDA INFORMOU QUE O PROCESSO DE CONTRATAÇÃO DE GESTÃO SST FOI CONGELADO</t>
  </si>
  <si>
    <t>GRC SERVICOS DE PORTARIA E LIMPEZA LTDA</t>
  </si>
  <si>
    <t>59.907.514/0001-78</t>
  </si>
  <si>
    <t>ADRIANA</t>
  </si>
  <si>
    <t>11 91852-2211</t>
  </si>
  <si>
    <r>
      <rPr>
        <rFont val="Arial"/>
        <color rgb="FF000000"/>
        <sz val="10.0"/>
      </rPr>
      <t>adm@grcservicos.com</t>
    </r>
  </si>
  <si>
    <t>30 TABELIAO DE NOTAS DA COMARCA DA CAPITAL</t>
  </si>
  <si>
    <t>45.576.691/0001-04</t>
  </si>
  <si>
    <t>LUCIANA</t>
  </si>
  <si>
    <t>(11) 3881-5050</t>
  </si>
  <si>
    <t xml:space="preserve"> luciana.almeida@cartorioblasco.com.br</t>
  </si>
  <si>
    <t>PAE</t>
  </si>
  <si>
    <t>PACIFIC INTERNATIONAL LINES AGENCIA MARITIMA (BRAZIL) LTDA</t>
  </si>
  <si>
    <t>53.364.616/0001-08</t>
  </si>
  <si>
    <t xml:space="preserve"> (13) 2101-7890</t>
  </si>
  <si>
    <t>dbarreto.ssz@unishipping.com.br</t>
  </si>
  <si>
    <t>EDIFICIO VILLAGE TROPICAL</t>
  </si>
  <si>
    <t>06.011.224/0001-85</t>
  </si>
  <si>
    <t xml:space="preserve">Shirley </t>
  </si>
  <si>
    <t xml:space="preserve"> (11) 99943-3696 </t>
  </si>
  <si>
    <t>villagetropical655@gmail.com</t>
  </si>
  <si>
    <t>SEM RETORNO</t>
  </si>
  <si>
    <t>SUVIDE ALIMENTOS LTDA</t>
  </si>
  <si>
    <t>60.805.272/0001-90</t>
  </si>
  <si>
    <t>PATRICIA</t>
  </si>
  <si>
    <t>(11) 2672-9500</t>
  </si>
  <si>
    <t>rh@suvide.com.br</t>
  </si>
  <si>
    <t>NR-01</t>
  </si>
  <si>
    <t>ESTUDIO LUME DESIGN LTDA</t>
  </si>
  <si>
    <t>16.983.622/0001-17</t>
  </si>
  <si>
    <t>Telma Fanuchi</t>
  </si>
  <si>
    <t>(11)993011336</t>
  </si>
  <si>
    <t>estudiolumedesign@gmail.com</t>
  </si>
  <si>
    <t>CONDOMINIO EDIFICIO OLIMPIA</t>
  </si>
  <si>
    <t>53.836.144/0001-49</t>
  </si>
  <si>
    <t>NATALIA</t>
  </si>
  <si>
    <t>(11) 96831-5942</t>
  </si>
  <si>
    <t>rh@turimcondominios.com.br</t>
  </si>
  <si>
    <t>OSAKA DESENTUPIDORA E DEDETIZADORA LTDA</t>
  </si>
  <si>
    <t>00.000.395/0001-22</t>
  </si>
  <si>
    <t>RIAN RENEN</t>
  </si>
  <si>
    <t>(11) 5668-4000</t>
  </si>
  <si>
    <t>rh@osaka.com.br</t>
  </si>
  <si>
    <t>TREINAMENTO NR18</t>
  </si>
  <si>
    <t>V.E GODOI CONSULTORIA DE RH LTDA</t>
  </si>
  <si>
    <t>18.948.051/0001-05</t>
  </si>
  <si>
    <t>Vanessa Elisa Godoi</t>
  </si>
  <si>
    <t>(11) 95176-1791</t>
  </si>
  <si>
    <t>rh@jundempregos.com.br</t>
  </si>
  <si>
    <t xml:space="preserve">FATURAMENTO DE EXAMES </t>
  </si>
  <si>
    <t>CM DESIGN LTDA.</t>
  </si>
  <si>
    <t>35.061.486/0001-52</t>
  </si>
  <si>
    <t xml:space="preserve">INSTITUTO SOCIAL EDUCATIVO CULTURAL E DE TRANSFORMACAO SOLIDARIA </t>
  </si>
  <si>
    <t>00.356.492/0002-33</t>
  </si>
  <si>
    <t>José Evilasio de Jesus</t>
  </si>
  <si>
    <t xml:space="preserve">(11) 94313-8252 </t>
  </si>
  <si>
    <t>ceijoanaalves@gmail.com</t>
  </si>
  <si>
    <t>Exames In Company</t>
  </si>
  <si>
    <t>METALFER SIDERURGIA LTDA.</t>
  </si>
  <si>
    <t>42.598.996/0001-29</t>
  </si>
  <si>
    <t>Larissa Barcelos</t>
  </si>
  <si>
    <t>(31)997997338</t>
  </si>
  <si>
    <t>FIT TEST QUALITATIVO</t>
  </si>
  <si>
    <t>CFT VIAGENS E TURISMO LTDA</t>
  </si>
  <si>
    <t>53.777.310/0003-45</t>
  </si>
  <si>
    <t>TATIELLE RIBEIRO</t>
  </si>
  <si>
    <t>(31) 3309-9449</t>
  </si>
  <si>
    <r>
      <rPr>
        <rFont val="Arial"/>
        <color theme="1"/>
      </rPr>
      <t>FINANCEIRO@CRMQ.COM.BR</t>
    </r>
  </si>
  <si>
    <t>ADVOCACIA VALDIR MOCELIN - SOCIEDADE DE ADVOGADOS</t>
  </si>
  <si>
    <t>01.905.502/0001-24</t>
  </si>
  <si>
    <t>ademir lino felipe</t>
  </si>
  <si>
    <t>(11)98286-9372</t>
  </si>
  <si>
    <t>linofelipe_@hotmail.com</t>
  </si>
  <si>
    <t>RLUCCI CONSULTORIA INDUSTRIAL LTDA</t>
  </si>
  <si>
    <t>50.850.720/0001-14</t>
  </si>
  <si>
    <t>LUCIA HELENA</t>
  </si>
  <si>
    <t>(11)983241011</t>
  </si>
  <si>
    <t>financeiro1@linktecno.com.br</t>
  </si>
  <si>
    <t>RM CONSULTORIA INDUSTRIAL LTDA</t>
  </si>
  <si>
    <t>21.941.353/0001-66</t>
  </si>
  <si>
    <t>DABASONS IMPORTACAO EXPORTACAO E COMERCIO LTDA</t>
  </si>
  <si>
    <t>61.519.955/0001-44</t>
  </si>
  <si>
    <t>Kimberly Melo</t>
  </si>
  <si>
    <t>(11)97101-7775</t>
  </si>
  <si>
    <t>kimberly@dabasons.com.br</t>
  </si>
  <si>
    <t>Clínica Médica Gabrielle Mendonça LTDA</t>
  </si>
  <si>
    <t>22.552.001/0001-81</t>
  </si>
  <si>
    <t>Gabrielle Augusta Rossas Mendonça</t>
  </si>
  <si>
    <t xml:space="preserve"> (11) 95953-4502</t>
  </si>
  <si>
    <t>atendimentodragabrielle@gmail.com</t>
  </si>
  <si>
    <t>GRUPO PERMANEO</t>
  </si>
  <si>
    <t>55.881.216/0001-03 /  43.668.790/0001-90 / 47.234.888/0001-90 / 63.058.642/0001-61</t>
  </si>
  <si>
    <t>REGINA</t>
  </si>
  <si>
    <t xml:space="preserve">(43) 99186-3103 </t>
  </si>
  <si>
    <t xml:space="preserve">regina.nonato@grupopermaneo.com.br </t>
  </si>
  <si>
    <t>-</t>
  </si>
  <si>
    <t>TREINAMENTO NR5 + NR1</t>
  </si>
  <si>
    <t>18/02/2026 - REGINA IFORMOU QUE IRÁ FECHAR CONOSCO, PORTANTO BASTA AGUARDAR ATÉ NO MÁXIMO PRÓXIMA SEMANA</t>
  </si>
  <si>
    <t>GIOVANA ARAUJO MARTINS</t>
  </si>
  <si>
    <t>33.662.808/0001-93</t>
  </si>
  <si>
    <t>SANDRO</t>
  </si>
  <si>
    <t>(11) 97054-8834</t>
  </si>
  <si>
    <t>SERVICOS.STATUS@GMAIL.COM</t>
  </si>
  <si>
    <t>PGR, PCMSO</t>
  </si>
  <si>
    <t>PROFESSOR EDU MORAIS EDUCA HISTORIA LTDA</t>
  </si>
  <si>
    <t>58.519.712/0001-00</t>
  </si>
  <si>
    <t>EDUARDO MORAIS</t>
  </si>
  <si>
    <t>(11)948600051</t>
  </si>
  <si>
    <t>eduardo.moraismachado@gmail.com</t>
  </si>
  <si>
    <t xml:space="preserve">MARUBENI GRAOS BRASIL S.A. </t>
  </si>
  <si>
    <t xml:space="preserve">25.142.875/0001-59 </t>
  </si>
  <si>
    <t>Giovanna Vieira</t>
  </si>
  <si>
    <t xml:space="preserve"> (11) 95311-6365 </t>
  </si>
  <si>
    <t xml:space="preserve">giovanna.vieira@marubenigraos.com </t>
  </si>
  <si>
    <t>TREINAMENTO NR1</t>
  </si>
  <si>
    <t>ESCOLA VILA MONTEIRO LOBATO LTDA</t>
  </si>
  <si>
    <t>52.802.493/0001-87</t>
  </si>
  <si>
    <t>RENATO CAMPANA CARRAMENHA</t>
  </si>
  <si>
    <t>(11) 2385-8583</t>
  </si>
  <si>
    <t>recarra@terra.com.br</t>
  </si>
  <si>
    <t>PGR, PCMSO, LTCAT e GESTÃO DO ESOCIAL</t>
  </si>
  <si>
    <t xml:space="preserve">11/02 RENOVAÇÃO DOS LAUDOS AVULSO </t>
  </si>
  <si>
    <t>MONTEIRO SAUDE E SABOR ALIMENTACAO LTDA</t>
  </si>
  <si>
    <t>32.074.222/0001-45</t>
  </si>
  <si>
    <t>MAILBOX INTERNET E TELECOMUNICACOES LTDA</t>
  </si>
  <si>
    <t>16.632.321/0001-49</t>
  </si>
  <si>
    <t>JOELCIO CEZAR MACHADO</t>
  </si>
  <si>
    <t>(41) 99640-9778</t>
  </si>
  <si>
    <t>comercial@creativeinternet.com.br</t>
  </si>
  <si>
    <t xml:space="preserve">EXAMES </t>
  </si>
  <si>
    <t xml:space="preserve">11/02 A EMPRESA SOLICITOU UM CONTRATO PARA A REALIZAÇÃO DOS EXAMES </t>
  </si>
  <si>
    <t xml:space="preserve">AJUSA DO BRASIL </t>
  </si>
  <si>
    <t>03.955.129/0001-41</t>
  </si>
  <si>
    <t>JADE PAULO JOSE DA CRUZ</t>
  </si>
  <si>
    <t>(11)97864-9499</t>
  </si>
  <si>
    <t>ADMINISTRATIVO@AJUSA.COM.BR</t>
  </si>
  <si>
    <t xml:space="preserve">10/01 - pediu para entrar em contato no dia 13/02 às 13h. / 13/02 A empresa infelizmente seguiu diretamente com a empresa que a contabilidade aconselhou. (Não consegui reverter os valores) </t>
  </si>
  <si>
    <t xml:space="preserve">13/02/2026 - contrato assinado </t>
  </si>
  <si>
    <t>ASSOCIAÇÃO DAS VOLUNTÁRIAS AMARELAS DO HOSPITAL INFANTIL DARCY VARGAS</t>
  </si>
  <si>
    <t>52.631.033/0001-33</t>
  </si>
  <si>
    <t xml:space="preserve">ELAINE </t>
  </si>
  <si>
    <t>(11)98304-4545</t>
  </si>
  <si>
    <t xml:space="preserve">Ligar na ultima semana de Fevereiro </t>
  </si>
  <si>
    <t xml:space="preserve"> Artflex Engenharia LTDA </t>
  </si>
  <si>
    <t>37.073.624/0001-49</t>
  </si>
  <si>
    <t xml:space="preserve">Rafael </t>
  </si>
  <si>
    <t>(61) 99847-4856</t>
  </si>
  <si>
    <t>gestao@artflexengenharia.eng.br</t>
  </si>
  <si>
    <t>CHL CORRETORA DE SEGUROS LTDA</t>
  </si>
  <si>
    <t>43.086.572/0001-48</t>
  </si>
  <si>
    <t xml:space="preserve">CINTIA </t>
  </si>
  <si>
    <t>(11) 97662-4320</t>
  </si>
  <si>
    <t>administrativo@chlseguros.com.br</t>
  </si>
  <si>
    <t xml:space="preserve">Tentativas de ligações sem retorno </t>
  </si>
  <si>
    <t>MC LAVANDERIA LTD</t>
  </si>
  <si>
    <t>10.317.179/0001-69</t>
  </si>
  <si>
    <t>MARIA CICERA</t>
  </si>
  <si>
    <t>(11) 95992-4687</t>
  </si>
  <si>
    <t>lavanderialavesp@gmail.com</t>
  </si>
  <si>
    <t>LPS COMPANY LTDA</t>
  </si>
  <si>
    <t>08.890.838/0008-86</t>
  </si>
  <si>
    <t>Flávia Fang</t>
  </si>
  <si>
    <t>(11) 3355-2220</t>
  </si>
  <si>
    <t>flavia.fang@avantlux.com.br</t>
  </si>
  <si>
    <t>EASY SHAKE BRASIL ARTIGOS ESPORTIVOS LTD</t>
  </si>
  <si>
    <t>24.673.515/0001-10</t>
  </si>
  <si>
    <t>Widna</t>
  </si>
  <si>
    <t>(11) 97220-2168</t>
  </si>
  <si>
    <t>widna.rh@easyshakebrasil.com.br</t>
  </si>
  <si>
    <t>CONTINENTAL DO BRASIL PRODUTOS AUTOMOTIVOS LTDA</t>
  </si>
  <si>
    <t>Raynara Cruz</t>
  </si>
  <si>
    <t>(71)3642-77963</t>
  </si>
  <si>
    <t>raynara.guimaraes.cruz@conti.com.br</t>
  </si>
  <si>
    <t>FIT TEST</t>
  </si>
  <si>
    <t>TOMADOR ALEGRIA FUNDO DE INVESTIMENTO IMOBILIARIO DE RESPONSABILIDADE ILIMITADA</t>
  </si>
  <si>
    <t>56.028.598/0001-91</t>
  </si>
  <si>
    <t xml:space="preserve">PGR e PCMSO </t>
  </si>
  <si>
    <t xml:space="preserve">A matriz I9 FACILITY SERVICOS GERAIS LTDA - 05738790000120 solicitou os laudos para o tomador </t>
  </si>
  <si>
    <t>SERVIÇO NACIONAL DE APRENDIZAGEM INDUSTRIAL</t>
  </si>
  <si>
    <t>03.774.819/0012-57</t>
  </si>
  <si>
    <t>Nilton Barbosa de Araujo</t>
  </si>
  <si>
    <t>(11) 97673-7912</t>
  </si>
  <si>
    <t xml:space="preserve">	nilton.araujo@sp.senai.br</t>
  </si>
  <si>
    <t>exames in company</t>
  </si>
  <si>
    <t xml:space="preserve">Proposta encaminhada na data de hoje 18/02 / TRATATIVA COM O SENHOR NILTON, CONSEGUI OS VALORES QUE A EMPRESA TERIA A NECESSIDADE E PRECISAMOS CHEGAR NELES. Valor antigo R$ 7.820 / novo valor conforme solicitado R$ 5.996. </t>
  </si>
  <si>
    <t>SOLAR 1000 VOLTS LTDA</t>
  </si>
  <si>
    <t>50.886.709/0001-04</t>
  </si>
  <si>
    <t>SILVIO</t>
  </si>
  <si>
    <t>11 98718-8005</t>
  </si>
  <si>
    <r>
      <rPr>
        <color rgb="FF000000"/>
        <sz val="10.0"/>
      </rPr>
      <t>Solar1000volts@gmail.com</t>
    </r>
  </si>
  <si>
    <t>BW BRASIL LTDA</t>
  </si>
  <si>
    <t>63.720.829/0001-89</t>
  </si>
  <si>
    <t>Richard</t>
  </si>
  <si>
    <t>(11)911430593</t>
  </si>
  <si>
    <t>bwbrasil55@gmail.com</t>
  </si>
  <si>
    <t>SOCIEDADE DE ESTUDOS ESPÍRITAS 3 DE OUTUBRO</t>
  </si>
  <si>
    <t>60.921.327/0001-28</t>
  </si>
  <si>
    <t>Sandra Tereza Dugaich Gallucci</t>
  </si>
  <si>
    <t>(11) 3672-9892</t>
  </si>
  <si>
    <t>sandra@3deoutubro.org.br</t>
  </si>
  <si>
    <t>LTI</t>
  </si>
  <si>
    <t xml:space="preserve">Proposta encaminhada na data de hoje 19/02 - Proposta assinada dia 23/02 - 23/02- Laudo de Insalubridade realizado para (Matriz 60.921.327/0001-28 e filial 60.921.327/0002-09) no valor de R$ 1.300,00 </t>
  </si>
  <si>
    <t>BAR E RESTAURANTE CGPS LTDA</t>
  </si>
  <si>
    <t>07.319.332/0001-82</t>
  </si>
  <si>
    <t>GERALDO DURSO</t>
  </si>
  <si>
    <t>(11) 97692-8234</t>
  </si>
  <si>
    <t>tradicaodomineiro@gmail.com</t>
  </si>
  <si>
    <t xml:space="preserve">11/02 - A empresa está com um processo de cancelamento com a outra empresa.Com isso, não consigo uma melhor devolutiva / 13/02 - Em contato com o senhor Geraldo, ele prometeu nos dar uma devolutiva na quarta-feira dia 18/02. 19/02 A empresa retornou as atividades hoje, com isso, só conseguiremos essa tratativa amanhã!  26/02 - RETORNAR HOJE ÀS 11H PARA TERMOS UM CONTATO MAIS ASSERTIVO </t>
  </si>
  <si>
    <t xml:space="preserve">EMILY DA SILVA BARRETO </t>
  </si>
  <si>
    <t>49.462.941/0001-36</t>
  </si>
  <si>
    <t>(11)93065-9730</t>
  </si>
  <si>
    <t>emilysbarreto1996@gmail.com</t>
  </si>
  <si>
    <t xml:space="preserve">23/02 - CONTRATO DE CREDENCIAMENTO COM A EMPRESA. </t>
  </si>
  <si>
    <t>Nossa Midia Comunicacao LTDA</t>
  </si>
  <si>
    <t>11.209.490.0001-57</t>
  </si>
  <si>
    <t>Danielle Ferreira Lindoso de Albuquerque Possa</t>
  </si>
  <si>
    <t>(11) 5080-1410</t>
  </si>
  <si>
    <t>financeiro@nossamidia.com.br</t>
  </si>
  <si>
    <t>R.I.V. MAIS BELEZA LTDA</t>
  </si>
  <si>
    <t>63.722.927/0001-55</t>
  </si>
  <si>
    <t>Ricardo Jitsuchaku</t>
  </si>
  <si>
    <t>(11) 98120-7245</t>
  </si>
  <si>
    <t>Rivsalao@gmail.com</t>
  </si>
  <si>
    <t>BARBEARIA MARCONI LTDA</t>
  </si>
  <si>
    <t>33.912.819/0001-84</t>
  </si>
  <si>
    <t xml:space="preserve">Pedro Henrique </t>
  </si>
  <si>
    <t>(11)952472239</t>
  </si>
  <si>
    <t>barbeariamarconi@gmail.com</t>
  </si>
  <si>
    <t>CTS VIGILANCIA E SEGURANCA - EIRELI</t>
  </si>
  <si>
    <t>02.250.366/0001-44</t>
  </si>
  <si>
    <t>MARCO FRANCHINI</t>
  </si>
  <si>
    <t>franchini@absoluteseguranca.com.br</t>
  </si>
  <si>
    <t>RENOVAÇÃO COM ENCREMENTO DE NR1</t>
  </si>
  <si>
    <t>INCLUSO NO PER CAPITA</t>
  </si>
  <si>
    <t>NILO DOCES ARTIGOS PARA FESTAS LTDA</t>
  </si>
  <si>
    <t>53.123.012/0001-70</t>
  </si>
  <si>
    <t>LOURDES</t>
  </si>
  <si>
    <t>(11)93920-3080</t>
  </si>
  <si>
    <r>
      <rPr>
        <rFont val="Arial"/>
        <color rgb="FF000000"/>
        <sz val="10.0"/>
      </rPr>
      <t>barbosalourdes1239@gmail.com</t>
    </r>
  </si>
  <si>
    <t>ATTO SERVICOS DE MARCENARIA E ESTANDES PARA EVENTOS LTDA</t>
  </si>
  <si>
    <t>35.002.494/0001-28</t>
  </si>
  <si>
    <t>BRENO BARROSO BATALHA</t>
  </si>
  <si>
    <t>(11)943131986</t>
  </si>
  <si>
    <t>brenobbatalha@gmail.com</t>
  </si>
  <si>
    <t>MAZETE CONSULTORIA EMPRESARIAL LTDA</t>
  </si>
  <si>
    <t>42.111.347/0001-51</t>
  </si>
  <si>
    <t>CARLOS HENRIQUE MAZETE</t>
  </si>
  <si>
    <t>(11 )980482171</t>
  </si>
  <si>
    <r>
      <rPr>
        <rFont val="Arial"/>
        <color rgb="FF000000"/>
        <sz val="10.0"/>
      </rPr>
      <t>alessandra.corso@arx.ing</t>
    </r>
  </si>
  <si>
    <t>00.356.492/0003-14</t>
  </si>
  <si>
    <t xml:space="preserve"> CONDOMINIO RESIDENCIAL FLAMBOYANT</t>
  </si>
  <si>
    <t xml:space="preserve">53.408.928/0001-76 </t>
  </si>
  <si>
    <t xml:space="preserve">PATRICIA BERNARDO </t>
  </si>
  <si>
    <t xml:space="preserve">(11) 94018-4738 </t>
  </si>
  <si>
    <t xml:space="preserve">recursoshumanos.flamboyant@gmail.com </t>
  </si>
  <si>
    <t>TREINAMENTO NR33</t>
  </si>
  <si>
    <t>GUARDO SEGURANÇA ELETORNICA LTDA</t>
  </si>
  <si>
    <t xml:space="preserve">RODRIGO </t>
  </si>
  <si>
    <t xml:space="preserve">TRIENAMENTO NR 6 10 35 </t>
  </si>
  <si>
    <t>MAPPTV.COM TECNOLOGIA COMERCIO E SERVICOS DE VALOR ADICIONADO LTDA</t>
  </si>
  <si>
    <t>13.298.907/0001-20</t>
  </si>
  <si>
    <t>(11) 97133-8967</t>
  </si>
  <si>
    <t>rh@expotelecom.com.br</t>
  </si>
  <si>
    <t xml:space="preserve"> TAG SOLUCOES EM ARQUITETURA E ENGENHARIA LTDA</t>
  </si>
  <si>
    <t>50.050.669/0001-66</t>
  </si>
  <si>
    <t>Henrique Campos</t>
  </si>
  <si>
    <t>FINANCEIRO@TAGSOLUCOES.COM.BR</t>
  </si>
  <si>
    <t>XNCAPAS ACESSORIOS DE TELEFONIA LTDA</t>
  </si>
  <si>
    <t xml:space="preserve">64.983.906/0001-56 </t>
  </si>
  <si>
    <t xml:space="preserve">Humberto </t>
  </si>
  <si>
    <t xml:space="preserve">(11)933241401 </t>
  </si>
  <si>
    <t xml:space="preserve">Humberto.liins00@icloud.com </t>
  </si>
  <si>
    <t>J.A. DA CAMARA FERNANDEZ LTDA</t>
  </si>
  <si>
    <t>19.164.899/0015-01</t>
  </si>
  <si>
    <t>Paulo Renato</t>
  </si>
  <si>
    <t>paulorenato.rvs@gmail.com</t>
  </si>
  <si>
    <t>PGR + PCMSO</t>
  </si>
  <si>
    <t>MARISA MAGNO VIEIRA</t>
  </si>
  <si>
    <t>18.597.558/0001-61</t>
  </si>
  <si>
    <t xml:space="preserve">MARISA   </t>
  </si>
  <si>
    <r>
      <rPr>
        <rFont val="Roboto, Helvetica, Arial, sans-serif"/>
        <color rgb="FF1155CC"/>
        <u/>
      </rPr>
      <t>marisamagno29@gmail.com</t>
    </r>
  </si>
  <si>
    <t xml:space="preserve">PANDA FOOD HOUSE </t>
  </si>
  <si>
    <t>60.773.659/0001-02</t>
  </si>
  <si>
    <t>Lin lihua</t>
  </si>
  <si>
    <t>11 945274602</t>
  </si>
  <si>
    <t>SOCIETARIO@EVICONT.COM.BR</t>
  </si>
  <si>
    <t>VERA LUIZA MARTINIANO DE SOUSA</t>
  </si>
  <si>
    <t>12.961.465/0001-98</t>
  </si>
  <si>
    <t xml:space="preserve">VANUZA </t>
  </si>
  <si>
    <t>11 99462-0177</t>
  </si>
  <si>
    <r>
      <rPr>
        <rFont val="Arial"/>
        <color rgb="FF1155CC"/>
        <u/>
      </rPr>
      <t>ADMIN@VERALUIZA.COM.BR</t>
    </r>
  </si>
  <si>
    <t xml:space="preserve">26/02 Aguardando o retorno do diretor </t>
  </si>
  <si>
    <t>GUMI COMERCIO DE ALIMENTOS LTDA</t>
  </si>
  <si>
    <t>31.461.253/0001-96</t>
  </si>
  <si>
    <t>ALINE</t>
  </si>
  <si>
    <t>11 98280-6262</t>
  </si>
  <si>
    <t>newyork_burger@hotmail.com</t>
  </si>
  <si>
    <t>total 6.864,00 (24 meses) contato para a meta somente 12 meses</t>
  </si>
  <si>
    <t>A&amp;R COMERCIO DE ALIMENTOS LTDA</t>
  </si>
  <si>
    <t>26.412.089/0001-97</t>
  </si>
  <si>
    <t xml:space="preserve"> PMA INNOVA ADMINISTRACAO E PARTICIPACOES LTDA</t>
  </si>
  <si>
    <t>07.588.875/0001-03</t>
  </si>
  <si>
    <t>FRANCIELI SILVA DOS SANTOS</t>
  </si>
  <si>
    <t>(11) 98895-3274</t>
  </si>
  <si>
    <r>
      <rPr>
        <rFont val="&quot;Arial MT&quot;,sans-serif"/>
        <color rgb="FF000000"/>
        <sz val="11.0"/>
      </rPr>
      <t>francieli.santos@innova.net.br</t>
    </r>
  </si>
  <si>
    <t>PMA INNOVA ADMINISTRACAO CONDOMINIAL LTDA</t>
  </si>
  <si>
    <t>14.695.349/0001-08</t>
  </si>
  <si>
    <r>
      <rPr>
        <rFont val="&quot;Arial MT&quot;,sans-serif"/>
        <color rgb="FF000000"/>
        <sz val="11.0"/>
      </rPr>
      <t>francieli.santos@innova.net.br</t>
    </r>
  </si>
  <si>
    <t>CINEMA ARTEPLEX LTDA</t>
  </si>
  <si>
    <t>04.969.463/0009-74</t>
  </si>
  <si>
    <t>ADHEMAR DE OLIVEIRA</t>
  </si>
  <si>
    <t>(11) 99581-0663</t>
  </si>
  <si>
    <t>adhemar@espacofilmes.com.br</t>
  </si>
  <si>
    <t>SPEED AUTOCENTER</t>
  </si>
  <si>
    <t>54.581.978/0001-13</t>
  </si>
  <si>
    <t>NILSON MAESTRO</t>
  </si>
  <si>
    <t>(19) 99181-7401</t>
  </si>
  <si>
    <t>FINANCEIRO.EABONOME@BONOPNEUS.COM.BR</t>
  </si>
  <si>
    <t>SOLICITAÇÃO DE NR01 24/02</t>
  </si>
  <si>
    <t>CRISTIAN BARBOSA DOS SANTOS</t>
  </si>
  <si>
    <t>07.454.789/0001-08</t>
  </si>
  <si>
    <t>Edvânia de Sousa</t>
  </si>
  <si>
    <t>(11) 96133-2028</t>
  </si>
  <si>
    <t>artel.carreteis@gmail.com</t>
  </si>
  <si>
    <t>SOLICITAÇÃO DE NR01 23/02</t>
  </si>
  <si>
    <t>DIEGO FERNANDES EDELSTEIN</t>
  </si>
  <si>
    <t>50.144.620/0001-72</t>
  </si>
  <si>
    <t>(11) 9141-4171</t>
  </si>
  <si>
    <t>diegoedelstein@gmail.com.br</t>
  </si>
  <si>
    <t>25/02 - Empresa aceitou o contrato à vista, encaminhar a planilha amanhã e adicionar os funcionarios no sistema. Devemos entrar em contato com a empresa na segunda semana de março para agendarmos a data de visita.</t>
  </si>
  <si>
    <t>GUARANTAN COMERCIO VAREJISTA LTDA</t>
  </si>
  <si>
    <t>57.821.929/0001-07</t>
  </si>
  <si>
    <t xml:space="preserve">JOICE ANDRADE DE LIMA </t>
  </si>
  <si>
    <t>(11) 98215-5770</t>
  </si>
  <si>
    <t>joice.lima@marelar.com.br</t>
  </si>
  <si>
    <t xml:space="preserve">25/02 - solicitação do pacote de sst destinado 1 funcionário, realizar somente a renovação com os laudos antigos de outra empresa, e depois realizar a visita. </t>
  </si>
  <si>
    <t>VAGAFLIX SOLUTIONS LTDA</t>
  </si>
  <si>
    <t>15.394.958/0001-81</t>
  </si>
  <si>
    <t>RODRIGO DORTA RODRIGUES</t>
  </si>
  <si>
    <t>(11) 97272-8486</t>
  </si>
  <si>
    <t>admin@vagaflix.com</t>
  </si>
  <si>
    <t>26/02 - EMPRESA CONTRATOU O PACOTE DE SST COMPLETO (A EMPRESA É TOTALMENTE HOME OFFICE, COM ISSO, SERÁ REALIZADO OS LAUDOS SOMENTE COM AS INFORMAÇÕES PREENCHIDAS NA PLANILHA DA ENGENHARIA).</t>
  </si>
  <si>
    <t>CW TOUR EIRELI</t>
  </si>
  <si>
    <t>04.699.574/0001-50</t>
  </si>
  <si>
    <t>(11) 3660-1699</t>
  </si>
  <si>
    <t>glaucia@cwtour.com.br</t>
  </si>
  <si>
    <t>PLENA TERCEIRIZACAO DE SERVICOS LTDA</t>
  </si>
  <si>
    <t>71.655.120/0001-75</t>
  </si>
  <si>
    <t>Fábia</t>
  </si>
  <si>
    <t>compras@plenats.com.br</t>
  </si>
  <si>
    <t xml:space="preserve">PACOTE SST + NR1 PALESTRA </t>
  </si>
  <si>
    <t>(11)994851128</t>
  </si>
  <si>
    <t>30/01/2026 - PROPOSTA  ATUALIZADA COM VINICIUS FERREIRA (SISTEMAS)</t>
  </si>
  <si>
    <t>WANDERLEY M DE OLIVEIRA - COMERCIO E SERVICOS DE FERRAGENS</t>
  </si>
  <si>
    <t>32.911.457.0001-44</t>
  </si>
  <si>
    <t>Wanderley</t>
  </si>
  <si>
    <t>in9ve.serralheria@hotmail.com</t>
  </si>
  <si>
    <t>PGR, PCMSO e APR</t>
  </si>
  <si>
    <t>OXY PRIME PACAEMBU LTDA</t>
  </si>
  <si>
    <t>57.752.700/0001-50</t>
  </si>
  <si>
    <t>Flávia</t>
  </si>
  <si>
    <t xml:space="preserve">flavia.aires@grupooxyhealth.com.br  </t>
  </si>
  <si>
    <t>C R BURMAIAN COSMETICOS E ARTIGOS DE MODA SOCIEDADE LIMITADA</t>
  </si>
  <si>
    <t>39.815.586/0001-88</t>
  </si>
  <si>
    <t>Flavia Morais</t>
  </si>
  <si>
    <t>financeiro@cathybeauty.com.br</t>
  </si>
  <si>
    <t>DISTRIBUIDORA DE ALIMENTOS FAMILIA LIMA LTDA</t>
  </si>
  <si>
    <t>34.295.784/0001-44</t>
  </si>
  <si>
    <t>Sabrina</t>
  </si>
  <si>
    <t>Distribuidorafamilialima@gmail.com</t>
  </si>
  <si>
    <t>AFETTO ART FABRICACAO E VENDA DE MOVEIS LTDA</t>
  </si>
  <si>
    <t>50.915.961/0001-02</t>
  </si>
  <si>
    <t>Karina</t>
  </si>
  <si>
    <t>felipewsilva.fs@gmail.com</t>
  </si>
  <si>
    <t>R FAVERI LICITACOES ENGENHARIA LTDA</t>
  </si>
  <si>
    <t>48.716.987/0001-71</t>
  </si>
  <si>
    <t>Ricardo</t>
  </si>
  <si>
    <t>rfaveriprojetosengenharia@gmail.com</t>
  </si>
  <si>
    <t>CHOCO&amp;LATTE COMERCIO DE ALIMENTOS LTDA</t>
  </si>
  <si>
    <t>64.418.244/0001-71</t>
  </si>
  <si>
    <t>Luciana Mattioli</t>
  </si>
  <si>
    <t>luciana.paula.reggiani@gmail.com</t>
  </si>
  <si>
    <t>ASTERA COMERCIO E IMPORTACAO LTDA</t>
  </si>
  <si>
    <t>50.163.452/0001-62</t>
  </si>
  <si>
    <t xml:space="preserve">CHRISTIAN </t>
  </si>
  <si>
    <t>cribeiro2000@gmail.com</t>
  </si>
  <si>
    <t xml:space="preserve"> FUNCIONÁRIOS</t>
  </si>
  <si>
    <t>ENVIO</t>
  </si>
  <si>
    <t>FECHAMENTO</t>
  </si>
  <si>
    <t>CONTRATOS NOVOS</t>
  </si>
  <si>
    <t>MINUTA DE CONTRATO</t>
  </si>
  <si>
    <t>O.S</t>
  </si>
  <si>
    <t>FONTE DO CONTATO</t>
  </si>
  <si>
    <r>
      <rPr>
        <rFont val="Arial"/>
        <color theme="1"/>
      </rPr>
      <t>adm@grcservicos.com</t>
    </r>
  </si>
  <si>
    <t>04/03 A empresa não deu nenhuma devolutiva.</t>
  </si>
  <si>
    <t>THEOTECH ASSESSORIA E CONSULTORIA EMPRESARIAL LTDA</t>
  </si>
  <si>
    <t>19.418.942/0001-12</t>
  </si>
  <si>
    <t>16 3629-4171</t>
  </si>
  <si>
    <r>
      <rPr>
        <rFont val="&quot;Arial&quot;,sans-serif"/>
        <color rgb="FF1155CC"/>
        <u/>
      </rPr>
      <t>vinicius1311@hotmail.com</t>
    </r>
  </si>
  <si>
    <t>PACOTE BÁSICO</t>
  </si>
  <si>
    <t>SINCOM IMPORTACAO E EXPORTACAO</t>
  </si>
  <si>
    <t>00.443.902/0003-64</t>
  </si>
  <si>
    <t>TATIANE</t>
  </si>
  <si>
    <t>(11)96160-7824</t>
  </si>
  <si>
    <t>tatiane@jffborrachas.com.br</t>
  </si>
  <si>
    <t>ETIBOM GRAFICA E EDITORA LTDA</t>
  </si>
  <si>
    <t>50.560.685/0001-07</t>
  </si>
  <si>
    <t>(11) 97334-0433</t>
  </si>
  <si>
    <t>etibomgrafica@gmail.com</t>
  </si>
  <si>
    <t>(11) 94527-4602</t>
  </si>
  <si>
    <t xml:space="preserve">OK KOMMO </t>
  </si>
  <si>
    <t>(11) 99462-0177</t>
  </si>
  <si>
    <r>
      <rPr>
        <rFont val="Arial"/>
        <color rgb="FF1155CC"/>
        <u/>
      </rPr>
      <t>ADMIN@VERALUIZA.COM.BR</t>
    </r>
  </si>
  <si>
    <t>Danielle Ferreira</t>
  </si>
  <si>
    <t xml:space="preserve">Disse que mais frente retorna </t>
  </si>
  <si>
    <t>OF SAUDE SERVICOS MEDICOS E ODONTOLOGICOS LTDA</t>
  </si>
  <si>
    <t>24.905.764/0001-94</t>
  </si>
  <si>
    <t>VERA LUCIA</t>
  </si>
  <si>
    <t>(11)5542-8846</t>
  </si>
  <si>
    <t>OF-SAUDEORALINTEGRADA@UOL.COM.BR</t>
  </si>
  <si>
    <t xml:space="preserve">DIA 20 DE MARÇO  RETORNO  - 30/03 Assinar hoje </t>
  </si>
  <si>
    <t>R$ 190,00</t>
  </si>
  <si>
    <t xml:space="preserve">11/02 - A empresa está com um processo de cancelamento com a outra empresa.Com isso, não consigo uma melhor devolutiva / 13/02 - Em contato com o senhor Geraldo, ele prometeu nos dar uma devolutiva na quarta-feira dia 18/02. 19/02 A empresa retornou as atividades hoje, com isso, só conseguiremos essa tratativa amanhã!  26/02 - RETORNAR HOJE ÀS 11H PARA TERMOS UM CONTATO MAIS ASSERTIVO / 02/03 - Consegui contato com o senhor Geraldo, o mesmo pediu para que enviassemos a proposta e o link de assinatura para a realização dos laudos. </t>
  </si>
  <si>
    <t>JARDIM DOS MORANGOS LTDA</t>
  </si>
  <si>
    <t>51.217.273/0001-23</t>
  </si>
  <si>
    <t>Stefani da Silva Pinheiro Valentim Cardoso</t>
  </si>
  <si>
    <t>(11)91332-0557</t>
  </si>
  <si>
    <t>stefani.spinheiro@gmail.com</t>
  </si>
  <si>
    <t xml:space="preserve">02/03 - Proposta encaminhado hoje para melhor avaliação. / PROPOSTA ASSINADA NO DIA 04/03. </t>
  </si>
  <si>
    <t>CRISTIAN BARBOSA DOS SANTOS (ARTEL PACK)</t>
  </si>
  <si>
    <t>HG IMPORTADORA</t>
  </si>
  <si>
    <t>35.434.498/0001-85</t>
  </si>
  <si>
    <t xml:space="preserve">Eduardo </t>
  </si>
  <si>
    <t>(11) 99342-7694</t>
  </si>
  <si>
    <t>eduardo@hgtoys.com.br</t>
  </si>
  <si>
    <t>DELTAS SUPRIMENTOS DE INFORMATICA LTDA</t>
  </si>
  <si>
    <t>50.033.361/0001-02</t>
  </si>
  <si>
    <t>Susanne Roik Martins</t>
  </si>
  <si>
    <t>(11)918342609</t>
  </si>
  <si>
    <t>susanne.martins@senderoinvest.com.br</t>
  </si>
  <si>
    <t>Entrar em contato no dia 09/03/2026.</t>
  </si>
  <si>
    <t>LISA LASER SAO VICENTE LTDA</t>
  </si>
  <si>
    <t>26.483.413/0001-68</t>
  </si>
  <si>
    <t xml:space="preserve">ANDRÉ </t>
  </si>
  <si>
    <t>(11) 97637-9194</t>
  </si>
  <si>
    <t>andre@elbaixada.com.br</t>
  </si>
  <si>
    <t>LISA A LASER BOQUEIRAO LTDA</t>
  </si>
  <si>
    <t>40.151.316/0001-07</t>
  </si>
  <si>
    <t>ANDRÉ</t>
  </si>
  <si>
    <t>LISA A LASER PLAZA SERVICOS ESTETICOS LTDA</t>
  </si>
  <si>
    <t>24.934.191/0001-27</t>
  </si>
  <si>
    <t>LISA A LASER ITARARE LTDA</t>
  </si>
  <si>
    <t>53.983.757/0001-09</t>
  </si>
  <si>
    <t>MKN PRODUTOS ELETRONICOS LTDA</t>
  </si>
  <si>
    <t>05.789.903/0001-17</t>
  </si>
  <si>
    <t xml:space="preserve">OSVALDO </t>
  </si>
  <si>
    <t>(11)3227-1655</t>
  </si>
  <si>
    <r>
      <rPr>
        <rFont val="Arial"/>
        <color rgb="FF1155CC"/>
        <u/>
      </rPr>
      <t>osvaldo.barboza@mkn.com.br</t>
    </r>
  </si>
  <si>
    <t>OK KOMMO</t>
  </si>
  <si>
    <t>46.022.652/0001-28</t>
  </si>
  <si>
    <t xml:space="preserve">MARIA CECILIA </t>
  </si>
  <si>
    <r>
      <rPr>
        <rFont val="Arial"/>
        <color rgb="FF1155CC"/>
        <u/>
      </rPr>
      <t>cissa.mkn@hotmail.com</t>
    </r>
  </si>
  <si>
    <t xml:space="preserve">GRUPO OSAKA </t>
  </si>
  <si>
    <t>54.335.160.0001-43</t>
  </si>
  <si>
    <t xml:space="preserve">RIAN </t>
  </si>
  <si>
    <t>(11) 95121-9016</t>
  </si>
  <si>
    <t>96.535.455.0001/80</t>
  </si>
  <si>
    <t>TREINAMENTO NR23</t>
  </si>
  <si>
    <t>ARMSTRONG INTERNATIONAL DO BRASIL LTDA</t>
  </si>
  <si>
    <t>56.073.055/0001-86</t>
  </si>
  <si>
    <t xml:space="preserve">ISABELA </t>
  </si>
  <si>
    <t>(31) 99823-7429</t>
  </si>
  <si>
    <r>
      <rPr>
        <rFont val="Arial"/>
        <color rgb="FF1155CC"/>
        <u/>
      </rPr>
      <t>ipaiva@armstronginternational.</t>
    </r>
    <r>
      <rPr>
        <rFont val="Arial"/>
        <color rgb="FF0097A7"/>
        <u/>
      </rPr>
      <t>com</t>
    </r>
  </si>
  <si>
    <t xml:space="preserve">TREINAMENTOS CIPA, SIPAT, AAT, PAE,AET E LTP </t>
  </si>
  <si>
    <t>54.799.715 FELIPE DE OLIVEIRA CARLI</t>
  </si>
  <si>
    <t>54.799.715/0001-85</t>
  </si>
  <si>
    <t>Jéssica</t>
  </si>
  <si>
    <t>(11) 9786-9479</t>
  </si>
  <si>
    <t>comercial1@ocupacional.com.br</t>
  </si>
  <si>
    <t>PGR e AET</t>
  </si>
  <si>
    <t>03/03 - PROPOSTA PARA ELABORAÇÃO DOS LAUDOS AVULSO  / 06/03 - EM CONTATO COM A EMPRESA (DECLINEI)</t>
  </si>
  <si>
    <t xml:space="preserve">        nilton.araujo@sp.senai.br</t>
  </si>
  <si>
    <t>Proposta encaminhada na data de hoje 18/02 / TRATATIVA COM O SENHOR NILTON, CONSEGUI OS VALORES QUE A EMPRESA TERIA A NECESSIDADE E PRECISAMOS CHEGAR NELES. Valor antigo R$ 7.820 / novo valor conforme solicitado R$ 5.996 / RETORNAR NO DIA 17/03  PARA TENTARMOS REALIZAR O ACORDO. 24/03 Infelizmente desde o dia 17/03 sem contato. / Estarei retornando no mês subsequente.</t>
  </si>
  <si>
    <t>ASSOCIACAO BRASILEIRA DE OUVIDORES</t>
  </si>
  <si>
    <t>00.656.809/0001-76</t>
  </si>
  <si>
    <t xml:space="preserve">ARLLON </t>
  </si>
  <si>
    <t>(11) 3289-9300</t>
  </si>
  <si>
    <t>asouzav@hotmail.com</t>
  </si>
  <si>
    <t>PACOTE SST+ NR1 e AET</t>
  </si>
  <si>
    <t>SENDERO INTERMEDIACAO E AGENCIAMENTO DE SERVICOS LTDA</t>
  </si>
  <si>
    <t>49.301.225/0001-77</t>
  </si>
  <si>
    <t>MEZTLI EMPREENDIMENTOS E PARTICIPACOES LTDA.</t>
  </si>
  <si>
    <t>26.334.499/0001-67</t>
  </si>
  <si>
    <t>(11)919504629</t>
  </si>
  <si>
    <t>12</t>
  </si>
  <si>
    <t>Cliente adicionado na KOMMO - Em negociação</t>
  </si>
  <si>
    <t>24/03/2026 - SEM RETORNO DA PROPOSTA</t>
  </si>
  <si>
    <t>29/01/2026- Ligação feita cliente informou que ainda está aguardando a aprovação da diretoria, não tem data prevista para o retorno. Aguardar devolutiva da mesma. 24/03/2026</t>
  </si>
  <si>
    <t>7</t>
  </si>
  <si>
    <t>Eduardo Morais</t>
  </si>
  <si>
    <t>24/03/2026 - SEM RETORNO / 27/03/2026 - SEM RETORNO</t>
  </si>
  <si>
    <t>(11)940854852</t>
  </si>
  <si>
    <t>(11)921580523</t>
  </si>
  <si>
    <t>(11)980337583</t>
  </si>
  <si>
    <t>(11)933250573</t>
  </si>
  <si>
    <t>02/03/2026 - Karina informou que esta aguardando retorno da empresa. / 24/03/2026 - Sem retorno de parceria</t>
  </si>
  <si>
    <t>(11)993595332</t>
  </si>
  <si>
    <t>3</t>
  </si>
  <si>
    <t>(11)999008515</t>
  </si>
  <si>
    <t>03/03/2026 - Cliente optou por fechar com a clinica mais próxima da empresa dela.</t>
  </si>
  <si>
    <t>Christian</t>
  </si>
  <si>
    <t>(11)992244004</t>
  </si>
  <si>
    <t>30/03/2026 - E-mail enviado. / 31/03/2026 - SEM RETORNO DECLINANDO PROPOSTA</t>
  </si>
  <si>
    <t>ENDOCRINOLOGIA E METABOLOGIA CARLA FERRARI LTDA</t>
  </si>
  <si>
    <t>57.130.691/0001-65</t>
  </si>
  <si>
    <t>Philippe / Carla</t>
  </si>
  <si>
    <t>(19)998369876</t>
  </si>
  <si>
    <t>carlatferrari@hotmail.com</t>
  </si>
  <si>
    <t>DPJ SOLUCOES EM FACILITIES LTDA</t>
  </si>
  <si>
    <t>54.635.110/0001-59</t>
  </si>
  <si>
    <t>Oliveira</t>
  </si>
  <si>
    <t>(11)988685102</t>
  </si>
  <si>
    <t>David.oliveira18@gmail.com</t>
  </si>
  <si>
    <t>S &amp; S WORK SERVICOS LTDA</t>
  </si>
  <si>
    <t>48.058.281/0001-60</t>
  </si>
  <si>
    <t>José</t>
  </si>
  <si>
    <t>(11)952667555</t>
  </si>
  <si>
    <t>soares@sesworkservicos.com.br</t>
  </si>
  <si>
    <t>CONAM CONSULTORIA AMBIENTAL LTDA</t>
  </si>
  <si>
    <t>06.319.940/0001-70</t>
  </si>
  <si>
    <t>Jose Marcos</t>
  </si>
  <si>
    <t>(11) 932119691</t>
  </si>
  <si>
    <t xml:space="preserve">jose.junior@conam.eng.br </t>
  </si>
  <si>
    <t>PCMSO</t>
  </si>
  <si>
    <t>1</t>
  </si>
  <si>
    <t>MR LASER LOCACAO DE EQUIPAMENTOS E ESTETICA LTDA</t>
  </si>
  <si>
    <t>42.507.950/0001-57</t>
  </si>
  <si>
    <t>(11)916801306</t>
  </si>
  <si>
    <t xml:space="preserve"> Danicotolezza@gmail.com</t>
  </si>
  <si>
    <t>CONSORCIO GESTAO LMS</t>
  </si>
  <si>
    <t>46.173.437/0001-28</t>
  </si>
  <si>
    <t>FERNANDO</t>
  </si>
  <si>
    <t>(11) 3241-2789</t>
  </si>
  <si>
    <t>fernando.santana@lbreng.com.br</t>
  </si>
  <si>
    <t>IN COMPANY</t>
  </si>
  <si>
    <t>Arquimedes Construções SP LTDA</t>
  </si>
  <si>
    <t>46.783.763/0001-57</t>
  </si>
  <si>
    <t xml:space="preserve">PAULA </t>
  </si>
  <si>
    <t>(11) 99459-9180</t>
  </si>
  <si>
    <r>
      <rPr>
        <rFont val="&quot;Arial&quot;,sans-serif"/>
        <color rgb="FF1155CC"/>
        <u/>
      </rPr>
      <t>administrativosp@mobracerta.com</t>
    </r>
  </si>
  <si>
    <t xml:space="preserve">EXAMES  </t>
  </si>
  <si>
    <t>HAGAR GESTAO FINANCEIRA LTDA</t>
  </si>
  <si>
    <t>37.267.792/0001-75</t>
  </si>
  <si>
    <t>MARIA ADELE</t>
  </si>
  <si>
    <t>(11) 98705-5350</t>
  </si>
  <si>
    <r>
      <rPr>
        <rFont val="Arial"/>
        <color rgb="FF1155CC"/>
        <u/>
      </rPr>
      <t>adele@hagargestao.com.br</t>
    </r>
  </si>
  <si>
    <t>JL COMERCIO DE ARTIGOS PARA ANIMAIS SOCIEDADE UNIPESSOAL LTDA</t>
  </si>
  <si>
    <t>348.642.089/0001-16</t>
  </si>
  <si>
    <t>MICHELE</t>
  </si>
  <si>
    <t>(11) 91848-0369</t>
  </si>
  <si>
    <t>michele.ferraz@toutisp.com.br</t>
  </si>
  <si>
    <t>JL SCS COMERCIO DE ARTIGOS ANIMAIS LTDA</t>
  </si>
  <si>
    <t>62.098.789/0001-12</t>
  </si>
  <si>
    <t>JL2 COMERCIO DE ARTIGOS ANIMAIS LTDA</t>
  </si>
  <si>
    <t>60.902.968/0001-35</t>
  </si>
  <si>
    <t>JL3 COMERCIO DE ARTIGOS ANIMAIS LTDA</t>
  </si>
  <si>
    <t>61.156.459/0001-73</t>
  </si>
  <si>
    <t>BUSQUILA SERVICOS PET LTDA</t>
  </si>
  <si>
    <t>39.612.969/0001-59</t>
  </si>
  <si>
    <t>MARCELO</t>
  </si>
  <si>
    <t>(11) 97597-3411</t>
  </si>
  <si>
    <t>administracao@petparkhg.com.br</t>
  </si>
  <si>
    <t>FUNDACAO PAULISTA DE ASSISTENCIA A INFANCIA</t>
  </si>
  <si>
    <t>62.081.138/0001-10</t>
  </si>
  <si>
    <t>ANA CÉLIA</t>
  </si>
  <si>
    <t>(11) 3227-3423</t>
  </si>
  <si>
    <r>
      <rPr>
        <rFont val="Arial"/>
        <color rgb="FF1155CC"/>
        <u/>
      </rPr>
      <t>ceicasadomgastao@gmail.com</t>
    </r>
  </si>
  <si>
    <t>10</t>
  </si>
  <si>
    <t>OCTOFULL PARTICIPACOES SA</t>
  </si>
  <si>
    <t>50.965.706/0001-66</t>
  </si>
  <si>
    <t xml:space="preserve">MANUEL </t>
  </si>
  <si>
    <t>(11)32227799</t>
  </si>
  <si>
    <t>bifulco@uol.com.br</t>
  </si>
  <si>
    <t xml:space="preserve">PACOTE + NR01 </t>
  </si>
  <si>
    <t xml:space="preserve">Á VISTA </t>
  </si>
  <si>
    <t>NIA AGENCIA E NEGOCIOS LTDA</t>
  </si>
  <si>
    <t>14.125.795/0001-79</t>
  </si>
  <si>
    <t>Hudson</t>
  </si>
  <si>
    <t>hudsoncavalcanti@gmail.com</t>
  </si>
  <si>
    <t>MEUFINANCEIRODIGITAL LTDA</t>
  </si>
  <si>
    <t>42.842.456/0001-49</t>
  </si>
  <si>
    <t>kerlly</t>
  </si>
  <si>
    <t>(11)944205264</t>
  </si>
  <si>
    <t>adm5@vibratto.com.br</t>
  </si>
  <si>
    <t>4</t>
  </si>
  <si>
    <t>VITRALTEC LTDA</t>
  </si>
  <si>
    <t>52.826.566/0001-70</t>
  </si>
  <si>
    <t>Felipe</t>
  </si>
  <si>
    <t>rh@vitraltec.com.br</t>
  </si>
  <si>
    <t>INDUSTRIA E COMERCIO DE LATICINIOS VALE DOS BURITIS LTDA</t>
  </si>
  <si>
    <t>22.086.045/0003-25</t>
  </si>
  <si>
    <t>Alaine</t>
  </si>
  <si>
    <t>(11)985402052</t>
  </si>
  <si>
    <r>
      <rPr>
        <rFont val="&quot;Arial&quot;,sans-serif"/>
        <color rgb="FF1155CC"/>
        <u/>
      </rPr>
      <t>thaiz@laticiniosburitis.com.br</t>
    </r>
  </si>
  <si>
    <t>AGENCIA IMPULSIONA CONSULTORIA E MARKETING LTDA</t>
  </si>
  <si>
    <t>58.576.996/0001-68</t>
  </si>
  <si>
    <t xml:space="preserve"> Helamã / Paola</t>
  </si>
  <si>
    <t>(11)986889502</t>
  </si>
  <si>
    <t>contato@agenciaimpulsiona.com.br</t>
  </si>
  <si>
    <t>27/03/2026 - ligação feita cliente não atendeu. E-mail enviado</t>
  </si>
  <si>
    <t>EXXOTICO LTDA</t>
  </si>
  <si>
    <t>57.040.027/0001-25</t>
  </si>
  <si>
    <t>Luis Mai</t>
  </si>
  <si>
    <t>(11)991888784</t>
  </si>
  <si>
    <r>
      <rPr>
        <rFont val="Arial"/>
        <color rgb="FF1155CC"/>
        <u/>
      </rPr>
      <t>luis@exxotico.com</t>
    </r>
  </si>
  <si>
    <t>LENZI EMPREENDIMENTOS E PARTICIPACOES LTDA</t>
  </si>
  <si>
    <t>57.093.007/0001-12</t>
  </si>
  <si>
    <t>Marcelo / Fabiola</t>
  </si>
  <si>
    <t>(11)997903759</t>
  </si>
  <si>
    <t>pessoal.staffcontabil@outlook.com</t>
  </si>
  <si>
    <t>CONDOMINIO EDIFICIO RIAN</t>
  </si>
  <si>
    <t>07.018.860/0001-00</t>
  </si>
  <si>
    <t>Solange / Veronica</t>
  </si>
  <si>
    <t>(11)980125653</t>
  </si>
  <si>
    <t>contabil@kontrollar.com.br</t>
  </si>
  <si>
    <t xml:space="preserve">PAULI AUTOCENTER COMERCIO DE PNEUS LTDA </t>
  </si>
  <si>
    <t>34.699.122/0001-30</t>
  </si>
  <si>
    <t>Andiara</t>
  </si>
  <si>
    <t>(19)974063869</t>
  </si>
  <si>
    <t>abarbutti@gmail.com</t>
  </si>
  <si>
    <t>CAT</t>
  </si>
  <si>
    <t>STAFF ASSESSORIA CONTABIL SOCIEDADE SIMPLES</t>
  </si>
  <si>
    <t>45.760.998/0001-60</t>
  </si>
  <si>
    <t>Milton / Fabiola</t>
  </si>
  <si>
    <t>zmjs@uol.com.br</t>
  </si>
  <si>
    <t>CELMO JOSE MARQUES PECAS E SERVICOS</t>
  </si>
  <si>
    <t>56.070.345/0001-76</t>
  </si>
  <si>
    <t>Celmo / Fabiola</t>
  </si>
  <si>
    <t>EBENEZER SHOP SERVICOS LTDA</t>
  </si>
  <si>
    <t>45.509.206/0001-80</t>
  </si>
  <si>
    <t xml:space="preserve">ANA </t>
  </si>
  <si>
    <t>(11)97051-5065</t>
  </si>
  <si>
    <r>
      <rPr>
        <rFont val="Arial"/>
        <u/>
      </rPr>
      <t>dp.ebenezershop@gmail.com</t>
    </r>
  </si>
  <si>
    <t>CC.KLINIKI MEDICINA ESPECIALIZADA LTDA</t>
  </si>
  <si>
    <t>32.549.485/0001-63</t>
  </si>
  <si>
    <t xml:space="preserve">CAROLINA </t>
  </si>
  <si>
    <t>(11)978760220</t>
  </si>
  <si>
    <r>
      <rPr>
        <rFont val="&quot;Arial&quot;,sans-serif"/>
        <color rgb="FF1155CC"/>
        <u/>
      </rPr>
      <t>cckliniki@gmail.com</t>
    </r>
  </si>
  <si>
    <t>COSTA CONFECCOES LTDA</t>
  </si>
  <si>
    <t>54.986.683/0003-99</t>
  </si>
  <si>
    <t>Luiz Gustavo</t>
  </si>
  <si>
    <t>(11)992494059</t>
  </si>
  <si>
    <t>pessoal@alcancejeans.com</t>
  </si>
  <si>
    <t>FIT ENGENHARIA E PROJETOS LTDA</t>
  </si>
  <si>
    <t>19.791.477/0001-60</t>
  </si>
  <si>
    <t>Henrique</t>
  </si>
  <si>
    <t>(11)914446979</t>
  </si>
  <si>
    <t>h.fernandes@fitengenharia.com.br</t>
  </si>
  <si>
    <t>27/03/2026 - SEM RETORNO / 30/03/2026 - E-mail enviado.</t>
  </si>
  <si>
    <t>R. BOLETTI PRODUCOES LTDA</t>
  </si>
  <si>
    <t>51.533.935/0001-74</t>
  </si>
  <si>
    <t>Mauricio</t>
  </si>
  <si>
    <t>(11)947632759</t>
  </si>
  <si>
    <t>mauricio@nsoperacoes.com</t>
  </si>
  <si>
    <t>MIDLAND QUIMICA DO BRASIL LTDA</t>
  </si>
  <si>
    <t>61.100.871/0001-71</t>
  </si>
  <si>
    <t>Adriana</t>
  </si>
  <si>
    <t>(11)975386757</t>
  </si>
  <si>
    <t>adriana.kovacs@midland-quimica.com.br</t>
  </si>
  <si>
    <t>TREINAMENTO NR 06</t>
  </si>
  <si>
    <t>lsp145</t>
  </si>
  <si>
    <t>26.354.897/0001-45</t>
  </si>
  <si>
    <t>Adriana Chagas da Silva</t>
  </si>
  <si>
    <t>(11) 99143-8929</t>
  </si>
  <si>
    <t>adriana.silva@limpidus.com.br</t>
  </si>
  <si>
    <t>PACOTE DE SST</t>
  </si>
  <si>
    <t xml:space="preserve">EMPRESA SOLICITOU O ORÇAMENTO E SUMIU </t>
  </si>
  <si>
    <t>CGA PARTICIPACOES LTDA</t>
  </si>
  <si>
    <t>29.409.954/0001-34</t>
  </si>
  <si>
    <t xml:space="preserve">FERNADA MATOS </t>
  </si>
  <si>
    <t>(11) 98131-2981</t>
  </si>
  <si>
    <t>fernanda.matos@cgaalw.io</t>
  </si>
  <si>
    <t xml:space="preserve">10/03 - sem contato - 11/03 - SEM CONTATO POR TELEFONE - 12/03 - A EMPRESA INFELIZEMENTE NÃO ACEITOU O NOSSO ORÇAMENTO E NÃO NOS ATENDEU PARA TENATRMOS REVERTER A SITUAÇÃO </t>
  </si>
  <si>
    <t xml:space="preserve">WANDERLEY M DE OLIVEIRA </t>
  </si>
  <si>
    <t>Wanderley Moreira de Oliveira</t>
  </si>
  <si>
    <t>(11)99495-8722</t>
  </si>
  <si>
    <t>Ordem de Serviço O.S</t>
  </si>
  <si>
    <t>dfontana@monteiroescola.com.br</t>
  </si>
  <si>
    <t>10/03 - Proposta encaminhada este dia 11/03 - Sem contato por telefone 12/03 - Devolutiva por telefone, a escola está análisando a proposta, já foi encaminhada para os gestores 16/03 - AQ empresa ainda não teria a devolutiva sobre a proposta, mas sabendo que o contratoi dela vence em abril, temos até esse mês para retornarmos com uma devolutiva. 19/03 - retornei por ligação, infelizmente  a diretatora não encaminhou uma devolutiva. ficarei aguardando. 24/03 - CONSEGUI O FEHCAMNETO DA PROPOSTA NO DIA 20/03/2026 / Já está na KOMMO</t>
  </si>
  <si>
    <t xml:space="preserve">MPV7 </t>
  </si>
  <si>
    <t>73.291.817/0002-10</t>
  </si>
  <si>
    <t>MONIKA UHL</t>
  </si>
  <si>
    <t>(21) 3315-7600,</t>
  </si>
  <si>
    <t>monika.uhl@mpv7.com.br</t>
  </si>
  <si>
    <t>Diaria Técnico de Segurança</t>
  </si>
  <si>
    <t>06/03 - ENVIO DA PROPOSTA - 09/03 - CONSULTEI DEVOLUTIVA - 13/03 - O SERVIÇO FOI FECHADO SEM A MÃO DE OBRA DO TÉCNICO DE SEGURA</t>
  </si>
  <si>
    <t xml:space="preserve">ESCOLA TAGARELINHA </t>
  </si>
  <si>
    <t>86.859.329/0001-28</t>
  </si>
  <si>
    <t>Amanda Bottino</t>
  </si>
  <si>
    <t>11 3266-6336</t>
  </si>
  <si>
    <t xml:space="preserve">contato@tagarelinha.com.br </t>
  </si>
  <si>
    <t xml:space="preserve">10/03 - Proposta encaminhada este dia 11/03 - Sem contato por telefone 12/03 - Devolutiva por telefone, a escola está análisando a proposta, já foi encaminhada para os gestores 16/03 - AQ empresa ainda não teria a devolutiva sobre a proposta, mas sabendo que o contratoi dela vence em abril, temos até esse mês para retornarmos com uma devolutiva. 19/03 - retornei por ligação, infelizmente  a diretatora não encaminhou uma devolutiva. ficarei aguardando. 24/03 - Retornar no dia 31/03  / Retornei o contato ontem. Infelizmente a empresa fechou com a empresa que eles já teriam contato. </t>
  </si>
  <si>
    <t xml:space="preserve">WL ELÉTRICA </t>
  </si>
  <si>
    <t>42.737.807/0001-51</t>
  </si>
  <si>
    <t>Wellington Lima</t>
  </si>
  <si>
    <t>(11) 97398-2220</t>
  </si>
  <si>
    <t>wlengenharia@gmail.com</t>
  </si>
  <si>
    <t xml:space="preserve">Infelizmente a empresa não teve interesse de seguir com os laudos conosco </t>
  </si>
  <si>
    <t>OURO VERDE CHEMICALS</t>
  </si>
  <si>
    <t>05.454.162/0001-13</t>
  </si>
  <si>
    <t>Josias</t>
  </si>
  <si>
    <t>josias@ovchemicals.com.br</t>
  </si>
  <si>
    <t xml:space="preserve">ENSAIO DE VEDAÇÃO - FIT TEST </t>
  </si>
  <si>
    <t>10/03 - Solicitado pelo Sr. Cristiano que enviassemos uma proposta para o senhor Josias./</t>
  </si>
  <si>
    <t>PERINITY - SOLUCOES E SERVICOS EM GORVERNANCA LTDA</t>
  </si>
  <si>
    <t>23.007.579.0001-10</t>
  </si>
  <si>
    <t>Maria Fernanda Moriki</t>
  </si>
  <si>
    <t>(19) 99838-9417</t>
  </si>
  <si>
    <t>mirella.morais@perinity.com</t>
  </si>
  <si>
    <t>10/03 - solicitado a proposta. 11/03 - sem contato. 12/03 - sem contato 16/03 sem contato  / 18/03 - encaminhei novamente por e-mail / 19/03 - Por falta de devolutiva estou declinando a proposta</t>
  </si>
  <si>
    <t xml:space="preserve">TATIANE SOARES DA SILVA RAMOS </t>
  </si>
  <si>
    <t>25.240.872/0001-58</t>
  </si>
  <si>
    <t>TATIANE SOARES DA SILVA RAMOS</t>
  </si>
  <si>
    <t>(11) 94996-7401</t>
  </si>
  <si>
    <t>silvaramos.tati@gmail.com</t>
  </si>
  <si>
    <t>PGR, PCMSO e ART (UNIDADE OBRA)</t>
  </si>
  <si>
    <t xml:space="preserve">16/03 - Devolutiva sobre a empresa: a empresa solicitou o laudo PGR, PCMSO e ART destinado a uma obra, obtive todas as informações e enviei a proposta. Houve o fechamento da proposta, mas infelizmente a empresa solicitou que não prosseguirmos a realização dos laudos, pois a obra deu um prazo maior para a realização desses laudos pendentes. / 18/03 - A empresa voltou atrás com a assinatura do contrato, com isso, o contrato foi fechamento no dia 18/03 e incluimos a NR01   </t>
  </si>
  <si>
    <t xml:space="preserve">16/03 - Devolutiva sobre a empresa: a empresa solicitou o laudo PGR, PCMSO e ART destinado a uma obra, obtive todas as informações e enviei a proposta. Houve o fechamento da proposta, mas infelizmente a empresa solicitou que não prosseguirmos a realização dos laudos, pois a obra deu um prazo maior para a realização desses laudos pendentes. 18/03 - A empresa voltou atrás com a assinatura do contrato, com isso, o contrato foi fechamento no dia 18/03 e incluimos a NR01 </t>
  </si>
  <si>
    <t>I9 FACILITY SERVIÇOS GERAIS LTDA</t>
  </si>
  <si>
    <t>05.738.790/0001- 20</t>
  </si>
  <si>
    <t>Devanil Muniz</t>
  </si>
  <si>
    <t>(19) 99223-6521</t>
  </si>
  <si>
    <t>Devanil.muniz@i9corporation.com.br</t>
  </si>
  <si>
    <t>LAUDO INSALUBRIDADE E PERICULODADE</t>
  </si>
  <si>
    <t>SETE PARTNERS CONSULTORIA DE PROJETOS LTDA</t>
  </si>
  <si>
    <t xml:space="preserve">54.828.747/0001-61 </t>
  </si>
  <si>
    <t>Lucas Fuji Ratagami</t>
  </si>
  <si>
    <t>(19) 99793-4512</t>
  </si>
  <si>
    <t>gerencia.adm@brnutri.com.br</t>
  </si>
  <si>
    <t>TREINAMENTO NR10 SEP</t>
  </si>
  <si>
    <t xml:space="preserve">24/03 - estou em tratativa pelo whatsapp / retornar no dia 25/03 - para sabermos uma devolutiva! / 27/03 - Somente no mês que vem para realizarmos o fechamento da proposta, estarei retificando a proposta e encaminhadno com os valores atualizados </t>
  </si>
  <si>
    <t>EMPORIO OURO DA TERRA NUT LTDA</t>
  </si>
  <si>
    <t>64.573.598/0001-90</t>
  </si>
  <si>
    <t>MEIRE VIERA</t>
  </si>
  <si>
    <t xml:space="preserve">31/03 - Proposta será retificada para o mês que vem! </t>
  </si>
  <si>
    <t>ANABION FARMACEUTICA BRASIL LTDA</t>
  </si>
  <si>
    <t>15.700.887/0001-06</t>
  </si>
  <si>
    <t>Priscila Paixão</t>
  </si>
  <si>
    <t>(11) 95390-5999</t>
  </si>
  <si>
    <t>priscila.paixão@anabion.com</t>
  </si>
  <si>
    <t>PACOTE DE SST e NR17</t>
  </si>
  <si>
    <t xml:space="preserve">31/03/2026 - Infelizmente sem devolutiva da cliente após o envio da proposta. </t>
  </si>
  <si>
    <t>MARY LUCI PIZZATO</t>
  </si>
  <si>
    <t>14.705.392/0001-07</t>
  </si>
  <si>
    <t>Jorge dos Santos</t>
  </si>
  <si>
    <t>(11) 3733-4040</t>
  </si>
  <si>
    <t>APR e OS</t>
  </si>
  <si>
    <t>BIG5 COMERCIO DE ALIMENTOS E BEBIDAS LTDA</t>
  </si>
  <si>
    <t>55.439.851/0001-27</t>
  </si>
  <si>
    <t>(21) 99738-2909</t>
  </si>
  <si>
    <t>alinneadv7@gmail.com</t>
  </si>
  <si>
    <t>BRASIL REFORMA &amp; MOBILIARIO LTDA</t>
  </si>
  <si>
    <t>63.811.860/0001-25</t>
  </si>
  <si>
    <t>ERIKA</t>
  </si>
  <si>
    <t>(11) 98835-0433</t>
  </si>
  <si>
    <t>rh@brasilmobiliario.com.br</t>
  </si>
  <si>
    <t>HERMOM INDUSTRIA E COMERCIO DE SALGADOS E DOCES LTDA</t>
  </si>
  <si>
    <t>48.089.545/0001-42</t>
  </si>
  <si>
    <t>MONICA</t>
  </si>
  <si>
    <t>(11) 98974-9281</t>
  </si>
  <si>
    <t>monica.bloise@ginis.com.br</t>
  </si>
  <si>
    <t>LSP168 SERVICOS DE LIMPEZA LTDA</t>
  </si>
  <si>
    <t>53.741.973/0001-48</t>
  </si>
  <si>
    <t>(11) 97122-8223</t>
  </si>
  <si>
    <t>ricardo.azevedo@limpidus.com.br</t>
  </si>
  <si>
    <t>OBSERVAÇÃO: CONTRATO FECHADO EM 24 MESES, NECESSÁRIO RETORNAR NO MÊS VIGENTE PARA RENOVAR O SERVIÇO JÁ PRÉ CONTRATO.</t>
  </si>
  <si>
    <t>ROOSEVELT</t>
  </si>
  <si>
    <t>OPTOU POR SEGUIR COM OUTRA PRESTADORA</t>
  </si>
  <si>
    <t>BANCO SANY BRASIL S.A.</t>
  </si>
  <si>
    <t>60.935.819/0001-72</t>
  </si>
  <si>
    <t>DANIEL</t>
  </si>
  <si>
    <t>(11)98114-6011</t>
  </si>
  <si>
    <t>daniel.coimbra@sanygroup.com</t>
  </si>
  <si>
    <t>Condomínio Edificio das Camelias</t>
  </si>
  <si>
    <t>05.276.777/0001-05</t>
  </si>
  <si>
    <t>Shirley Lima Varjao</t>
  </si>
  <si>
    <t>(11) 4102-2311</t>
  </si>
  <si>
    <t>bruno@admfocus.com.br</t>
  </si>
  <si>
    <t xml:space="preserve">16/ 03 - Proposta solicitada e encaminahda via whatsapp / 17/03 - entrei em contato com a empresa para darmos andamento na negociação / 31/03 - Retornar no mês que vem para conseguirmos uma melhor devolutiva </t>
  </si>
  <si>
    <t>SCHERBIS LTDA</t>
  </si>
  <si>
    <t>58.376.483/0001-03</t>
  </si>
  <si>
    <t>Eduarda Ferraz</t>
  </si>
  <si>
    <t>(11) 98634-4569</t>
  </si>
  <si>
    <t>carolina@scherbis.com</t>
  </si>
  <si>
    <t xml:space="preserve">16/03 - proposta solicitada e encaminhada via e-mail </t>
  </si>
  <si>
    <t>CORPOREOS - SERVICOS TERAPEUTICOS S.A.</t>
  </si>
  <si>
    <t>08.845.676/0318-24</t>
  </si>
  <si>
    <t>PALOMA</t>
  </si>
  <si>
    <t>(11) 4858-3340</t>
  </si>
  <si>
    <t>paloma.bichon@espacolaser.com.br</t>
  </si>
  <si>
    <t>NR-23</t>
  </si>
  <si>
    <t>SAFIEDDINE ́S PROCESSAMENTO DE DADOS LTDA</t>
  </si>
  <si>
    <t>36.774.295/0001-09</t>
  </si>
  <si>
    <t xml:space="preserve">EDUARDO </t>
  </si>
  <si>
    <t>monir_safieddine@hotmail.com</t>
  </si>
  <si>
    <t>MARC-ONE REFEICOES E COZINHA INDUSTRIAL LTDA</t>
  </si>
  <si>
    <t>07.410.627/0001-60</t>
  </si>
  <si>
    <t xml:space="preserve">MARCIO </t>
  </si>
  <si>
    <t>11 8091-3313</t>
  </si>
  <si>
    <t>marconecozinha@gmail.com</t>
  </si>
  <si>
    <t>CENTER CARNES NOVA M G LTDA</t>
  </si>
  <si>
    <t>66.124.348/0001-07</t>
  </si>
  <si>
    <t xml:space="preserve"> Mônica Anselmo</t>
  </si>
  <si>
    <t xml:space="preserve"> (11) 91603-8481</t>
  </si>
  <si>
    <t>dppessoalmarioslaticinios@gmail.com</t>
  </si>
  <si>
    <t>17/03 - A empresa solciitou a realização dos laudos para a matriz e a filial./ 27/ 03 - A proposta está em avaliação com o cristiano pois houve algumas alterações nas claúsulas. / Aguardando um adevolutiva do Cristiano para darmos andamento.</t>
  </si>
  <si>
    <t xml:space="preserve">           OSAKA DESENTUPIDORA E DEDETIZADORA LTDA</t>
  </si>
  <si>
    <t xml:space="preserve">   458.361.048-32</t>
  </si>
  <si>
    <t xml:space="preserve">Rian </t>
  </si>
  <si>
    <t>(11) 94710-5496</t>
  </si>
  <si>
    <t xml:space="preserve">                     rh@osaka.com.br</t>
  </si>
  <si>
    <t xml:space="preserve">NR-12 </t>
  </si>
  <si>
    <t xml:space="preserve">Á vista </t>
  </si>
  <si>
    <t>HONIX ALIMENTAÇÃO LTDA - ME</t>
  </si>
  <si>
    <t>07.354.972/0001-23</t>
  </si>
  <si>
    <t>EDUARDO</t>
  </si>
  <si>
    <t>eduardo@suvide.com.br</t>
  </si>
  <si>
    <t>ERIKA TEMPERLY RABAK</t>
  </si>
  <si>
    <t>315.498.268-08</t>
  </si>
  <si>
    <t xml:space="preserve">ERIKA </t>
  </si>
  <si>
    <t xml:space="preserve"> (11) 98175-0039</t>
  </si>
  <si>
    <t>erikarabak@gmail.com</t>
  </si>
  <si>
    <t xml:space="preserve">PACOTE E NR01 </t>
  </si>
  <si>
    <t xml:space="preserve"> ESSEN COMERCIO DE ELETRONICOS E ARTIGOS PARA O LAR LTDA</t>
  </si>
  <si>
    <t>55.202.187/0001-06</t>
  </si>
  <si>
    <t>FEIXIANG</t>
  </si>
  <si>
    <t>(11)949694069</t>
  </si>
  <si>
    <t>PAMJR@PROTONMAIL.COM</t>
  </si>
  <si>
    <t>12/03/0206</t>
  </si>
  <si>
    <t>ESSENZA IMPORTS COMERCIO DE PRODUTOS EM GERAL LTDA</t>
  </si>
  <si>
    <t>61.627.544/0001-72</t>
  </si>
  <si>
    <t>JINKE QIU</t>
  </si>
  <si>
    <t xml:space="preserve"> EM CONSTRUCAO CIVIL E GESTAO EM SEGURANCA DO TRABALHO LTDA</t>
  </si>
  <si>
    <t>54.803.484/0001-36</t>
  </si>
  <si>
    <t xml:space="preserve">TATIANA </t>
  </si>
  <si>
    <t>rh.tst.assessoria@gmail.com</t>
  </si>
  <si>
    <t>BOX LANCHES E CIA LTDA</t>
  </si>
  <si>
    <t>VINICIUS ALMEIDA CHAGAS</t>
  </si>
  <si>
    <t>27/03 - PROPOSTA ASSINADA, RETIFICADA ALGUMAS VEZES.</t>
  </si>
  <si>
    <t>BOAVISTA MASSAS LTDA</t>
  </si>
  <si>
    <t>13.338.594/0001-97</t>
  </si>
  <si>
    <t xml:space="preserve">RENATO </t>
  </si>
  <si>
    <t>Spoletoboavista@gmail.com</t>
  </si>
  <si>
    <t>PACOTE E NR-1</t>
  </si>
  <si>
    <t>TUCUPI DO CENTRO LTDA</t>
  </si>
  <si>
    <t>55.013.249/0001-23</t>
  </si>
  <si>
    <t>Fernanda mena Rodrigues</t>
  </si>
  <si>
    <t>(11) 91288-4341</t>
  </si>
  <si>
    <t>nandahmena@gmail.com</t>
  </si>
  <si>
    <t>27/03 - Infelizmente sem retorno estou declinando a proposta</t>
  </si>
  <si>
    <t>BANH MI VIETNAM RESTAURANTE LTDA</t>
  </si>
  <si>
    <t>52.091.943/0001-70</t>
  </si>
  <si>
    <t>KLS2 COMERCIO DE ALIMENTOS E RESTAURANTE LTDA</t>
  </si>
  <si>
    <t xml:space="preserve"> 64.576.782/0001-94</t>
  </si>
  <si>
    <t xml:space="preserve">SILVIO  OGA </t>
  </si>
  <si>
    <t>(11) 96462-4066</t>
  </si>
  <si>
    <t>SABORDECASAKLS@GMAIL.COM</t>
  </si>
  <si>
    <t xml:space="preserve">20/03 - Empresa realizou uma visita na nossa clínica e conforme a nossa conversa, elaboramos uma proposta para 2 colaboradores. </t>
  </si>
  <si>
    <t xml:space="preserve">32.911.457.0001-44 </t>
  </si>
  <si>
    <t xml:space="preserve"> Wanderley / Priscila</t>
  </si>
  <si>
    <t>(11)994958722</t>
  </si>
  <si>
    <t>2</t>
  </si>
  <si>
    <t>ELLEVEN COMERCIO E SERVICOS INTEGRADOS LTDA</t>
  </si>
  <si>
    <t>30.081.833/0001-95</t>
  </si>
  <si>
    <t>Camila</t>
  </si>
  <si>
    <t>(38)98631804</t>
  </si>
  <si>
    <t>ellevencomercioeservicos@gmail.com</t>
  </si>
  <si>
    <t>(11)916062049</t>
  </si>
  <si>
    <t>rodrigo.calado@sidel.com</t>
  </si>
  <si>
    <t>TREINAMENTO PRIMEIROS SOCORROS</t>
  </si>
  <si>
    <t>24/03/2026 - FALTA ASSINAR / 27/03/2026 - SEM RETORNO / 30/03/2026 - Responder email</t>
  </si>
  <si>
    <t xml:space="preserve"> LIDER 101 LTDA </t>
  </si>
  <si>
    <t>59.086.230/0001-68</t>
  </si>
  <si>
    <t>Cintia</t>
  </si>
  <si>
    <t>(11)964857620</t>
  </si>
  <si>
    <t>atendimento@lider101.com.br</t>
  </si>
  <si>
    <t>Prestadora de Serviço GM Ltda</t>
  </si>
  <si>
    <t>58.355.037/0001-12</t>
  </si>
  <si>
    <t>(48)991125147</t>
  </si>
  <si>
    <r>
      <rPr>
        <rFont val="&quot;Arial&quot;,sans-serif"/>
        <color rgb="FF1155CC"/>
        <u/>
      </rPr>
      <t>financeiro@malivorgroup.com.br</t>
    </r>
  </si>
  <si>
    <t xml:space="preserve">PHD CORPORATE LTDA </t>
  </si>
  <si>
    <t>55.711.828/0001-40</t>
  </si>
  <si>
    <t>IVILIN TAIZ</t>
  </si>
  <si>
    <t>(41) 99986-4409</t>
  </si>
  <si>
    <t xml:space="preserve">evelin.taiz@gmail.com </t>
  </si>
  <si>
    <t xml:space="preserve">NR - 24 e AET </t>
  </si>
  <si>
    <t>20/03 -  Proposta encaminhada para a realização dos laudos em 5 unidades. / 30/03 - Em contato com a empresa via whatsapp, consegui todas as informações sobre a proposta e por e-mail obtive o contato com a CEO da empresa. A CEO me encaminhou a devolutiva que o CNPJ matriz mudará de endereço, com isso, ela irá aguardar para realizar os laudos solicitados.</t>
  </si>
  <si>
    <t xml:space="preserve">PRODAM </t>
  </si>
  <si>
    <t xml:space="preserve">Ivani </t>
  </si>
  <si>
    <t xml:space="preserve">PERICIA </t>
  </si>
  <si>
    <t>LUZI LOCACAO DE EQUIPAMENTOS AUDIOVISUAIS LTDA</t>
  </si>
  <si>
    <t>31.958.109/0001-60</t>
  </si>
  <si>
    <t>ELISABETE</t>
  </si>
  <si>
    <t>(11) 99297-0344</t>
  </si>
  <si>
    <t>elisabete@luziav.com.br.br</t>
  </si>
  <si>
    <t>TELA MAGICA PRODUCOES LTDA</t>
  </si>
  <si>
    <t>00.396.409/0001-79</t>
  </si>
  <si>
    <t>FLEXA FILMES IND E COM DE MATERIAL PLASTICO LTDA</t>
  </si>
  <si>
    <t>JÉSSICA</t>
  </si>
  <si>
    <t>(11) 99624 4256</t>
  </si>
  <si>
    <t>Adm@extrusorasferreti.com.br</t>
  </si>
  <si>
    <t>CORPOREOS SERVIÇOS TERAPEUTICOS LTDA</t>
  </si>
  <si>
    <t>08.845.676/0001-98</t>
  </si>
  <si>
    <t>MARCELLE</t>
  </si>
  <si>
    <t>11 3361-6434</t>
  </si>
  <si>
    <t>elaine.souza@espacolaser.com.br</t>
  </si>
  <si>
    <t>NR-10 e NR-33</t>
  </si>
  <si>
    <t>Kelly Rodrigues</t>
  </si>
  <si>
    <t>11 98288-4385</t>
  </si>
  <si>
    <t>Antonio Fabiano Corbolan</t>
  </si>
  <si>
    <t>NR-33</t>
  </si>
  <si>
    <t>TEPAVI LOCACOES E SERVICOS LTDA</t>
  </si>
  <si>
    <t>63.946.214/0001-75</t>
  </si>
  <si>
    <t>ADILSON</t>
  </si>
  <si>
    <t>(11) 94736-8802</t>
  </si>
  <si>
    <t>operacional@tepavi.com.br</t>
  </si>
  <si>
    <t>AVALIAÇÃO DE RUIDO</t>
  </si>
  <si>
    <t>SNE AUDIOVISUAL E CENOGRAFIA EIRELI</t>
  </si>
  <si>
    <t>REJANE</t>
  </si>
  <si>
    <t xml:space="preserve"> (11) 99583-3019</t>
  </si>
  <si>
    <r>
      <rPr>
        <rFont val="Arial"/>
        <color rgb="FF1155CC"/>
        <u/>
      </rPr>
      <t>rh@gruposne.com.br</t>
    </r>
  </si>
  <si>
    <t>NR-10 e NR-35</t>
  </si>
  <si>
    <t xml:space="preserve">SONHO DA SORTE </t>
  </si>
  <si>
    <t>52.333.741/0001-98</t>
  </si>
  <si>
    <t xml:space="preserve">LUANA </t>
  </si>
  <si>
    <t xml:space="preserve"> (11) 4450-3649</t>
  </si>
  <si>
    <t>adm@sonhodasorte.com.br</t>
  </si>
  <si>
    <t xml:space="preserve">NR01 </t>
  </si>
  <si>
    <t>25/032026</t>
  </si>
  <si>
    <t>LRM SISTEMA DE LIMPEZA LTDA</t>
  </si>
  <si>
    <t>033472190001-50</t>
  </si>
  <si>
    <t>ROSEMEIRE GOMES DE MORAES</t>
  </si>
  <si>
    <r>
      <rPr>
        <rFont val="Arial"/>
        <color rgb="FF1155CC"/>
        <u/>
      </rPr>
      <t>rose_sp@solumaster.com.br</t>
    </r>
  </si>
  <si>
    <t xml:space="preserve">PGR,PCMSO, NR01 E E-SOCIAL </t>
  </si>
  <si>
    <t>INSTITUTO ODEON</t>
  </si>
  <si>
    <t>02.612.590/0004-81</t>
  </si>
  <si>
    <t>VANDA MARIA BATISTA</t>
  </si>
  <si>
    <t>(11) 99925-1500</t>
  </si>
  <si>
    <t>vanda.batista@institutoodeon.org.br</t>
  </si>
  <si>
    <t xml:space="preserve">27/03 - tratativas por e-mail </t>
  </si>
  <si>
    <t xml:space="preserve">OVX CONSTRUÇÕES E SERVIÇOS LTDA </t>
  </si>
  <si>
    <t>48.653.896/0001-34</t>
  </si>
  <si>
    <t>Priscila Botelho</t>
  </si>
  <si>
    <t>(11) 91232-9822</t>
  </si>
  <si>
    <t>rr7engenharia.com.br</t>
  </si>
  <si>
    <t xml:space="preserve">20/03 - Proposta encaminhada e retifacada na 25/03 / 25/03 - entrei em contato por e-mail.  </t>
  </si>
  <si>
    <t>MIMAKI BRASIL</t>
  </si>
  <si>
    <t>10.911.237/0001-88</t>
  </si>
  <si>
    <t>Desirée Christine</t>
  </si>
  <si>
    <t>(11) 96656-8335</t>
  </si>
  <si>
    <t>PACOTE SST e CIPA</t>
  </si>
  <si>
    <t xml:space="preserve">26/03 - Em contato com a empresa pelo whatsapp / 27/03 - questionei uma devoluitva da gestora da mesma! </t>
  </si>
  <si>
    <t>DK COMERCIO DE PRODUTOS ALIMENTICIOS LTDA</t>
  </si>
  <si>
    <t>17.791.103/0003-81</t>
  </si>
  <si>
    <t>(11)98231-5611</t>
  </si>
  <si>
    <t>amanda.dkpark@gmail.com</t>
  </si>
  <si>
    <t>17.791.103/0001-10</t>
  </si>
  <si>
    <t>ODONTO TECNICA ABC COMERCIO DE PECAS PARA EQUIPAMENTOS</t>
  </si>
  <si>
    <t>04.379.736/0001-73</t>
  </si>
  <si>
    <t>(11) 98675-3250</t>
  </si>
  <si>
    <t>odontotecnicabc@gmail.com</t>
  </si>
  <si>
    <t>BIPO SERVICOS DO BRASIL LTDA</t>
  </si>
  <si>
    <t>47.537465/0001-40</t>
  </si>
  <si>
    <t xml:space="preserve">VINICIUS </t>
  </si>
  <si>
    <t>(21) 99626-0246</t>
  </si>
  <si>
    <r>
      <rPr>
        <rFont val="Arial"/>
        <color rgb="FF1155CC"/>
        <u/>
      </rPr>
      <t>vinicius.cardoso@biposervice.com</t>
    </r>
    <r>
      <rPr>
        <rFont val="Arial"/>
      </rPr>
      <t xml:space="preserve">; </t>
    </r>
    <r>
      <rPr>
        <rFont val="Roboto, Helvetica, Arial, sans-serif"/>
        <color rgb="FF1155CC"/>
        <sz val="11.0"/>
        <u/>
      </rPr>
      <t>luiz.feres@biposervice.com</t>
    </r>
  </si>
  <si>
    <t>Don Café Alimentos LTDA</t>
  </si>
  <si>
    <t>65.657.679/0001-31</t>
  </si>
  <si>
    <t>Danielle Cristina Ferreira</t>
  </si>
  <si>
    <t>(11) 95799-7727</t>
  </si>
  <si>
    <t>adm@havannavillalobos.com.br</t>
  </si>
  <si>
    <t>RFPA GESTAO DE SERVICOS EMPRESARIAIS LTDA</t>
  </si>
  <si>
    <t>(11) 94225-9106</t>
  </si>
  <si>
    <r>
      <rPr>
        <rFont val="Arial"/>
        <color rgb="FF1155CC"/>
        <u/>
      </rPr>
      <t>rfpafacility@bol.com.br</t>
    </r>
  </si>
  <si>
    <t>FORTIMPORT</t>
  </si>
  <si>
    <t>06.975.681/0001-90</t>
  </si>
  <si>
    <t xml:space="preserve">MARCOS </t>
  </si>
  <si>
    <t>1138512461, 11953126329</t>
  </si>
  <si>
    <t>contato1.millenabolsas@gmail.com</t>
  </si>
  <si>
    <t>in coMPANY</t>
  </si>
  <si>
    <t>MEDSEGT ASSESSORIA EM MEDICINA E SEGURANCA DO TRABALHO</t>
  </si>
  <si>
    <t>32.488.241/0001-18</t>
  </si>
  <si>
    <t>Gabriella Capana</t>
  </si>
  <si>
    <t>(11) 97858 -0731</t>
  </si>
  <si>
    <t>Administrativo@medsegt.com.br</t>
  </si>
  <si>
    <t>FAN HOUR REFEIÇOES RÁPIDAS E DIVERSÃO LTDA</t>
  </si>
  <si>
    <t>34.351.545/0001-64</t>
  </si>
  <si>
    <t>Luan Samuel</t>
  </si>
  <si>
    <t>(11) 91439-1945</t>
  </si>
  <si>
    <t>gestaofanhour@gmail.com</t>
  </si>
  <si>
    <t>MONTE CRISTO SAUDE E VIDA SAUDAVEL LTDA</t>
  </si>
  <si>
    <t>55.076.367/0001-80</t>
  </si>
  <si>
    <t>Marcos Rodrigues Pontes</t>
  </si>
  <si>
    <t>(11) 91021-6511</t>
  </si>
  <si>
    <t>wesleyp.alvarenga@gmail.com</t>
  </si>
  <si>
    <t>HOTEL NACIONAL INN JARAGUA LTDA</t>
  </si>
  <si>
    <t>05.153.506/0002-35</t>
  </si>
  <si>
    <t>Alexandre Clemente</t>
  </si>
  <si>
    <t>(11) 2802-7043</t>
  </si>
  <si>
    <t>rh@nacionalinnjaragua.com</t>
  </si>
  <si>
    <t xml:space="preserve">IN COMPANY </t>
  </si>
  <si>
    <t>HUDSON CAVALCANTE</t>
  </si>
  <si>
    <t>(11) 99685-7633</t>
  </si>
  <si>
    <t>ART</t>
  </si>
  <si>
    <t>DIRETÓRIO ESTADUAL DE SÃO PAULO</t>
  </si>
  <si>
    <t>26.406.177/0001-86</t>
  </si>
  <si>
    <t>FERNANDO HENRIQUE MEIRA DE CASTRO</t>
  </si>
  <si>
    <t>(11) 4710-3030</t>
  </si>
  <si>
    <t>rh@novo.org.br</t>
  </si>
  <si>
    <t xml:space="preserve">NR-01 </t>
  </si>
  <si>
    <t>BIOCEV SERVICOS DE MEIO AMBIENTE LTDA</t>
  </si>
  <si>
    <t>07.080.828/0001-46</t>
  </si>
  <si>
    <t xml:space="preserve">MAURO </t>
  </si>
  <si>
    <t>(31)86379567</t>
  </si>
  <si>
    <t xml:space="preserve">                     mauro.silva@biocev.net</t>
  </si>
  <si>
    <t xml:space="preserve"> BOX CERTO SELF STORAGE LTDA</t>
  </si>
  <si>
    <t>MELISSA</t>
  </si>
  <si>
    <t>melissa@boxcertostorage.com.br,</t>
  </si>
  <si>
    <t>NR- 01</t>
  </si>
  <si>
    <t>ASSOCIACAO EVANGELICA BENEFICENTE</t>
  </si>
  <si>
    <t>61.705.877/0012-25</t>
  </si>
  <si>
    <t>NATHALIA</t>
  </si>
  <si>
    <t>(11) 2628-4653</t>
  </si>
  <si>
    <t>ceiindirvilanovacachoeirinha@sme.prefeitura.sp.gov.br</t>
  </si>
  <si>
    <t>PALESTRA</t>
  </si>
  <si>
    <t>KB HAV COMERCIO ESPECIALIZADO LTDA</t>
  </si>
  <si>
    <t xml:space="preserve">rafael </t>
  </si>
  <si>
    <t>(11) 96594-2321</t>
  </si>
  <si>
    <r>
      <rPr>
        <rFont val="Arial"/>
        <u/>
      </rPr>
      <t>gestao@havannainterlagos.com.br</t>
    </r>
  </si>
  <si>
    <t>45.068.214 WILFRID DE SA</t>
  </si>
  <si>
    <t>45.068.214/0001-38</t>
  </si>
  <si>
    <t>Wilfrid de Sá</t>
  </si>
  <si>
    <t>(11) 99865-8106</t>
  </si>
  <si>
    <t>wilfrid_sa@outlook.com</t>
  </si>
  <si>
    <t xml:space="preserve">PGR,PCMSO e EXAMES </t>
  </si>
  <si>
    <t>UNIAO E PORTELA E-RECICLAGEM COMERCIO IMP. E EXP. DE RESIDUOS.</t>
  </si>
  <si>
    <t>09.609.506/0001-77</t>
  </si>
  <si>
    <t>11 91241-5723</t>
  </si>
  <si>
    <t>rhuniaometais@hotmail.com</t>
  </si>
  <si>
    <t>BR5 SERVICOS DE ENGENHARIA, INSTALACAO E MANUTENCAO ELETRICA LTDA</t>
  </si>
  <si>
    <t>45.076.719/0001-44</t>
  </si>
  <si>
    <t>Andrey</t>
  </si>
  <si>
    <t>11 9 9991-1168</t>
  </si>
  <si>
    <t>andrey.dantas@br5invest.com</t>
  </si>
  <si>
    <t>PPP</t>
  </si>
  <si>
    <t>SPM SERVICOS TERCEIRIZADOS LTDA</t>
  </si>
  <si>
    <t>24.892.087/0001-17</t>
  </si>
  <si>
    <t>Thiago / Silvia</t>
  </si>
  <si>
    <t>(11)999325183</t>
  </si>
  <si>
    <t>Spmservicosterceirizados@gmail.com</t>
  </si>
  <si>
    <t>24/03/2026 - DESCONTO</t>
  </si>
  <si>
    <t>PLINIO RAMOS COMERCIO DE RESIDUOS DE PAPEL E PAPELAO LTDA</t>
  </si>
  <si>
    <t>07.363.181/0001-60</t>
  </si>
  <si>
    <t>Ede</t>
  </si>
  <si>
    <t>(11)993731019</t>
  </si>
  <si>
    <t>dani.lourenco@outlook.com</t>
  </si>
  <si>
    <t>6 OFICIAL DE REGISTRO DE IMOVEIS DA COMARCA DA CAPITAL DE SAO PAULO</t>
  </si>
  <si>
    <t>36.330.663/0001-11</t>
  </si>
  <si>
    <t>rrgruber@gmail.com</t>
  </si>
  <si>
    <t>24/03/2026 - AINDA ESSA SEMANA VAI DAR UMA RESPOSTA.</t>
  </si>
  <si>
    <t>EMPREITEIRA DA CONSTRUCAO CIVIL HYLOUSA LTDA</t>
  </si>
  <si>
    <t>01.657.149/0001-00</t>
  </si>
  <si>
    <t>Márcio</t>
  </si>
  <si>
    <t>financeiro@55onze.com.br</t>
  </si>
  <si>
    <t>AYA PITAYA MODA E COMERCIO LTDA</t>
  </si>
  <si>
    <t>50.209.195/0001-52</t>
  </si>
  <si>
    <t>Ana</t>
  </si>
  <si>
    <t>(11)950177772</t>
  </si>
  <si>
    <t>Rh@ayapitaya.com.br</t>
  </si>
  <si>
    <t>H. S. JO</t>
  </si>
  <si>
    <t>10.971.470/0001-56</t>
  </si>
  <si>
    <t>Lucas</t>
  </si>
  <si>
    <t>ogame.empresa@gmail.com</t>
  </si>
  <si>
    <t>44.510.099 THAIS LIMA SANTANA AMORIM</t>
  </si>
  <si>
    <t>44.510.099/0001-47</t>
  </si>
  <si>
    <t>Thais Lima</t>
  </si>
  <si>
    <t xml:space="preserve"> contatothaamorim@gmail.com</t>
  </si>
  <si>
    <t>DIVERTI EVENTOS F&amp;B LTDA</t>
  </si>
  <si>
    <t>21.005.318/0001-35</t>
  </si>
  <si>
    <t>Ingrid Paranhos</t>
  </si>
  <si>
    <t>(11)969054246</t>
  </si>
  <si>
    <t>ingrid.paranhos@divertieventos.com.br</t>
  </si>
  <si>
    <t>DIVERTI ENTRETENIMENTO E EVENTOS LTDA</t>
  </si>
  <si>
    <t>21.566.230/0001-92</t>
  </si>
  <si>
    <t>DIVERTI TICKETS COMERCIALIZACAO DE INGRESSOS LTDA</t>
  </si>
  <si>
    <t>20.959.269/0001-07</t>
  </si>
  <si>
    <t>FAST PARK</t>
  </si>
  <si>
    <t>20.901.818/0001-92</t>
  </si>
  <si>
    <t>Thiago</t>
  </si>
  <si>
    <t>Thiago@kastropark.com.br</t>
  </si>
  <si>
    <t>FEITO</t>
  </si>
  <si>
    <t>MPM-AR CONDICIONADO REFRIGERACAO E COMERCIO LTDA</t>
  </si>
  <si>
    <t>49.518.137/0001-21</t>
  </si>
  <si>
    <t>Anna Carolina</t>
  </si>
  <si>
    <t>(11)994087185</t>
  </si>
  <si>
    <t>RH@MPM.COM.BR</t>
  </si>
  <si>
    <t>PGR + PCMSO + NR1</t>
  </si>
  <si>
    <t>5</t>
  </si>
  <si>
    <t>MPM SERVICOS DE AR CONDICIONADO E REFRIGERACAO LTDA.</t>
  </si>
  <si>
    <t>57.751.695/0001-60</t>
  </si>
  <si>
    <t>23</t>
  </si>
  <si>
    <t xml:space="preserve"> INCREBASE CONSTRUTORA LTDA </t>
  </si>
  <si>
    <t>22.456.311/0001-00</t>
  </si>
  <si>
    <t xml:space="preserve"> Mona Lisa </t>
  </si>
  <si>
    <t>(16)996269148</t>
  </si>
  <si>
    <t>Mona.ferrarato@increbase.com.br</t>
  </si>
  <si>
    <t>Cliente informou que esta aguardando propostas de outras empresas.</t>
  </si>
  <si>
    <t>MAIS SOLUCOES EM TECNOLOGIA &amp; ENGENHARIA LTDA</t>
  </si>
  <si>
    <t>33.637.169/0001-06</t>
  </si>
  <si>
    <t>Adailton</t>
  </si>
  <si>
    <t>(13)974230131</t>
  </si>
  <si>
    <t xml:space="preserve"> rh@maissolucoes.eng.br</t>
  </si>
  <si>
    <t>LIGAR 30/03/2026</t>
  </si>
  <si>
    <t>62.425.802 MARIA APARECIDA DA SILVA GOMES</t>
  </si>
  <si>
    <t>62.425.802/0001-09</t>
  </si>
  <si>
    <t>Maria Aparecida</t>
  </si>
  <si>
    <t>PACOTE SST+ NR1 + Treinamentos</t>
  </si>
  <si>
    <t>ONG INSTITUTO DE CIDADANIA MISAEL CARDOSO - ICM</t>
  </si>
  <si>
    <t>28.823.297/0002-95</t>
  </si>
  <si>
    <t>Michelle Cardoso</t>
  </si>
  <si>
    <t>(11)995334406</t>
  </si>
  <si>
    <t>secretariamisaelcardoso@gmail.com</t>
  </si>
  <si>
    <t>CRIS BJ LTDA</t>
  </si>
  <si>
    <t>34.900.058/0001-03</t>
  </si>
  <si>
    <t>Cristiano</t>
  </si>
  <si>
    <t>(11)959400144</t>
  </si>
  <si>
    <t>cristianobjo@icloud.com</t>
  </si>
  <si>
    <t>LIGAR 03/04/2026</t>
  </si>
  <si>
    <t>PERMUTE</t>
  </si>
  <si>
    <t>CARGO LUZ LOGISTICA E TRANSPORTES LTDA</t>
  </si>
  <si>
    <t>63.865.474/0001-16</t>
  </si>
  <si>
    <t>Elizangela</t>
  </si>
  <si>
    <t xml:space="preserve"> SERVICO NACIONAL DE APRENDIZAGEM INDUSTRIAL</t>
  </si>
  <si>
    <t>03.774.819/0060-54</t>
  </si>
  <si>
    <t>Andressa</t>
  </si>
  <si>
    <t>114344-5053</t>
  </si>
  <si>
    <t>andressa.gomes@sp.senai.br</t>
  </si>
  <si>
    <t>FIT TEST QUANTITATIVO</t>
  </si>
  <si>
    <t>T.E. FABRICA DE DONUTS LTDA</t>
  </si>
  <si>
    <t>65.971.489/0001-94</t>
  </si>
  <si>
    <t>Enzo Andrade</t>
  </si>
  <si>
    <t>(11)996213803</t>
  </si>
  <si>
    <t>tgc.fabricadedonuts@gmail.com</t>
  </si>
  <si>
    <t>Pink World Agência LTDA</t>
  </si>
  <si>
    <t>50.867.014/0001-85</t>
  </si>
  <si>
    <t>Sara Jeniffer de França Brito</t>
  </si>
  <si>
    <t>(11) 97068-5642</t>
  </si>
  <si>
    <t>Slasolucoeseventos@hotmail.com</t>
  </si>
  <si>
    <t>ZENZAO COMERCIO DE VARIEDADES LTDA</t>
  </si>
  <si>
    <t>53.748.954/0001-43</t>
  </si>
  <si>
    <t>ISAMIL KAMAR</t>
  </si>
  <si>
    <t xml:space="preserve"> (11) 99668-2210 </t>
  </si>
  <si>
    <t>coordenacaovendas@zenzao.shop</t>
  </si>
  <si>
    <t>CAMPBELL SCIENTIFIC DO BRASIL LTDA</t>
  </si>
  <si>
    <t>00.369.633/0001-71</t>
  </si>
  <si>
    <t>CARLOS FELICISSIMO</t>
  </si>
  <si>
    <t>(11) 98517-1036</t>
  </si>
  <si>
    <t>carlos@campbellsci.com.br</t>
  </si>
  <si>
    <t>TREINAMENTO NR-10 e NR-35</t>
  </si>
  <si>
    <t>PACOTE DE EXAMES</t>
  </si>
  <si>
    <t>26.942.117/0001-88</t>
  </si>
  <si>
    <t>MAIKE LEANDRO</t>
  </si>
  <si>
    <t>(16)3832-0400</t>
  </si>
  <si>
    <t>mrleandro@satusager.com</t>
  </si>
  <si>
    <t>AVALIAÇÃO QUIMICA E VISITA</t>
  </si>
  <si>
    <t>PMA INNOVA ADMINISTRACAO E PARTICIPACOES LTDA</t>
  </si>
  <si>
    <t>MARCELO GOMES</t>
  </si>
  <si>
    <t>( 11)  98895-3274</t>
  </si>
  <si>
    <t>marcelo.gomes@innova.net.br</t>
  </si>
  <si>
    <t>ACOMPANHAMENTO DE PERICIA</t>
  </si>
  <si>
    <t>13/04 Ainda não tiveram retorno dos interessados.</t>
  </si>
  <si>
    <t>02/04/2026 - SEM RETORNO</t>
  </si>
  <si>
    <t>02/04/2026 - PROPOSTA DECLINADA SEM RETORNO</t>
  </si>
  <si>
    <t>OK</t>
  </si>
  <si>
    <t>02/04/2026 - SEM DATA DEFINIDA PARA RETORNO</t>
  </si>
  <si>
    <t xml:space="preserve">08/04/2026 - SEM RETORNO E-MAIL ENVIADO, DECLINADO POR ENQUANTO. </t>
  </si>
  <si>
    <t>08/04/2026 Prorrogaram a data de interesse do serviço.</t>
  </si>
  <si>
    <t>lr@setepowerenergy.com</t>
  </si>
  <si>
    <t>24/03 - estou em tratativa pelo whatsapp / retornar no dia 25/03 - para sabermos uma devolutiva! / 27/03 - Somente no mês que vem para realizarmos o fechamento da proposta, estarei retificando a proposta e encaminhadno com os valores atualizados / retorno quarta -feira  08/04 / 10/04 - Solicitou o retorno para quarta-feira  15/04</t>
  </si>
  <si>
    <t>24/03 - estou em tratativa pelo whatsapp / retornar no dia 25/03 - para sabermos uma devolutiva! / 27/03 - Somente no mês que vem para realizarmos o fechamento da proposta, estarei retificando a proposta e encaminhadno com os valores atualizados / retorno quarta -feira  08/04 / 10/04 - Solicitou o retorno para quarta-feira  15/04 / Em reunião com o Lucas, retificamos a proposta e alinhamos todas as dúvida! Teremos uma melhor devolutiva no dia 22/04.</t>
  </si>
  <si>
    <t>PACOTE SST + NR01</t>
  </si>
  <si>
    <t xml:space="preserve">31/03 - Proposta será retificada para o mês que vem!  / 10/04 - caixa postal </t>
  </si>
  <si>
    <t>31/03/2026 - Infelizmente sem devolutiva da cliente após o envio da proposta. / 17/03 - A empresa solciitou a realização dos laudos para a matriz e a filial./ 27/ 03 - A proposta está em avaliação com o cristiano pois houve algumas alterações nas claúsulas./ 01/04 -  A empresa infelizmente não aceitou a proposta.</t>
  </si>
  <si>
    <t>27/03/2026 - SEM RETORNO / 30/03/2026 - E-mail enviado. / 13/04/2026 - PROPOSTA DECLINADA SEM RETORNO DO CLIENTE.</t>
  </si>
  <si>
    <t>NOTORIA PROMOCAO DE VENDAS</t>
  </si>
  <si>
    <t>48.315.586/0001-00</t>
  </si>
  <si>
    <t xml:space="preserve">ALINE </t>
  </si>
  <si>
    <t>71 99272- 0452</t>
  </si>
  <si>
    <t>aline.hidalgo@notoriapromocoes.com.br</t>
  </si>
  <si>
    <t>Sem retorno</t>
  </si>
  <si>
    <t>RETORNAR SEGUNDA PARA FALAR COM A NOVA RESPONSÁVEL NATHALIA</t>
  </si>
  <si>
    <t>13/04/2026 Irão fechar a proposta porém esta com outra demanda na frente, entrará em contato em breve para fechar.</t>
  </si>
  <si>
    <t xml:space="preserve">16/03 - proposta solicitada e encaminhada via e-mail / Estarei retornando logo após a mudança do endereço, após a data de 24/05. </t>
  </si>
  <si>
    <t>MARIO'S LATICINIOS E AVICOLA LTDA</t>
  </si>
  <si>
    <t>54.966.635/0001-77</t>
  </si>
  <si>
    <t>17/03 - A empresa solciitou a realização dos laudos para a matriz e a filial./ 27/ 03 - A proposta está em avaliação com o cristiano pois houve algumas alterações nas claúsulas. / Aguardando um adevolutiva do Cristiano para darmos andamento./ 22/04 - Voltamos as tratativas e o contrato foi assinado.</t>
  </si>
  <si>
    <t xml:space="preserve">17/03 - A empresa solciitou a realização dos laudos para a matriz e a filial./ 27/ 03 - A proposta está em avaliação com o cristiano pois houve algumas alterações nas claúsulas. / Aguardando um adevolutiva do Cristiano para darmos andamento. / 10/04 - Por falta de devolutiva, estarei declinando a proposta! </t>
  </si>
  <si>
    <t xml:space="preserve">20/03 - Proposta encaminhada e retifacada na 25/03 / 25/03 - entrei em contato por e-mail.  / MIka está dando andamento! </t>
  </si>
  <si>
    <t>rh@ayapitaya.com.br</t>
  </si>
  <si>
    <t>Por enquanto esta suspensa essa contratação de serviços</t>
  </si>
  <si>
    <t>15/04 A empresa já possui prestadora, entretando tem intenção em trocar. Entrará em contato mês de Maio</t>
  </si>
  <si>
    <t>MARIANA</t>
  </si>
  <si>
    <t xml:space="preserve">10/04 - SEM CONTATO COM A EMPRESA   </t>
  </si>
  <si>
    <t>23/04/2026 - Email enviado - 24/04/2026 ligar na segunda</t>
  </si>
  <si>
    <r>
      <rPr>
        <rFont val="Arial"/>
        <color rgb="FF1155CC"/>
        <u/>
      </rPr>
      <t>rh@gruposne.com.br</t>
    </r>
  </si>
  <si>
    <t>20/04/2026 Nenhum retorno nem por e-mail nem ligação, mensagem no whats enviada.</t>
  </si>
  <si>
    <t>DIVERSAS TENTATIVAS DE LIGAÇÃO REALIZADAS, SEM SUCESSO.</t>
  </si>
  <si>
    <r>
      <rPr>
        <color rgb="FF1155CC"/>
        <u/>
      </rPr>
      <t>rose_sp@solumaster.com.br</t>
    </r>
  </si>
  <si>
    <t xml:space="preserve">15/04 - Essa semana entrarar em contato para falar sobre assinatura </t>
  </si>
  <si>
    <t xml:space="preserve"> (11)953126329</t>
  </si>
  <si>
    <t>rh@mpm.com.br</t>
  </si>
  <si>
    <r>
      <rPr>
        <rFont val="&quot;Arial&quot;,sans-serif"/>
        <color rgb="FF1155CC"/>
        <u/>
      </rPr>
      <t>vinicius1311@hotmail.com</t>
    </r>
  </si>
  <si>
    <t>20/04 Tratava-se de um serviço avulso</t>
  </si>
  <si>
    <t>REENVIAR PROPOSTA, PREVISÃO DE FECHAMENTO ATÉ O DIA 15/05</t>
  </si>
  <si>
    <t>02/04 - A empresa fechou o contrato com outra clinica, pois ofertaram os mesmos valores por mais NRs pelo valor de 2.000,00, infelizmente o cliente não nos deu nenhuma abertura para participarmos da negociação. Tentei contato diversas vezes, mas infelizmente sem um contato direto para iniciarmos</t>
  </si>
  <si>
    <t>RC TRANSPORTES LTDA</t>
  </si>
  <si>
    <t>04.409.228/0001-90</t>
  </si>
  <si>
    <t>(11)55218282</t>
  </si>
  <si>
    <t xml:space="preserve"> TATIANE.LIMA@RCTRANSPORTES.COM.BR</t>
  </si>
  <si>
    <t>NR 15 E NR16</t>
  </si>
  <si>
    <t>2737/2738/2739</t>
  </si>
  <si>
    <t xml:space="preserve">08/04 - Desde a data da solicitação da empresa, entrei em contato com a empresa para saber todas as devolutivas. Infelizmente após a data do dia 01/04 não consegui contato com a empresa.   / RETOMAMOS O CONTTAO NESSE MÊS E FEHCAMOS A PARCERIA </t>
  </si>
  <si>
    <t>08/04 - A empresa solicitou o orçamento, mas não nos deu nenhuma devolutiva após a solciitação. / 28/04 - Infelizmente com insesantes tenataivas para a realização do contrato. Declino a proposta.</t>
  </si>
  <si>
    <t xml:space="preserve">06/04 - A empresa nos enviou uma devolutiva sobre os treinamento, infelizmente o orçamento passou do target que eles tinham e eles escolheram uma empresa que chegou mais próximo do que eles podiam. </t>
  </si>
  <si>
    <t>CONSUMERING DIGITAL INFORMÁTICA E MARKETING LTDA</t>
  </si>
  <si>
    <t>28.123.501/0001-84</t>
  </si>
  <si>
    <t>Stéffani Valente da Silva</t>
  </si>
  <si>
    <t>(11) 94834-8040</t>
  </si>
  <si>
    <t>finance@addsales.com</t>
  </si>
  <si>
    <t>OK - RENOVAÇÃO COM ALTERAÇÃO DE FUNCIONÁRIOS E INCLUSÃO DE NR01</t>
  </si>
  <si>
    <t>QUIBEBE COZINHA LTDA.</t>
  </si>
  <si>
    <t>23.972.933/0001-46</t>
  </si>
  <si>
    <t>VERONICA</t>
  </si>
  <si>
    <t>11 8549-9821</t>
  </si>
  <si>
    <t>pessoas@quibebe.com.br</t>
  </si>
  <si>
    <t>15/04 Sem sucesso telefonic, e-mail de cobrança e mensagem no whatsapp feito.</t>
  </si>
  <si>
    <t>O TELEFONE QUE ESTA NO CADASTRO NÃO É O DA PESSOA RESPONSÁVEL, ENVIADO EMAIL PARA COBRAR RETORNO</t>
  </si>
  <si>
    <t>SOROROCA RESTAURANTE LTDA</t>
  </si>
  <si>
    <t>52.349.568/0001-16</t>
  </si>
  <si>
    <t>LOBOZO COZINHA E VENDA LTDA.</t>
  </si>
  <si>
    <t>40.007.039/0001-55</t>
  </si>
  <si>
    <t>REW SERVICOS DE INTERNET S.A.</t>
  </si>
  <si>
    <t>08.824.442/0001-64</t>
  </si>
  <si>
    <t>11 4003-3142</t>
  </si>
  <si>
    <t>gabriela@gendo.app</t>
  </si>
  <si>
    <t>11 99583-3019</t>
  </si>
  <si>
    <t>rh@gruposne.com.br</t>
  </si>
  <si>
    <t>15/04 E-mail cobrando</t>
  </si>
  <si>
    <t>KB HAV CONSULTORIA ESPECIALIZADA LTDA</t>
  </si>
  <si>
    <t>65.387.174/0001-02</t>
  </si>
  <si>
    <t xml:space="preserve">RAFAEL </t>
  </si>
  <si>
    <t>(11) 2922-8000</t>
  </si>
  <si>
    <t>gestao@havannainterlagos.com.br</t>
  </si>
  <si>
    <t>MARY LUCI PIZZATO ANGI COM. E SERVIÇOS</t>
  </si>
  <si>
    <t>11-3733-4040</t>
  </si>
  <si>
    <r>
      <rPr>
        <rFont val="Arial, sans-serif"/>
        <color rgb="FF000000"/>
        <u/>
      </rPr>
      <t>gerencia.adm@brnutri.com.br</t>
    </r>
  </si>
  <si>
    <t xml:space="preserve"> O.S </t>
  </si>
  <si>
    <t>Claudinei Fernando de Oliveira</t>
  </si>
  <si>
    <t>63.150.041/0001-84</t>
  </si>
  <si>
    <t xml:space="preserve">MONICA </t>
  </si>
  <si>
    <t>(17) 99728-4669</t>
  </si>
  <si>
    <t>claudinei@incentivebusiness.com.br</t>
  </si>
  <si>
    <t>KLUBER LUBRICATION LUBRIFICANTES ESPECIAIS LTDA</t>
  </si>
  <si>
    <t>43.054.261/0001-05</t>
  </si>
  <si>
    <t>Julia Caroline</t>
  </si>
  <si>
    <t>(11)41669156</t>
  </si>
  <si>
    <t>Julia.Pereira@klueber.com</t>
  </si>
  <si>
    <t>LAUDO DE VIBRAÇÃO</t>
  </si>
  <si>
    <t>14/04/2026 - E-mail enviado</t>
  </si>
  <si>
    <t>FORMULA SAUDE FARMACIA DE MANIPULACAO LTDA</t>
  </si>
  <si>
    <t>05.193.548/0001-19</t>
  </si>
  <si>
    <t>Joelma Ferreira Matsuno</t>
  </si>
  <si>
    <t>(11) 97503-9375</t>
  </si>
  <si>
    <t>jomatsuno@ig.com.br</t>
  </si>
  <si>
    <t>MONITORAMENTO E VIGILANCIA RL LTDA</t>
  </si>
  <si>
    <t>35.652.895/0001-23</t>
  </si>
  <si>
    <t>PAULA</t>
  </si>
  <si>
    <t>(11) 97702-7319</t>
  </si>
  <si>
    <r>
      <rPr>
        <color rgb="FF000000"/>
        <sz val="10.0"/>
        <u/>
      </rPr>
      <t>brunalima@segurancarl.com</t>
    </r>
  </si>
  <si>
    <t>29-04 - NUMERO SEM COMPLETAR LIGAÇÃO</t>
  </si>
  <si>
    <t>MCON SERVICOS DE LIMPEZA E APOIO ADM LTDA</t>
  </si>
  <si>
    <t>53.740.167/0001-55</t>
  </si>
  <si>
    <t xml:space="preserve">ANDRÉA </t>
  </si>
  <si>
    <t>11 98807-5373</t>
  </si>
  <si>
    <t>andre.sollero@escolascriativas.org</t>
  </si>
  <si>
    <t>SSOMED / SITE</t>
  </si>
  <si>
    <t>09/04/2026 A empresa alega querer seguir contrato conosco só estão resolvendo algumas pendencias internas.</t>
  </si>
  <si>
    <t>A MORADA TRES CORACOES CASA DE REPOUSO LTDA</t>
  </si>
  <si>
    <t>23.456.381/0001-13</t>
  </si>
  <si>
    <t>Elidia Rezende</t>
  </si>
  <si>
    <t>(11) 98127-7171</t>
  </si>
  <si>
    <t>elidiarezende@hotmail.com</t>
  </si>
  <si>
    <t>Acompanhamento técnico</t>
  </si>
  <si>
    <t xml:space="preserve">07/04 - A  empresa não aceitou a proposta pois não estava nos planos da mesma o orçamento de R$ 3800,00. Questionei sobre qual seria o target, mas os mesmo não queriam gastar com essa avaliação. / A empresa seguiu mas sem a perícia, pois queria o serviço de forma gratuita. </t>
  </si>
  <si>
    <t>CLINICA MEDICA SPATIUM LTDA</t>
  </si>
  <si>
    <t>03.135.026/0001-35</t>
  </si>
  <si>
    <t>Fabio</t>
  </si>
  <si>
    <t>5511988515522 / 551150834491</t>
  </si>
  <si>
    <t xml:space="preserve">fabio.lopes@choros.com.br </t>
  </si>
  <si>
    <t>CLINICA CHOROS LTDA</t>
  </si>
  <si>
    <t>55.691.092/0001-95</t>
  </si>
  <si>
    <t>NEW COFFEE REFEICOES LTDA</t>
  </si>
  <si>
    <t>43.229.362/0001-61</t>
  </si>
  <si>
    <t>Jennifer dos Santos Freitas</t>
  </si>
  <si>
    <t>(11) 96953-1657</t>
  </si>
  <si>
    <t>jenniferworksafe@gmail.com</t>
  </si>
  <si>
    <t xml:space="preserve">09/04/2026 - A empresa infelizmente não nos retornou depois do ultimo envio da proposta retificada / Desde a data da proposta encaminhada para assinatura a mesma sumiu. </t>
  </si>
  <si>
    <t>INOVACORP ENGENHARIA LTDA</t>
  </si>
  <si>
    <t>45.985.026/0001-74</t>
  </si>
  <si>
    <t>11 3675-0790</t>
  </si>
  <si>
    <r>
      <rPr>
        <rFont val="&quot;Arial&quot;,sans-serif"/>
        <color rgb="FF1155CC"/>
        <u/>
      </rPr>
      <t>fabio.souza@megaeng.com.br</t>
    </r>
  </si>
  <si>
    <t xml:space="preserve">14/04 - Essa semana me informou que estara assinando a proposta </t>
  </si>
  <si>
    <t xml:space="preserve"> MEGA ENGENHARIA </t>
  </si>
  <si>
    <t>02.819.545/0001-50</t>
  </si>
  <si>
    <r>
      <rPr>
        <rFont val="&quot;Arial&quot;,sans-serif"/>
        <color rgb="FF000000"/>
        <u/>
      </rPr>
      <t>fabio.souza@megaeng.com.br</t>
    </r>
  </si>
  <si>
    <t xml:space="preserve">CONAM </t>
  </si>
  <si>
    <t xml:space="preserve">JOÃO </t>
  </si>
  <si>
    <t>gustavo.freitas@conam.eng.br</t>
  </si>
  <si>
    <t>TRAME DECORACAO LTDA</t>
  </si>
  <si>
    <t>64.575.737/0001-15</t>
  </si>
  <si>
    <t>SONIA</t>
  </si>
  <si>
    <t>11 99485 1528</t>
  </si>
  <si>
    <t>financeiro@tramehome.com.br</t>
  </si>
  <si>
    <t>SUCAR INVESTIMENTOS IMOBILIARIOS LTDA</t>
  </si>
  <si>
    <t>60.415.882/0001-88</t>
  </si>
  <si>
    <t>11 3231-1999</t>
  </si>
  <si>
    <t>silvana@rpaudi.com.br</t>
  </si>
  <si>
    <t>DPG MARKETING DIGITAL LTDA</t>
  </si>
  <si>
    <t>17.697.438/0001-73</t>
  </si>
  <si>
    <t>Marta Giove/Patricia</t>
  </si>
  <si>
    <t>(11)981866222</t>
  </si>
  <si>
    <t>adm@grupodpg.com.br</t>
  </si>
  <si>
    <t xml:space="preserve">COMHUB - HUB DE COMUNICACAO INTEGRADA LTDA </t>
  </si>
  <si>
    <t>07.861.028/0001-62</t>
  </si>
  <si>
    <t>Lucas Giove</t>
  </si>
  <si>
    <t>lucas@grupodpg.com.br</t>
  </si>
  <si>
    <t xml:space="preserve">ETHOS GESTAO EMPRESARIAL LTDA  </t>
  </si>
  <si>
    <t>65.865.587/0001-47</t>
  </si>
  <si>
    <t>Felipe / Sabrina</t>
  </si>
  <si>
    <t>(11)984613295</t>
  </si>
  <si>
    <t>Felipe.kagohara@yahoo.com.br</t>
  </si>
  <si>
    <t>MIRAE ENSINO DE IDIOMAS LTDA</t>
  </si>
  <si>
    <t>19.001.178/0001-85</t>
  </si>
  <si>
    <t>Issamo Yamasato</t>
  </si>
  <si>
    <t>(11)972751601</t>
  </si>
  <si>
    <r>
      <rPr>
        <rFont val="Arial"/>
        <u/>
      </rPr>
      <t>issamo.yamasato@hotmail.com</t>
    </r>
  </si>
  <si>
    <t xml:space="preserve">SIDEL DO BRASIL LTDA </t>
  </si>
  <si>
    <t xml:space="preserve">61.438.206/0001-92 </t>
  </si>
  <si>
    <t>James Moraes / Ana</t>
  </si>
  <si>
    <t>(11)984350079</t>
  </si>
  <si>
    <t>james.lima@sidel.com</t>
  </si>
  <si>
    <t>TREINAMENTOS 06, 10, 12 e 35</t>
  </si>
  <si>
    <t>SETIMO ANO EDUCACAO DIGITAL LTDA</t>
  </si>
  <si>
    <t>39.941.605/0001-12</t>
  </si>
  <si>
    <t>Lucas Lopes</t>
  </si>
  <si>
    <t>(71)999443445 / (11)926269662</t>
  </si>
  <si>
    <t>lucas@setimoano.com.br</t>
  </si>
  <si>
    <t>15/04/2026 - Retornar contato - Sem retono</t>
  </si>
  <si>
    <t>ZFILTROS COMERCIO E SERVICOS LTDA</t>
  </si>
  <si>
    <t>42.847.197/0001-49</t>
  </si>
  <si>
    <t>Renan Zolesi</t>
  </si>
  <si>
    <t>(11) 94600-5024</t>
  </si>
  <si>
    <t>renan@z3filtros.com.br</t>
  </si>
  <si>
    <t>07/04 - Proposta solicitada e enviada! / CONTRATO ALTERADO E FECHADO NO DIA 09/04/2026</t>
  </si>
  <si>
    <t>KI - DEZ BIJUTERIAS ARTESANAIS LTDA</t>
  </si>
  <si>
    <t>03.956.975/0001-86</t>
  </si>
  <si>
    <t>JESUINO</t>
  </si>
  <si>
    <t>11 99938-1732</t>
  </si>
  <si>
    <t>jf-figueredo@uol.com.br</t>
  </si>
  <si>
    <t>ASSOCIACAO RECICLAZARO</t>
  </si>
  <si>
    <t>03.960.066/0001-11</t>
  </si>
  <si>
    <t>11 99763-5842</t>
  </si>
  <si>
    <t>adriana@reciclazaro.org.br</t>
  </si>
  <si>
    <t>MANTEVE A PRESTADORA ATUAL.</t>
  </si>
  <si>
    <t>RR EVENTOS E ENTRETENIMENTO LTDA</t>
  </si>
  <si>
    <t>31.847.705/0001-72</t>
  </si>
  <si>
    <t>Marcelo Mueller</t>
  </si>
  <si>
    <t>(11)44411175</t>
  </si>
  <si>
    <t xml:space="preserve">ivoneteviana@hotmail.com </t>
  </si>
  <si>
    <t>10/04/2026 - Cliente declinou proposta por consta da localidade.</t>
  </si>
  <si>
    <t>E3 GUARDIAN LTDA</t>
  </si>
  <si>
    <t>27.202.454/0001-00</t>
  </si>
  <si>
    <t>URIEL LUIS</t>
  </si>
  <si>
    <t>(11)39005050</t>
  </si>
  <si>
    <t>uriel.silva@grupoe3mais.com</t>
  </si>
  <si>
    <t>14/04/2026 - Aguardando retorno Renata / Somente na próxima semana</t>
  </si>
  <si>
    <t>E3 TELECOMUNICACOES E SERVICOS LTDA</t>
  </si>
  <si>
    <t>22.950.983/0001-60</t>
  </si>
  <si>
    <t>G3 INTERNET.NET LTDA</t>
  </si>
  <si>
    <t>42.344.807/0001-91</t>
  </si>
  <si>
    <t>VSF COMERCIO DE ALIMENTOS E BEBIDAS LTDA</t>
  </si>
  <si>
    <t>60.239.235/0001-62</t>
  </si>
  <si>
    <t>Francele</t>
  </si>
  <si>
    <t>(11)939354065</t>
  </si>
  <si>
    <t>fm.soaresfirmino@hotmail.com</t>
  </si>
  <si>
    <t>LSP152 SERVICOS DE LIMPEZA LTDA</t>
  </si>
  <si>
    <t>27.593.931/0001-05</t>
  </si>
  <si>
    <t>SANDRA MAROSTICA</t>
  </si>
  <si>
    <t>(11) 98354-5480</t>
  </si>
  <si>
    <t>sandra.marostica@limpidus.com.br</t>
  </si>
  <si>
    <t xml:space="preserve">08/04 - EMPRESA SOLICITOU A ELABORAÇÃO DA NR01 / 10/04 - SEM CONTATO / </t>
  </si>
  <si>
    <t>EC Park Estacionamento Ltda</t>
  </si>
  <si>
    <t>37.483.739/0001-01</t>
  </si>
  <si>
    <t>Michelly Cristina Paulino Reis</t>
  </si>
  <si>
    <t>11 98081-7804</t>
  </si>
  <si>
    <r>
      <rPr>
        <color rgb="FF1155CC"/>
        <u/>
      </rPr>
      <t>financeiro.ecpark@gmail.com</t>
    </r>
  </si>
  <si>
    <t xml:space="preserve">PACOTE SST E NR01 </t>
  </si>
  <si>
    <t xml:space="preserve">14/04 - Somente em Maio </t>
  </si>
  <si>
    <t>ROYAL I COFFEE HOUSE CAFETERIA LTDA</t>
  </si>
  <si>
    <t>65.710.053/0001-41</t>
  </si>
  <si>
    <t>(11) 94310-4948</t>
  </si>
  <si>
    <r>
      <rPr>
        <color rgb="FF1155CC"/>
        <sz val="10.0"/>
        <u/>
      </rPr>
      <t>ricardotupi@hotmail.com</t>
    </r>
  </si>
  <si>
    <t>15/04 Fechou com outra prestadora.</t>
  </si>
  <si>
    <t xml:space="preserve">IMPLANT VOXEL ODONTOLOGIA DIGITAL LTDA ( GRUPO VELASCO) </t>
  </si>
  <si>
    <t>55.823.950/0001-08</t>
  </si>
  <si>
    <t>LUIS HENRIQUE</t>
  </si>
  <si>
    <t>(11) 2940-6457</t>
  </si>
  <si>
    <t>dho@odontologiavelasco.com.br</t>
  </si>
  <si>
    <t>Contrato na pasta Grupo Velasco</t>
  </si>
  <si>
    <t>SILVINO ROQUE NETO CONSTRUCOES LTDA</t>
  </si>
  <si>
    <t>62.918.359/0001-08</t>
  </si>
  <si>
    <t>SILVINO</t>
  </si>
  <si>
    <t>11 9555-4058</t>
  </si>
  <si>
    <t>drsboviot@outlook.com</t>
  </si>
  <si>
    <t>15/04 Em contato telefonico a solicitante informou que a diretoria esta avaliando a proposta, retornar até sexta-feira.</t>
  </si>
  <si>
    <t>CSTORE COMERCIO DE MATERIAIS LOGOMARCADOS LTDA</t>
  </si>
  <si>
    <t>60.424.942/0001-29</t>
  </si>
  <si>
    <t>CARINA</t>
  </si>
  <si>
    <t>11 99917-6916</t>
  </si>
  <si>
    <t>cdamaso@brprop.com.br</t>
  </si>
  <si>
    <t>15/04 Sem sucesso telefonico, mandei e-mail cobrando e mensagem no whatsapp</t>
  </si>
  <si>
    <t>CELSO HIROKI AUDIO -M E</t>
  </si>
  <si>
    <t>03.360.804/0001-90</t>
  </si>
  <si>
    <t>CELSO HIROKI</t>
  </si>
  <si>
    <t>(11) 98265-7000</t>
  </si>
  <si>
    <t>ccchrk@uol.com.br</t>
  </si>
  <si>
    <t xml:space="preserve">09/04 - CONTRATO ASSINADO E RETIFICADO </t>
  </si>
  <si>
    <t>MABEL COMERCIO DE IMPORTADOS LTDA</t>
  </si>
  <si>
    <t>00.527.682/0007-80</t>
  </si>
  <si>
    <t>CARLA MARIA DE CARVALHO OLIVEIRA</t>
  </si>
  <si>
    <t>(11) 98218-7174</t>
  </si>
  <si>
    <t>rh@mabelimport.com.br</t>
  </si>
  <si>
    <t>10/04 - CONSEGUI CONTATO COM A EMPRESA E A MESMA FALOU QUE IRÁ NOS RETORNAR / 20/04- Desde a data solicitada, estamos sem retorno.</t>
  </si>
  <si>
    <t>00.527.682/0001-95</t>
  </si>
  <si>
    <t>GRUPO TOKYO</t>
  </si>
  <si>
    <t>30.481.525/0001-57</t>
  </si>
  <si>
    <t>Alessandra Tavares</t>
  </si>
  <si>
    <t>(11) 91210-7461</t>
  </si>
  <si>
    <t>alessandra.rodrigues@tokyo011.com</t>
  </si>
  <si>
    <t xml:space="preserve">10/04 - SEM RETORNO / 20/04- Desde a data solicitada, estamos sem retorno./ 28/04 - Em contato com a senhorita clara, ela passou o recado para a carla e fico no aguardo de uma devolutiva. </t>
  </si>
  <si>
    <t>COMAC ESPLANADA MANUTENCAO HIDRAULICA DE BOMBAS LTDA</t>
  </si>
  <si>
    <t>50.243.294/0001-50</t>
  </si>
  <si>
    <t>Sergio Fernandes Nakamura</t>
  </si>
  <si>
    <t>(11) 3283-5989</t>
  </si>
  <si>
    <t>comercial@comacesplanada.com.br</t>
  </si>
  <si>
    <t>09/04 - CONTRATO ASSINADO</t>
  </si>
  <si>
    <t>NARWHAL CAPITAL AI LTDA</t>
  </si>
  <si>
    <t>51.902.958/0001-09</t>
  </si>
  <si>
    <t>STEPHANY CARMO</t>
  </si>
  <si>
    <t>(11) 94388-4571</t>
  </si>
  <si>
    <t>stephany.carmo@docconcierge.com.br</t>
  </si>
  <si>
    <t xml:space="preserve">PACOTE SST + TELEMEDICINA </t>
  </si>
  <si>
    <t xml:space="preserve">08/04 - PROPOSTA SOLICTADA - 09/04 PROPOSTA ASSINADA E ACORDADA COM O CRISTIANO SOBRE A TELEMEDICINA  </t>
  </si>
  <si>
    <t>CapiMaster - Tratamento da Queda Capilar Ltda</t>
  </si>
  <si>
    <t>44.642.152/0001-63</t>
  </si>
  <si>
    <t>Eliane Barni</t>
  </si>
  <si>
    <t>11 91591-1588</t>
  </si>
  <si>
    <t>financeirowells@gmail.com</t>
  </si>
  <si>
    <t xml:space="preserve">Informou que vai continuar com a empresa atual </t>
  </si>
  <si>
    <t>Alan Wells Serviços Médicos</t>
  </si>
  <si>
    <t>409.277.339/0001-04</t>
  </si>
  <si>
    <t>12 91591-1588</t>
  </si>
  <si>
    <t xml:space="preserve">FMF COMERCIO DE ALIMENTOS E BEBIDAS LTDA </t>
  </si>
  <si>
    <t xml:space="preserve">50.902.054/0001-10
</t>
  </si>
  <si>
    <t xml:space="preserve">MFS COMERCIO DE ALIMENTOS E BEBIDAS LTDA </t>
  </si>
  <si>
    <t>46.458.986/0001 49</t>
  </si>
  <si>
    <t xml:space="preserve"> PROSPERITAS COMERCIO DE ALIMENTOS LTDA </t>
  </si>
  <si>
    <t>58.075.361/0001-87</t>
  </si>
  <si>
    <t>Raphaela Toledo</t>
  </si>
  <si>
    <t>(11)933488902</t>
  </si>
  <si>
    <t xml:space="preserve">grupoempresarialnardi@hotmail.com </t>
  </si>
  <si>
    <t>13/04/2026 - Fechou com outra empresa.</t>
  </si>
  <si>
    <t>PROSPERITAS 2 COMERCIO DE ALIMENTOS LTDA</t>
  </si>
  <si>
    <t>58.451.468/0001-82</t>
  </si>
  <si>
    <t xml:space="preserve">NARDI 3 COMERCIO DE ALIMENTOS LTDA. </t>
  </si>
  <si>
    <t>27.561.351/0001-28</t>
  </si>
  <si>
    <t xml:space="preserve"> MN SORVETES LTDA </t>
  </si>
  <si>
    <t>64.782.961/0001-88</t>
  </si>
  <si>
    <t xml:space="preserve">YOUR COFFEE CAFE E RESTAURANTE LTDA. </t>
  </si>
  <si>
    <t>31.785.992/0001-33</t>
  </si>
  <si>
    <t>TATUAPE PRODUTOS ORTOPEDICOS LTDA</t>
  </si>
  <si>
    <t>51.189.953/0001-80</t>
  </si>
  <si>
    <t>Agda Quirino</t>
  </si>
  <si>
    <t>(11)910414011</t>
  </si>
  <si>
    <t>agda.quirino@doctorfeet.net</t>
  </si>
  <si>
    <t>Verificar desconto</t>
  </si>
  <si>
    <t>GRANJA VIANNA PRODUTOS ORTOPEDICOS LTDA</t>
  </si>
  <si>
    <t>35.741.212/0001-04</t>
  </si>
  <si>
    <t>TOBIAS BARRETO PRODUTOS ORTOPEDICOS LTDA</t>
  </si>
  <si>
    <t>48.404.892/0001-12</t>
  </si>
  <si>
    <t xml:space="preserve">LM CORRETORA LTDA </t>
  </si>
  <si>
    <t>14.667.119/0001-27</t>
  </si>
  <si>
    <t xml:space="preserve">Mara </t>
  </si>
  <si>
    <t>(11)991639603</t>
  </si>
  <si>
    <t>financeiro2@lmcorretora.com.br</t>
  </si>
  <si>
    <t>AUTO POSTO LINCE LTDA</t>
  </si>
  <si>
    <t>EDNILTON QUADROS</t>
  </si>
  <si>
    <t>1129619731, 11969465550</t>
  </si>
  <si>
    <t>adm@postolince.com.br</t>
  </si>
  <si>
    <t>AEROGEN CIENCIA DA VIDA BRASIL LTDA</t>
  </si>
  <si>
    <t>42.795.174/0001-38</t>
  </si>
  <si>
    <t>Michael Anthony O’Connor</t>
  </si>
  <si>
    <t>(11) 99780-0199</t>
  </si>
  <si>
    <t>michael@mfassociados.com.br</t>
  </si>
  <si>
    <t>CAILLANE</t>
  </si>
  <si>
    <t>CLAUDIA MARIA CABRAL SUSINI LIMA</t>
  </si>
  <si>
    <t>13.258.235/0001-20</t>
  </si>
  <si>
    <t>Elaine Ranelli</t>
  </si>
  <si>
    <t>(11) 3722-1628</t>
  </si>
  <si>
    <t>elaine.ranelli@contabil-sic.com.br</t>
  </si>
  <si>
    <t>proposta assinada</t>
  </si>
  <si>
    <t>17. REGISTRO CIVIL BELA VISTA</t>
  </si>
  <si>
    <t>00.490.817/0001-95</t>
  </si>
  <si>
    <t>VALDA</t>
  </si>
  <si>
    <t>(11)99729-9933</t>
  </si>
  <si>
    <t>cartorio17belavista@gmail.com</t>
  </si>
  <si>
    <t xml:space="preserve">OK </t>
  </si>
  <si>
    <t>GBS BISCOITERIA COMERCIO DE ALIMENTOS LTDA</t>
  </si>
  <si>
    <t>55.266.440/0001-87</t>
  </si>
  <si>
    <t xml:space="preserve">Carlos André Moreira </t>
  </si>
  <si>
    <t>(11) 95604-7890</t>
  </si>
  <si>
    <t>clsandre@hotmail.com</t>
  </si>
  <si>
    <t>BLACK COFFEE COMERCIO DE ALIMENTOS LTDA</t>
  </si>
  <si>
    <t>62.004.257/0001-79</t>
  </si>
  <si>
    <t>CONDOMINIO PROJETO IMOBILIARIO E 80</t>
  </si>
  <si>
    <t>62.242.392/0001-52</t>
  </si>
  <si>
    <t>Roberto Ferreira</t>
  </si>
  <si>
    <t>(11)957161279</t>
  </si>
  <si>
    <t>suporte@turimcondominios.com.br</t>
  </si>
  <si>
    <t>14/04/2026 - Proposta declinada, cliente optou por outra empresa em questões de valores</t>
  </si>
  <si>
    <t>VITRA ENGENHARIA PREDIAL LTDA</t>
  </si>
  <si>
    <t>46.503.313/0001-63</t>
  </si>
  <si>
    <t xml:space="preserve">DAYANE </t>
  </si>
  <si>
    <t>(11) 5564-4059</t>
  </si>
  <si>
    <t>CLEITE@VITRAENGENHARIA.COM.BR</t>
  </si>
  <si>
    <t>dfontana@vilamonteirolobato.com.br</t>
  </si>
  <si>
    <t>CHEIRIN BAO</t>
  </si>
  <si>
    <t>63.893.385/0001-83</t>
  </si>
  <si>
    <t>Kamila Sousa</t>
  </si>
  <si>
    <t>(11) 97678-6425</t>
  </si>
  <si>
    <t>kamilasgoncalves@gmail.com</t>
  </si>
  <si>
    <t xml:space="preserve">SOLICITAÇÃO DE ADENDO DA NR01 </t>
  </si>
  <si>
    <t>LM FACILITIES LTDA</t>
  </si>
  <si>
    <t>65.632.090/0001-89</t>
  </si>
  <si>
    <t>Letícia Lima de Almeida</t>
  </si>
  <si>
    <t>(11) 93919-7949</t>
  </si>
  <si>
    <t>contato.lm@uol.com.br</t>
  </si>
  <si>
    <t xml:space="preserve">13/04 - Proposta encaminhada no dia da solicitação / 14/04 - A empresa recebeu  outra proposta com o valor de R$ 1.300,00 À vista e não nos deu chance de negociar sobre o pacote </t>
  </si>
  <si>
    <t>ESCOLAS CRIATIVAS</t>
  </si>
  <si>
    <t>59.479.148/0001-01</t>
  </si>
  <si>
    <t>ANA BEATRIZ</t>
  </si>
  <si>
    <t>(11) 99396-2630</t>
  </si>
  <si>
    <t>ana.bretos@escolascriativas.org</t>
  </si>
  <si>
    <t>FM ORGANIZACAO CONTABIL LTDA</t>
  </si>
  <si>
    <t>11.166.036/0001-66</t>
  </si>
  <si>
    <t>FABIANE</t>
  </si>
  <si>
    <t>11 3782-7304</t>
  </si>
  <si>
    <t>dp@fmcontabil.com.br</t>
  </si>
  <si>
    <t>LAPA SAUDE E ESTETICA DOS PES LTDA</t>
  </si>
  <si>
    <t>58.221.875/0001-01</t>
  </si>
  <si>
    <t>HBN VIAGENS E TURISMO LTDA</t>
  </si>
  <si>
    <t>16.865.376/0001-07</t>
  </si>
  <si>
    <t>Meire</t>
  </si>
  <si>
    <t>(11)937011028</t>
  </si>
  <si>
    <t>meire@hdntur.com.br</t>
  </si>
  <si>
    <t>16/04/2026 - Cliente informou que o gestor renovou recentemente o contrato com atual empresa.</t>
  </si>
  <si>
    <t>MEAT HOUSE BURGER LTDA</t>
  </si>
  <si>
    <t>44.560.334/0001-95</t>
  </si>
  <si>
    <t>LUCAS SILVA</t>
  </si>
  <si>
    <t>(11)990087963</t>
  </si>
  <si>
    <t>davicontabil13@gmail.com</t>
  </si>
  <si>
    <t xml:space="preserve">FERNANDO CESAR FERREIRA </t>
  </si>
  <si>
    <t>16.623.255/0001-40</t>
  </si>
  <si>
    <t>Fernando Cesar Ferreira</t>
  </si>
  <si>
    <t>(11) 99317-0998</t>
  </si>
  <si>
    <t>flavia@maxtek.com.br</t>
  </si>
  <si>
    <t>22/04 - Sem contato com a empresa, a mesma não teria os laudos e logo após a solicitação sobre a NR01, SUMIRAM.</t>
  </si>
  <si>
    <t>RJBT ACADEMY LTDA</t>
  </si>
  <si>
    <t>ILANA</t>
  </si>
  <si>
    <t>financeiro@rjbtacademy.com</t>
  </si>
  <si>
    <t>NTL NOVA TECNOLOGIA LTDA</t>
  </si>
  <si>
    <t>32.185.480/0001-07</t>
  </si>
  <si>
    <t>SÉRGIO</t>
  </si>
  <si>
    <t>(21) 3523-7300</t>
  </si>
  <si>
    <r>
      <rPr>
        <color rgb="FF000000"/>
        <sz val="10.0"/>
        <u/>
      </rPr>
      <t>Dprh@</t>
    </r>
    <r>
      <rPr>
        <color rgb="FF000000"/>
        <sz val="10.0"/>
      </rPr>
      <t>ntl.com.br</t>
    </r>
  </si>
  <si>
    <t>ASK COMERCIO DE ALIMENTOS LTDA</t>
  </si>
  <si>
    <t>57.765.837/0001-49</t>
  </si>
  <si>
    <t>ARMANDO</t>
  </si>
  <si>
    <t>(11) 95688-0089</t>
  </si>
  <si>
    <t>chiquinhospsac@gmail.com</t>
  </si>
  <si>
    <t>CSK COMERCIO DE ALIMENTOS LTDA</t>
  </si>
  <si>
    <t>59.767.501/0001-40</t>
  </si>
  <si>
    <t>FABIO DA CUNHA SANTOS SERVICOS DE LIMPEZA LTDA</t>
  </si>
  <si>
    <t>29.078.752/0001-57</t>
  </si>
  <si>
    <t>(11)945588323</t>
  </si>
  <si>
    <r>
      <rPr>
        <color rgb="FF000000"/>
        <sz val="10.0"/>
        <u/>
      </rPr>
      <t>contato@agprimeclean.</t>
    </r>
    <r>
      <rPr>
        <color rgb="FF000000"/>
        <sz val="10.0"/>
      </rPr>
      <t>com.br</t>
    </r>
  </si>
  <si>
    <t>15/04 Tentei contato telefonico porém sem sucesso, enviei e-mail cobrando.</t>
  </si>
  <si>
    <t>CONDOMINIO EDIFICIO LINNEU GOMES</t>
  </si>
  <si>
    <t>36.087.96/0001-58</t>
  </si>
  <si>
    <t>MARILDE</t>
  </si>
  <si>
    <t>matilde@realag.com.br</t>
  </si>
  <si>
    <t>REAL AGRICULTURA E COMERCIO LTDA</t>
  </si>
  <si>
    <t>60.850.724/0001-56</t>
  </si>
  <si>
    <t>ETHOS GESTAO EMPRESARIAL LTDA</t>
  </si>
  <si>
    <t>FELIPE RIBEIRO KAGOHARA</t>
  </si>
  <si>
    <t>(11) 98461-3295</t>
  </si>
  <si>
    <t>EXAMES IN-COMPANY</t>
  </si>
  <si>
    <t xml:space="preserve">14/04 - SOLICITAÇÃO DA EMPRESA PARA A REALIZAÇÃO DOS EXAMES IN-COMPANY / Em contato com a Sabrina via WhatsApp / A empresa obtou por realizar os exames diretamente na nossa clínica, eles játeriam contrato conosco. </t>
  </si>
  <si>
    <t xml:space="preserve">QG CLINIC LTDA </t>
  </si>
  <si>
    <t>65.413.954/0001-71</t>
  </si>
  <si>
    <t>Mirella</t>
  </si>
  <si>
    <t>(11)916049660</t>
  </si>
  <si>
    <t>mirella.oliveira@prime-contabilidade.com</t>
  </si>
  <si>
    <t>14/04/2026 - Cliente ciente da proposta.</t>
  </si>
  <si>
    <t>INSTITUTO GALO DA MANHA</t>
  </si>
  <si>
    <t>36.287.692/0001-48</t>
  </si>
  <si>
    <t>Rafael Cunha / Emanuelle</t>
  </si>
  <si>
    <t>(11)915554166</t>
  </si>
  <si>
    <t>emanuelle@galodamanha.org.br</t>
  </si>
  <si>
    <t xml:space="preserve">COBEX-SP-COBRANCA S/S LTDA </t>
  </si>
  <si>
    <t>08.792.805/0001-27</t>
  </si>
  <si>
    <t xml:space="preserve">ISABELLY GOMES </t>
  </si>
  <si>
    <t>(11) 31239-100</t>
  </si>
  <si>
    <t>acdias@grupocobex.com.br</t>
  </si>
  <si>
    <t xml:space="preserve">PGR, PCMSO,LTCAT e NR01 </t>
  </si>
  <si>
    <t>EASYCONTABIL CONTABILIDADE E ASSESSORIA LTDA</t>
  </si>
  <si>
    <t>11.570.961/0001-58</t>
  </si>
  <si>
    <t>RICARDO MATSUBARA</t>
  </si>
  <si>
    <t>(11) 4040-6695</t>
  </si>
  <si>
    <r>
      <rPr>
        <color rgb="FF1155CC"/>
        <u/>
      </rPr>
      <t>andreia@mfassociados.com.br</t>
    </r>
  </si>
  <si>
    <t>SERV NOW TERCEIRIZACOES E SERVICOS LTDA.</t>
  </si>
  <si>
    <t>43.670.713/0001-75</t>
  </si>
  <si>
    <t>NICOLE</t>
  </si>
  <si>
    <t>(11)984361009</t>
  </si>
  <si>
    <t>ronald@parknow.net.br</t>
  </si>
  <si>
    <t>20/04/2026 Preferiu não contratar o serviço pois não viu necessidade no acompanhamento, uma vez que o mesmo alega ser processo básico.</t>
  </si>
  <si>
    <t>EVO BEAUTY LTDA</t>
  </si>
  <si>
    <t>47.417.565/0001-32</t>
  </si>
  <si>
    <t>JAQUELINE</t>
  </si>
  <si>
    <t>(11) 96707-6602</t>
  </si>
  <si>
    <r>
      <rPr>
        <color rgb="FF000000"/>
        <sz val="10.0"/>
        <u/>
      </rPr>
      <t>jaqueline.nolle@gmail.com</t>
    </r>
  </si>
  <si>
    <t>59.329.328 BIANCA DE SOUZA DUARTE CASTRO</t>
  </si>
  <si>
    <t>59.329.328/0001-07</t>
  </si>
  <si>
    <t>BIANCA</t>
  </si>
  <si>
    <t>(11) 96823-9723</t>
  </si>
  <si>
    <t>atendimento@bduartedecor.com.br</t>
  </si>
  <si>
    <t>Tkem hair Ltda</t>
  </si>
  <si>
    <t>53.688.141/0001-05</t>
  </si>
  <si>
    <t>EDLA DE SOUZA SANTOS</t>
  </si>
  <si>
    <t>(11) 97130-3208</t>
  </si>
  <si>
    <t>edla.souza@hotmail.com</t>
  </si>
  <si>
    <t xml:space="preserve">15/04 - Solicitado pela responsável da empresa </t>
  </si>
  <si>
    <t>Mkt hair Ltda</t>
  </si>
  <si>
    <t>32.781.618/0001-22</t>
  </si>
  <si>
    <t>MIRIAN KAZUMI OISHI DE SOUZA</t>
  </si>
  <si>
    <t>soho.higienopolis@outlook.com</t>
  </si>
  <si>
    <t>Tânia Regina Yamamoto Ferraz Cabelereira -me</t>
  </si>
  <si>
    <t>24.451.688/0001-94</t>
  </si>
  <si>
    <t>TANIA REGINA YAMAMOTO FERRAZ</t>
  </si>
  <si>
    <t>(11) 99156-9137</t>
  </si>
  <si>
    <t>tania_yamamoto@outlook.com</t>
  </si>
  <si>
    <t>André Kawaguti de Oliveira</t>
  </si>
  <si>
    <t>12.217.336/0001-90</t>
  </si>
  <si>
    <t>(11) 99588-8307</t>
  </si>
  <si>
    <t>A. DE OLIVEIRA COSTA MANUTENCAO E REPARACAO DE MAQUINAS</t>
  </si>
  <si>
    <t>13.466.484/0001-00</t>
  </si>
  <si>
    <t>Alexandre</t>
  </si>
  <si>
    <t>(11)994224250</t>
  </si>
  <si>
    <t>altecnicagases@gmail.com</t>
  </si>
  <si>
    <t>VERIFICAR PASTA</t>
  </si>
  <si>
    <t>BUENO, BARALDI BISSON E ADVOGADOS ASSOCIADOS</t>
  </si>
  <si>
    <t>48.081.186/0001-87</t>
  </si>
  <si>
    <t>CONCEIÇÃO</t>
  </si>
  <si>
    <t>(11) 3106-8594</t>
  </si>
  <si>
    <t>conceicaofidelis@baraldibisson.com.br</t>
  </si>
  <si>
    <t>PACOTE SST+NR1</t>
  </si>
  <si>
    <t>RV PARK ESTACIONAMENTOS LTDA</t>
  </si>
  <si>
    <t>55.434.517/0001-80</t>
  </si>
  <si>
    <t xml:space="preserve">Priscila </t>
  </si>
  <si>
    <t>11 94088-4861</t>
  </si>
  <si>
    <r>
      <rPr>
        <rFont val="&quot;Google Sans&quot;, Roboto"/>
        <color rgb="FF000000"/>
        <sz val="10.0"/>
        <u/>
      </rPr>
      <t>drmpark23@gmail.com</t>
    </r>
  </si>
  <si>
    <t>25 DIGITAL COMERCIO E SERVICOS LTDA</t>
  </si>
  <si>
    <t>64.113.115/0001-75</t>
  </si>
  <si>
    <t>Paulo Roberto do Nascimento</t>
  </si>
  <si>
    <t>(11) 99295-7592</t>
  </si>
  <si>
    <t>pauloroberto@secullusbijoux.com.br</t>
  </si>
  <si>
    <t xml:space="preserve">17/04 - CONTRATO ASSINADO / EMPRESA SOLICITOU A VISITA NA ULTIMA SEMANA DE ABRIL </t>
  </si>
  <si>
    <t>PITAYA LANCHONETE LTDA</t>
  </si>
  <si>
    <t>46.388.663/0001-26</t>
  </si>
  <si>
    <t>FERNANDO LUIS LEITE</t>
  </si>
  <si>
    <t>(11) 99309-2818</t>
  </si>
  <si>
    <t>pitayalanchonete@gmail.com</t>
  </si>
  <si>
    <t xml:space="preserve">17/04 - CONTRATO ASSINADO / EMPRESA SOLICITOU PELA PARAMETRIZAÇÃO DAS INFORMAÇÕES E ELABORAÇÃO DE EXAME CLÍNICO NO DIA 20/04 - EXAMES ESSE SERÁ REALIZADO PARA CONFIRMAR A APTIDÃO DA COLABORADORA DO MESMO, </t>
  </si>
  <si>
    <t>4MGCP APOIO OPERACIONAL EIRELI</t>
  </si>
  <si>
    <t>27.756.511/0001-94</t>
  </si>
  <si>
    <t>Gesiane Miramon</t>
  </si>
  <si>
    <t>(11)99507-4052</t>
  </si>
  <si>
    <t>gesianemiramon@3mgc.com.br</t>
  </si>
  <si>
    <t>NR-01 PSICOSSOCIAL</t>
  </si>
  <si>
    <t>fazer OS e colocar no zeev</t>
  </si>
  <si>
    <t>JL LABORATORIO DE PROTESE DENTARIA LTDA</t>
  </si>
  <si>
    <t>53.755.046/0001-87</t>
  </si>
  <si>
    <t>JESSYKA</t>
  </si>
  <si>
    <t>11 96602-7474</t>
  </si>
  <si>
    <t>JLSTUDIOPROTESE@OUTLOOK.COM</t>
  </si>
  <si>
    <t>Vitória, conferir preenchimento.</t>
  </si>
  <si>
    <t>ALPHA SECURE MAO DE OBRA E FACILIDADES LTDA</t>
  </si>
  <si>
    <t>09.172.858/0001-08</t>
  </si>
  <si>
    <t>Alberto</t>
  </si>
  <si>
    <t>(11)954549490</t>
  </si>
  <si>
    <t xml:space="preserve">alberto.pereira@alphasecure.com.br </t>
  </si>
  <si>
    <t>NÃO LOCALIZADO CONTRATO/ PROPOSTA ASSINADA</t>
  </si>
  <si>
    <t>MARCO TULIO CLINICA UROLOGICA</t>
  </si>
  <si>
    <t>23.236.074/0001-27</t>
  </si>
  <si>
    <t>Marco Túllio de Rezende Xavier Cavalcanti Filho</t>
  </si>
  <si>
    <t>(11)95040-7564</t>
  </si>
  <si>
    <t>sac@cavalcantiandrologia.com.br</t>
  </si>
  <si>
    <t>CENTRO PAULISTA DE DERMATOLOGIA LTDA</t>
  </si>
  <si>
    <t>38.100.910/001-19</t>
  </si>
  <si>
    <t xml:space="preserve">VANESSA </t>
  </si>
  <si>
    <t>cpd.dermatologia.adm@gmail.com</t>
  </si>
  <si>
    <t>HZ EVENTOS &amp; CLOSET LTDA</t>
  </si>
  <si>
    <t>31.422.007/0001-25</t>
  </si>
  <si>
    <t>Daniela</t>
  </si>
  <si>
    <t>(11)940785833</t>
  </si>
  <si>
    <t>adm@hzcasting.com.br</t>
  </si>
  <si>
    <t>BELANIN CONFECCOES LTDA</t>
  </si>
  <si>
    <t>68.392.950/0001-42</t>
  </si>
  <si>
    <t xml:space="preserve">Igor </t>
  </si>
  <si>
    <t>(11)947358980</t>
  </si>
  <si>
    <t>igorbelanin@uol.com.br</t>
  </si>
  <si>
    <t>FLEXA FILMES IND. E COM. DE MATERIAL PLASTICO LTDA</t>
  </si>
  <si>
    <t>LANIA</t>
  </si>
  <si>
    <t>(11) 2338-0145</t>
  </si>
  <si>
    <t>rh@extrusorasferreti.com.br</t>
  </si>
  <si>
    <t>IMPLANTAÇÃO CIPA</t>
  </si>
  <si>
    <t>ligar 04/06 para ver se já possuem uma resposta</t>
  </si>
  <si>
    <t>PADARIA TATO A MANO LTDA</t>
  </si>
  <si>
    <t>42.897.577/0001-98</t>
  </si>
  <si>
    <t xml:space="preserve">ANA COLÁ </t>
  </si>
  <si>
    <r>
      <rPr>
        <color rgb="FF000000"/>
        <sz val="10.0"/>
        <u/>
      </rPr>
      <t>tatoamano@gmail.com</t>
    </r>
  </si>
  <si>
    <t>2397,84 (?)</t>
  </si>
  <si>
    <t>não contabilizar em abril</t>
  </si>
  <si>
    <t>RENOVAÇÃO ..NÃO CONTABILIZAR</t>
  </si>
  <si>
    <t>LAYNA CAPITAL MANAGEMENT SERVICES LTDA</t>
  </si>
  <si>
    <t>51.908.455/0001-40</t>
  </si>
  <si>
    <t>REBECA</t>
  </si>
  <si>
    <t xml:space="preserve"> (11) 5997-5989</t>
  </si>
  <si>
    <t>rebecasilva955@icloud.com</t>
  </si>
  <si>
    <t>ORION I Restaurante Ltda</t>
  </si>
  <si>
    <t>57.007.103/0001-09</t>
  </si>
  <si>
    <t>Victor Wilson Lange</t>
  </si>
  <si>
    <t>(19) 98837-6681</t>
  </si>
  <si>
    <t>victorwlange@gmail.com</t>
  </si>
  <si>
    <t>ELETROPLAST INDUSTRIA E COMERCIO DE EMBALAGENS LTDA</t>
  </si>
  <si>
    <t>62.459.896/0001-29</t>
  </si>
  <si>
    <t>NÁDHIA</t>
  </si>
  <si>
    <t>(11)94382-8657</t>
  </si>
  <si>
    <t>adm@eletroplast.com.br</t>
  </si>
  <si>
    <t>PAIVA COMERCIO E SERVICOS DE TELHADOS EIRELI</t>
  </si>
  <si>
    <t>24.447.447/0001-71</t>
  </si>
  <si>
    <t>(11) 3974-3340</t>
  </si>
  <si>
    <t>contato@telhadospaiva.com.br</t>
  </si>
  <si>
    <t>valor estava errado</t>
  </si>
  <si>
    <t>VANDERSON ALVES</t>
  </si>
  <si>
    <t>11.059.245/0001-00</t>
  </si>
  <si>
    <t>Luciana Lira Alves de Mello</t>
  </si>
  <si>
    <t>(11) 98069-6778</t>
  </si>
  <si>
    <t>OPTICACRUZEIRODOSUL@GMAIL.COM</t>
  </si>
  <si>
    <t xml:space="preserve"> RS2 ADMINISTRAÇÃO DE SERVIÇOS LTDA</t>
  </si>
  <si>
    <t>32.708.199/0001-01</t>
  </si>
  <si>
    <t>IVANILDA</t>
  </si>
  <si>
    <t>(11)981032548</t>
  </si>
  <si>
    <t>ivanilda.rh@hotmail.com</t>
  </si>
  <si>
    <t>CGH PRIME TRANSPORTES LTDA</t>
  </si>
  <si>
    <t>51.687.867/0001-06</t>
  </si>
  <si>
    <t>LAURA</t>
  </si>
  <si>
    <t>11 99450-3198</t>
  </si>
  <si>
    <t>rh@fujitaxi.com.br</t>
  </si>
  <si>
    <t>Jose Marcos Fernandes Junior</t>
  </si>
  <si>
    <t>(11) 3085-6087 / (11) 932119691</t>
  </si>
  <si>
    <t>jose.junior@conam.eng.br</t>
  </si>
  <si>
    <t xml:space="preserve">PCMSO </t>
  </si>
  <si>
    <t>OLAM SECURITIZADORA S.A.</t>
  </si>
  <si>
    <t>32.238.968/0001-47</t>
  </si>
  <si>
    <t>Gabriel / Andrea</t>
  </si>
  <si>
    <t>55114765-0730</t>
  </si>
  <si>
    <t xml:space="preserve">andreia.bagda@grupoolam.com.br </t>
  </si>
  <si>
    <t>COMERCIAL E CONSTRUCOES PRANDIX LTDA</t>
  </si>
  <si>
    <t>62.433.552.0001-40</t>
  </si>
  <si>
    <t xml:space="preserve">GABRIEL </t>
  </si>
  <si>
    <r>
      <rPr>
        <color rgb="FF1155CC"/>
        <u/>
      </rPr>
      <t>compras@prandix.com.br</t>
    </r>
  </si>
  <si>
    <t xml:space="preserve">LOCAÇÃO DE TECNICO DE SEGURNÇA </t>
  </si>
  <si>
    <r>
      <rPr>
        <color rgb="FF1155CC"/>
        <u/>
      </rPr>
      <t>compras@prandix.com.br</t>
    </r>
  </si>
  <si>
    <t>ASSOCIAÇÃO DOS EMPREENDEDORES, LOCATÁRIOS E CESSIONÁRIOS DO EDIFÍCIO</t>
  </si>
  <si>
    <t>19.171.978/0001-44</t>
  </si>
  <si>
    <t>gizele.fagundes@edificioparamax.com.br</t>
  </si>
  <si>
    <t>MOL SERVICOS DE COBRANCAS E ANALISE LTDA</t>
  </si>
  <si>
    <t>39.870.973/0001-17</t>
  </si>
  <si>
    <t>FLAVIA STERNBERG</t>
  </si>
  <si>
    <t>293.311.158-65</t>
  </si>
  <si>
    <t>Flavia Sternberg / Ana</t>
  </si>
  <si>
    <t>(11)910928636</t>
  </si>
  <si>
    <t>atendimento2.dermato@gmail.com</t>
  </si>
  <si>
    <t>68.392.950/0002-23</t>
  </si>
  <si>
    <t>IGOR BELANIN CONFECCOES LTDA</t>
  </si>
  <si>
    <t>00.350.634/0001-74</t>
  </si>
  <si>
    <t xml:space="preserve"> CAMPOLARGO ENGENHARIA LTDA</t>
  </si>
  <si>
    <t>57.129.932/0001-56</t>
  </si>
  <si>
    <t>Hemerson Ferreira</t>
  </si>
  <si>
    <t>hemerson@amplaincorporadora.com.br</t>
  </si>
  <si>
    <t>OK (DÚVIDA VALOR PACOTE DE EXAMES)</t>
  </si>
  <si>
    <t>OPTR3 IMOBILIÁRIOS LTDA</t>
  </si>
  <si>
    <t>09.288.163/0001-96</t>
  </si>
  <si>
    <t>26/03 - Em contato com a empresa pelo whatsapp / 27/03 - questionei uma devoluitva da gestora da mesma! / 02/04 Por falta de comunicação estou declinando a proposta.</t>
  </si>
  <si>
    <t>PHD CORPORATE SP LTDA</t>
  </si>
  <si>
    <t>STEFANY RODRIGUES,</t>
  </si>
  <si>
    <t>stefany@academiaphd.com.br</t>
  </si>
  <si>
    <t>NR-24 e AET</t>
  </si>
  <si>
    <t xml:space="preserve">24/04 - Em ocnttao com a empresa, desde de o dia 23/03 / a empresa assinou o contrato na data de hoje para a realziação dos laudos NR-24 e AET </t>
  </si>
  <si>
    <t>AGILE ENCADERNACAO LTDA</t>
  </si>
  <si>
    <t>47.263.286/0001-61</t>
  </si>
  <si>
    <t>Carlos Eduardo</t>
  </si>
  <si>
    <t>(11) 930012220</t>
  </si>
  <si>
    <t>alphaencadernacao@gmail.com</t>
  </si>
  <si>
    <t>WENDY</t>
  </si>
  <si>
    <t xml:space="preserve"> CLINICA PETRILLO S/S LTDA</t>
  </si>
  <si>
    <t>07.803.945/0001-90</t>
  </si>
  <si>
    <t>Nelcy Petrillo</t>
  </si>
  <si>
    <t xml:space="preserve"> (11) 2924-4542 </t>
  </si>
  <si>
    <t>nellpetrillo@gmail.com</t>
  </si>
  <si>
    <t>RADIO UNIVERSO LTDA</t>
  </si>
  <si>
    <t xml:space="preserve"> 72.932.262/0001-03</t>
  </si>
  <si>
    <t xml:space="preserve">ELISABETH </t>
  </si>
  <si>
    <t>115579-6678</t>
  </si>
  <si>
    <t>elisabeth@mirandaadm.com.br</t>
  </si>
  <si>
    <t>MIRANDA ADMINISTRADORA BENS MOVEIS LTDA ME</t>
  </si>
  <si>
    <t>09.440.519/0001-65</t>
  </si>
  <si>
    <t>GARCOM WEB DESENVOLVEDORA DE SOFTWARE LTDA</t>
  </si>
  <si>
    <t>04.997.555/0001-00</t>
  </si>
  <si>
    <t>JOÃO TEOBALDO</t>
  </si>
  <si>
    <t>(11) 96404-4251</t>
  </si>
  <si>
    <t>talita@garcomweb.com.br</t>
  </si>
  <si>
    <t>GOMES PEREIRA &amp; FREITAS SILVA - VENDA, LOCACAO E ADMINISTRACAO DE IMOVEIS LTDA</t>
  </si>
  <si>
    <t>03.088.045/0001-58</t>
  </si>
  <si>
    <t>Joice Souza de Freitas Silva</t>
  </si>
  <si>
    <t>(11) 97130- 0180</t>
  </si>
  <si>
    <t>joice73freitas@gmail.com</t>
  </si>
  <si>
    <t>HOME SUSHI HOME SAO PAULO LTDA</t>
  </si>
  <si>
    <t>35.514.993/0001-02</t>
  </si>
  <si>
    <t>Marcelo Ramones Costa Silva</t>
  </si>
  <si>
    <t>(11) 5506-0392</t>
  </si>
  <si>
    <t>contato@homesushihomesp.com.br</t>
  </si>
  <si>
    <t xml:space="preserve">30/04 - Proposta retificada com 10% de Desconto </t>
  </si>
  <si>
    <t>BUTIA CONSTRUTORA LTDA</t>
  </si>
  <si>
    <t>55.048.525/0001-99</t>
  </si>
  <si>
    <t>EVERSON DE PADUA RIBEIRO</t>
  </si>
  <si>
    <t>13.773.543/0001-93</t>
  </si>
  <si>
    <t>Elisangela</t>
  </si>
  <si>
    <t>(11)989024540</t>
  </si>
  <si>
    <t>Tomdepadua@gmail.com</t>
  </si>
  <si>
    <t>LUGANO EMPREITEIRA LTDA</t>
  </si>
  <si>
    <t>61.813.942/0001-83</t>
  </si>
  <si>
    <t>ESCALAALPIN SOLUCOES VERTICAIS LTDA</t>
  </si>
  <si>
    <t>09.299.927/0001-49</t>
  </si>
  <si>
    <t>Itana</t>
  </si>
  <si>
    <t xml:space="preserve">gestaoescalaalpin@gmail.com
</t>
  </si>
  <si>
    <t>PACOTE SST+ NR1 + ART</t>
  </si>
  <si>
    <t>Retornar no dia 30/04/2026</t>
  </si>
  <si>
    <t>NÃO LOCALIZADO MEDGEST</t>
  </si>
  <si>
    <t>P4 PRADO COMERCIO DE VIDROS LTDA</t>
  </si>
  <si>
    <t>12.846.075/0001-77</t>
  </si>
  <si>
    <t>Vanessa</t>
  </si>
  <si>
    <t>contato@p4vidros.com.br</t>
  </si>
  <si>
    <t>PACOTE SST + NR1 + TREINAMENTO</t>
  </si>
  <si>
    <t>PRIMEIRA INFANCIA BILINGUE LTDA</t>
  </si>
  <si>
    <t>52.437.397/0001-87</t>
  </si>
  <si>
    <t>Patrícia Nami</t>
  </si>
  <si>
    <t>contato@scolors.com.br</t>
  </si>
  <si>
    <t>28/04/0206</t>
  </si>
  <si>
    <t>Contrato era de R$147,01 para 6 colaboradores foi para 8 colaboradores com a NR01 ficando por R$192,01</t>
  </si>
  <si>
    <t xml:space="preserve">LEGAL BUSINESS II SERVICOS ADMINISTRATIVOS LTDA </t>
  </si>
  <si>
    <t>24.246.097/0001-85</t>
  </si>
  <si>
    <t>Anderson</t>
  </si>
  <si>
    <t>113237-3966 / 11950353793</t>
  </si>
  <si>
    <t>anderson.aquino@legalbusiness.com.br</t>
  </si>
  <si>
    <t>ARAUJO IMOVEIS CORPORATIVOS LTDA</t>
  </si>
  <si>
    <t>09.107.893/0001-43</t>
  </si>
  <si>
    <t>Lidyane</t>
  </si>
  <si>
    <t>lidyanecarvalho@araujoimoveiscorp.com.br</t>
  </si>
  <si>
    <t>SOCIEDADE DE ESTUDOS ESPÍRITAS 3 DE OUTUBRO (FILIAL)</t>
  </si>
  <si>
    <t>60.921.327/0002-09</t>
  </si>
  <si>
    <t>24/04/0206</t>
  </si>
  <si>
    <t>SOCIEDADE DE ESTUDOS ESPÍRITAS 3 DE OUTUBRO (MATRIZ)</t>
  </si>
  <si>
    <t>PPGJ ASSESSORIA DE COBRANCAS LTDA</t>
  </si>
  <si>
    <t>15.323.831/0001-71</t>
  </si>
  <si>
    <t xml:space="preserve">Welson Gasparini Júnior </t>
  </si>
  <si>
    <t xml:space="preserve">(16) 99226-5056 </t>
  </si>
  <si>
    <t>gasparinijr@ppgj.com.br</t>
  </si>
  <si>
    <t>27/04/0206</t>
  </si>
  <si>
    <t xml:space="preserve">27/04 - EMPRESA SOLICITOU o faturamento dos exames: 60 exame admissional clínico 60 acuidade visual e 60 audiometria tonal.  </t>
  </si>
  <si>
    <t>BRAZIL FLAVORS AND COMPANY LTDA</t>
  </si>
  <si>
    <t>57.585.429/0001-05</t>
  </si>
  <si>
    <t xml:space="preserve">CARINA </t>
  </si>
  <si>
    <t>CM.RUIZ@OUUL.COM.BR</t>
  </si>
  <si>
    <t>KING LED COMERCIO VAREJISTA DE ARTIGOS DE ILUMINACAO E SOM LTDA</t>
  </si>
  <si>
    <t>53.987.941/0001-27</t>
  </si>
  <si>
    <t xml:space="preserve">KARL WAGNER CORREIA FERNANDES DANTAS </t>
  </si>
  <si>
    <t>(11) 97283-2654</t>
  </si>
  <si>
    <t>financeirokingled@gmail.com</t>
  </si>
  <si>
    <t>visita técnica</t>
  </si>
  <si>
    <t xml:space="preserve"> BALAIO COMERCIO DE ACESSORIOS FEMININOS LTDA</t>
  </si>
  <si>
    <t>43.681.561/0001-06</t>
  </si>
  <si>
    <t>Jorge</t>
  </si>
  <si>
    <t>(11) 95979-8879</t>
  </si>
  <si>
    <t>moranaitaquera@gmail.com</t>
  </si>
  <si>
    <t>VALOR AUTORIZADO CRISITANO PARA COBRIR PROPOSTA CONCORRÊNCIA./ PROBLEMA RENOVAÇÃO 2050 DE DEZ25 QUE FICOU ATÉ ABRIL SEM RENOVAR, SEM EMITIR LAUDOS E SEM COBRAR. NEGOCIADO PAGAMENTO PARCELAS EM ATRASO.</t>
  </si>
  <si>
    <t xml:space="preserve">AJ DO NASCIMENTO  </t>
  </si>
  <si>
    <t>12.266.058/0001-60</t>
  </si>
  <si>
    <t>Antônio José do Nascimento</t>
  </si>
  <si>
    <t>(11) 94704-1633</t>
  </si>
  <si>
    <t>fitness.nascimentto@gmail.com</t>
  </si>
  <si>
    <t>CMR CHOCOLATES FINOS LTDA</t>
  </si>
  <si>
    <t>55.402.020/0001-80</t>
  </si>
  <si>
    <t>Carina</t>
  </si>
  <si>
    <t>cm.ruiz@uol.com.br</t>
  </si>
  <si>
    <t>BRASILON TRANSPORTES RODOVIARIOS LTDA</t>
  </si>
  <si>
    <t>76.147.602/0002-19</t>
  </si>
  <si>
    <t>Lucas Esperidiao</t>
  </si>
  <si>
    <t>(43)996680223</t>
  </si>
  <si>
    <t>brasilonsp@gmail.com</t>
  </si>
  <si>
    <t>THIAGO SALLES GOMES</t>
  </si>
  <si>
    <t>18.907.438/0001-13</t>
  </si>
  <si>
    <t>Thiago Salles</t>
  </si>
  <si>
    <t>11 95037-5556</t>
  </si>
  <si>
    <t>financeiroacademiadeexpressao@gmail.com</t>
  </si>
  <si>
    <t>MADAI PRODUCOES LTDA</t>
  </si>
  <si>
    <t>08.490.296/0001-88</t>
  </si>
  <si>
    <t>Tatiane</t>
  </si>
  <si>
    <t>(11) 91075-2498</t>
  </si>
  <si>
    <t>tatianem.madai@gmail.com</t>
  </si>
  <si>
    <t>PROPOSTA VINICIUS GOVERNATORE</t>
  </si>
  <si>
    <t>MYWORK TRATAMENTO DE DADOS E CORRETAGEM DE SEGUROS LTDA</t>
  </si>
  <si>
    <t>31.188.260/0001-66</t>
  </si>
  <si>
    <t>Bianca</t>
  </si>
  <si>
    <t>(11)30423058</t>
  </si>
  <si>
    <t>bianca@mywork.com.br</t>
  </si>
  <si>
    <t>VEM SER - ASSOCIACAO DE APOIO A INCLUSAO SOCIAL E ASSISTENCIA AO</t>
  </si>
  <si>
    <t>06.110.809/0001-52</t>
  </si>
  <si>
    <t>REGIANE</t>
  </si>
  <si>
    <t>11 2940-6464</t>
  </si>
  <si>
    <t>regiane.bernini@associacaovemser.org.br</t>
  </si>
  <si>
    <t>era da Vitória mas a cliente pediu renegociação</t>
  </si>
  <si>
    <t>José Lucivá</t>
  </si>
  <si>
    <t>luciva@mtoengenharia.com.br</t>
  </si>
  <si>
    <t>IBOX COMERCIO E IMPORTACAO DE ARTIGOS PARA PRESENTES E ACESSORIOS LTDA</t>
  </si>
  <si>
    <t>22.573.974/0001-05</t>
  </si>
  <si>
    <t xml:space="preserve">Jang Han Chung </t>
  </si>
  <si>
    <t>(11)97468-8439</t>
  </si>
  <si>
    <t>ibox.adm1@gmail.com</t>
  </si>
  <si>
    <t>MINA PAPELARIA E PRESENTES LTDA</t>
  </si>
  <si>
    <t>52.298.567/0001-90</t>
  </si>
  <si>
    <t>RELOJOARIA PAULA E PAULA LTDA</t>
  </si>
  <si>
    <t xml:space="preserve"> 43.058.635/0001-52 </t>
  </si>
  <si>
    <t>Baltazar Joaquim de Paula</t>
  </si>
  <si>
    <t>(11) 98608-4345</t>
  </si>
  <si>
    <t>contato@centrodosrelogiosantigos.com.br</t>
  </si>
  <si>
    <t>SEMEART COMERCIAL E PAISAGISMO LTDA</t>
  </si>
  <si>
    <t>55.827.216/0001-17</t>
  </si>
  <si>
    <t>Eduardo Wolff</t>
  </si>
  <si>
    <t>(11) 99743-8169</t>
  </si>
  <si>
    <t>eduardo@wolffpaisagismo.com.br</t>
  </si>
  <si>
    <t>MTO DAMHA FIT II UBERABA EMPREENDIMENTO IMOBILIARIO SPE LTDA</t>
  </si>
  <si>
    <t>45.773.192/0002-98</t>
  </si>
  <si>
    <t>José Lucivá Maia</t>
  </si>
  <si>
    <t>(19)99595-7393</t>
  </si>
  <si>
    <t>PACOTE</t>
  </si>
  <si>
    <t>A DEFINIR</t>
  </si>
  <si>
    <t xml:space="preserve">CEI 4 IRMÃOS </t>
  </si>
  <si>
    <t>00.777.952/0001-16</t>
  </si>
  <si>
    <t>Rafael Oliveira Sales</t>
  </si>
  <si>
    <t>1193435-8787</t>
  </si>
  <si>
    <t>osc4irmaos@gmail.com</t>
  </si>
  <si>
    <t>ANDROCLINICA GESTAO E SAUDE LTDA</t>
  </si>
  <si>
    <t>66.294.520/0001-62</t>
  </si>
  <si>
    <t>LUIZ HENRIQUE</t>
  </si>
  <si>
    <t>dp-andro@andromedbrasil.com.br</t>
  </si>
  <si>
    <t>RKI PARK ESTACIONAMENTOS LTDA</t>
  </si>
  <si>
    <t>15.160.651/0001-16</t>
  </si>
  <si>
    <t>Roberto Seidi Ishikawa</t>
  </si>
  <si>
    <t>(11) 97320-7412</t>
  </si>
  <si>
    <t>betosei2002@yahoo.com.br</t>
  </si>
  <si>
    <t xml:space="preserve">BRASCAR PARKING ESTACIONAMENTOS LTDA </t>
  </si>
  <si>
    <t>22.959.622/0001-84</t>
  </si>
  <si>
    <t>Renata Kimie</t>
  </si>
  <si>
    <t>renata.ishikawa@gmail.com</t>
  </si>
  <si>
    <t xml:space="preserve">FUNDAÇÃO BRASIL NOVO </t>
  </si>
  <si>
    <t>34.690.556/0001-79</t>
  </si>
  <si>
    <t>Fabio Maia Ostermann</t>
  </si>
  <si>
    <t xml:space="preserve">Patrícia Boettger Ribeiro </t>
  </si>
  <si>
    <t>11 93224-5555</t>
  </si>
  <si>
    <t>patricia@adambiental.com.br</t>
  </si>
  <si>
    <t xml:space="preserve">FIT TEST QUALITATIVO </t>
  </si>
  <si>
    <t xml:space="preserve">gabriela </t>
  </si>
  <si>
    <t>gabrielahou@xnamai.com</t>
  </si>
  <si>
    <t>nr01</t>
  </si>
  <si>
    <t xml:space="preserve"> KIKA PARK ESTACIONAMENTO LTDA </t>
  </si>
  <si>
    <t>23.255.510/0001-05</t>
  </si>
  <si>
    <t xml:space="preserve">EMPORIO BRASIL COMERCIAL E SERVICOS EM MADEIRA LTDA </t>
  </si>
  <si>
    <t>45.089.891/0001-32</t>
  </si>
  <si>
    <t>Laudenir / Vitoria</t>
  </si>
  <si>
    <t>atendimento@emporiobrasilmarcenaria.com.br</t>
  </si>
  <si>
    <t>MANGO TREE SERVICOS DE ESCRITORIO LTDA</t>
  </si>
  <si>
    <t>28.094.462/0001-34</t>
  </si>
  <si>
    <t>Fábio de Oliveira Santos</t>
  </si>
  <si>
    <t>(11) 98377-9544</t>
  </si>
  <si>
    <t>fabio.oliveira@mangotree.com.br</t>
  </si>
  <si>
    <t>CONDOMINIO EDIFICIO ANCHIETA</t>
  </si>
  <si>
    <t>67.139.782-0001-15</t>
  </si>
  <si>
    <t>Elias Pazini Junior</t>
  </si>
  <si>
    <t>(11) 98139-2760</t>
  </si>
  <si>
    <t>junior@kontrollar.com.br</t>
  </si>
  <si>
    <t>Solange Pereira de Castro Santos</t>
  </si>
  <si>
    <t>(11) 2376-8900</t>
  </si>
  <si>
    <t xml:space="preserve">junior@kontrollar.com.br </t>
  </si>
  <si>
    <t>FUNDAÇÃO EVANGELICA TRINDADE</t>
  </si>
  <si>
    <t>Felipe Lopes Correa</t>
  </si>
  <si>
    <t>maiza.avelar@redegospel.tv.br</t>
  </si>
  <si>
    <t>SENADOR GRAVAÇÕES LTDA</t>
  </si>
  <si>
    <t>35.717.531/0001-84</t>
  </si>
  <si>
    <t>Olemir de Oliveira</t>
  </si>
  <si>
    <t>(11) 99249-3738</t>
  </si>
  <si>
    <t>olemirqueiroz@gmail.com</t>
  </si>
  <si>
    <t>LAUDO INSALUBRIDADE</t>
  </si>
  <si>
    <t xml:space="preserve">GRUPO KAIROS RH </t>
  </si>
  <si>
    <t xml:space="preserve"> 10.762.796/0001-73 </t>
  </si>
  <si>
    <t xml:space="preserve"> Cristiano Luiz Rosa </t>
  </si>
  <si>
    <t>(11) 94227-8899</t>
  </si>
  <si>
    <t>Cristiano@kairosrh.com.br</t>
  </si>
  <si>
    <t xml:space="preserve">30/04 - ASSINADO SERÁ REALIZADO NA SEGUNDA-FEIRA </t>
  </si>
  <si>
    <t>MONSUR JOIAS LTDA</t>
  </si>
  <si>
    <t>38.447.500/0001-49</t>
  </si>
  <si>
    <t>Luis Michel</t>
  </si>
  <si>
    <t>luismkfouri@gmail.com</t>
  </si>
  <si>
    <t xml:space="preserve">JFE SERVICOS DE APOIO ADMINISTRATIVO LTDA </t>
  </si>
  <si>
    <t>58.768.269/0001-00</t>
  </si>
  <si>
    <t>Robson Isikawa</t>
  </si>
  <si>
    <t>robson.isikawa@servapoio.com.br</t>
  </si>
  <si>
    <t xml:space="preserve">GROCK E CO LTDA </t>
  </si>
  <si>
    <t xml:space="preserve">GABRIELA </t>
  </si>
  <si>
    <t xml:space="preserve">nr01 </t>
  </si>
  <si>
    <t>M2 SERVICOS DE APOIO ADMINISTRATIVO EIRELI</t>
  </si>
  <si>
    <t>31.503.953.0001-04</t>
  </si>
  <si>
    <t>ALPHA SECURE VIGILANCIA E SEGURANCA LTDA</t>
  </si>
  <si>
    <t xml:space="preserve"> 07.157.389/0001-22</t>
  </si>
  <si>
    <t xml:space="preserve">ALBERTO PEREIRA </t>
  </si>
  <si>
    <t>(11) 95454-9490</t>
  </si>
  <si>
    <t>alberto.pereira@alphasecure.com.br</t>
  </si>
  <si>
    <t xml:space="preserve">30/04 - Laudo com o prazo 07/05/2026 ***urgência*** </t>
  </si>
  <si>
    <t>02.036.483/0006-14</t>
  </si>
  <si>
    <t>Rodrigo Vicentin</t>
  </si>
  <si>
    <t>rodrigo.vicentin@conti.com.br</t>
  </si>
  <si>
    <t xml:space="preserve">FIT TEST </t>
  </si>
  <si>
    <t>4 BIO MEDICAMENTOS S.A.</t>
  </si>
  <si>
    <t>07.015.691/0001-46</t>
  </si>
  <si>
    <t>Danilo Atis</t>
  </si>
  <si>
    <t>(11) 97589-1040</t>
  </si>
  <si>
    <t>danilo@4bio.com.br</t>
  </si>
  <si>
    <t>NR 01</t>
  </si>
  <si>
    <t>LUBRIZOL DO BRASIL ADITIVOS LTDA</t>
  </si>
  <si>
    <t>42.593.962/0010-32</t>
  </si>
  <si>
    <t>Larissa Franqueira</t>
  </si>
  <si>
    <t>11 98838-2764</t>
  </si>
  <si>
    <r>
      <rPr>
        <rFont val="&quot;Aptos Narrow&quot;, sans-serif"/>
        <color rgb="FF1155CC"/>
        <sz val="11.0"/>
        <u/>
      </rPr>
      <t>larissa.franqueira@lubrizol.com</t>
    </r>
  </si>
  <si>
    <t>R$ 16.928,33</t>
  </si>
  <si>
    <t/>
  </si>
  <si>
    <t>MINUTA SERÁ DO CLIENTE E JA FOI VALIDADA PELO CRISTIANO, PORÉM DEVIDO AO ATRASO DO ENVIO DAS INFORMAÇÕES E CORREÇOES NECESSÁRIAS NESSAS INFORMAÇÕES, A MESMA AINDA NÃO FOI LIBERADA, POIS FINALIZARAM O CADASTRO DO NOVO FORNECEDOR NA ÚLTIMA SEXTA FEIRA.</t>
  </si>
  <si>
    <r>
      <rPr>
        <rFont val="&quot;Aptos Narrow&quot;, sans-serif"/>
        <color rgb="FF1155CC"/>
        <sz val="11.0"/>
        <u/>
      </rPr>
      <t>francieli.santos@innova.net.br</t>
    </r>
  </si>
  <si>
    <t>AVALIAÇÃO QUIMICA</t>
  </si>
  <si>
    <r>
      <rPr>
        <rFont val="&quot;Aptos Narrow&quot;, sans-serif"/>
        <color rgb="FF1155CC"/>
        <sz val="11.0"/>
        <u/>
      </rPr>
      <t>francieli.santos@innova.net.br</t>
    </r>
  </si>
  <si>
    <t>PGRS (UNIDADES PJ)</t>
  </si>
  <si>
    <t>2809 e 2801</t>
  </si>
  <si>
    <t>ROSSINI TEXTIL LTDA</t>
  </si>
  <si>
    <t>09.616.278/0002-43</t>
  </si>
  <si>
    <t>Ademar Bernardo de Oliveira Junior</t>
  </si>
  <si>
    <t>11)99601-0884</t>
  </si>
  <si>
    <t>ademarbernardo@bol.com.br</t>
  </si>
  <si>
    <t>R$ 450,80</t>
  </si>
  <si>
    <t>os: 17/04/2026</t>
  </si>
  <si>
    <t>RCA ENTRETENIMENTO LTDA</t>
  </si>
  <si>
    <t>51.859.628/0001-88</t>
  </si>
  <si>
    <t>Jessica da Silva santos</t>
  </si>
  <si>
    <t>(11)99601-0884</t>
  </si>
  <si>
    <t>jessica@rjet.com.br</t>
  </si>
  <si>
    <t>PROPOSTA ASSINADA / PASTA: RJET os: 16/04/2026</t>
  </si>
  <si>
    <t>ALPHA SECURE PORTARIA E MULTI SERVICOS LTDA</t>
  </si>
  <si>
    <t>10.734.950/0001-01</t>
  </si>
  <si>
    <t>Alberto Pereira</t>
  </si>
  <si>
    <t>(11)95454-9490</t>
  </si>
  <si>
    <t>R$ 5.757,00</t>
  </si>
  <si>
    <t>o.s: 04/05/2026</t>
  </si>
  <si>
    <t>(11) 94558-8323</t>
  </si>
  <si>
    <t>contato@agprimeclean.com.br</t>
  </si>
  <si>
    <t>PACOTE + NR1</t>
  </si>
  <si>
    <t>Retificar a proposta com alguns adendos, consultar no e-mail 18/05</t>
  </si>
  <si>
    <t>FALTA</t>
  </si>
  <si>
    <t xml:space="preserve">28/05 Vinicius encaminhou nova proposta </t>
  </si>
  <si>
    <t>Michelle Cardoso / Ericka</t>
  </si>
  <si>
    <t>(11)995334406 / (11)34285974</t>
  </si>
  <si>
    <r>
      <rPr>
        <rFont val="Arial"/>
        <color rgb="FF1155CC"/>
        <u/>
      </rPr>
      <t>rh@gruposne.com.br</t>
    </r>
  </si>
  <si>
    <r>
      <rPr>
        <color rgb="FF000000"/>
        <sz val="10.0"/>
        <u/>
      </rPr>
      <t>brunalima@segurancarl.com</t>
    </r>
  </si>
  <si>
    <r>
      <rPr>
        <color rgb="FF1155CC"/>
        <u/>
      </rPr>
      <t>financeiro.ecpark@gmail.com</t>
    </r>
  </si>
  <si>
    <t>PACOTE SST + NR-01</t>
  </si>
  <si>
    <t>3ª SEM</t>
  </si>
  <si>
    <t xml:space="preserve">SEM CONTATO - FRIA </t>
  </si>
  <si>
    <t>Uriel Luis</t>
  </si>
  <si>
    <t>2ª SEM</t>
  </si>
  <si>
    <t xml:space="preserve">RETORNO NO DIA 18/05 - FRIA </t>
  </si>
  <si>
    <r>
      <rPr>
        <color rgb="FF000000"/>
        <sz val="10.0"/>
        <u/>
      </rPr>
      <t>jaqueline.nolle@gmail.com</t>
    </r>
  </si>
  <si>
    <t>1ª SEM</t>
  </si>
  <si>
    <t>06/05 - aguardando retorno da diretoria - 15/05 - sem retorno - 26/05/2026 - deixara para o proximo mes</t>
  </si>
  <si>
    <t>(11)984130924</t>
  </si>
  <si>
    <t xml:space="preserve">NÃO OBTIVE CONTATO COM A EMPRESA, TENTAR RETORNO DIA 18/05 e atualizar a proposta </t>
  </si>
  <si>
    <t>ASTECMA EQUIPAMENTOS PARA MOAGEM</t>
  </si>
  <si>
    <t>69.157.772/0001-52</t>
  </si>
  <si>
    <t xml:space="preserve">Cristina </t>
  </si>
  <si>
    <t>(11) 2694-2878</t>
  </si>
  <si>
    <t>nfe@astecma.com.br</t>
  </si>
  <si>
    <t>NR10 E NR12</t>
  </si>
  <si>
    <t>MEGAENG ENGENHARIA  DE INSTALAÇÕES LTDA</t>
  </si>
  <si>
    <t xml:space="preserve">Fabio </t>
  </si>
  <si>
    <t>(11) 3675-0790</t>
  </si>
  <si>
    <r>
      <rPr>
        <rFont val="&quot;Arial&quot;,sans-serif"/>
        <color rgb="FF1155CC"/>
        <u/>
      </rPr>
      <t>fabio.souza@megaeng.com.br</t>
    </r>
  </si>
  <si>
    <t xml:space="preserve">PGR E PCMSO </t>
  </si>
  <si>
    <t>THOR ELEVADORES DE OBRAS LTDA</t>
  </si>
  <si>
    <t>52.554.409/0001-53</t>
  </si>
  <si>
    <t>RAQUEL</t>
  </si>
  <si>
    <t>(11) 94734-7619</t>
  </si>
  <si>
    <r>
      <rPr>
        <color rgb="FF000000"/>
        <sz val="10.0"/>
        <u/>
      </rPr>
      <t>elevadoresja@gmail.com</t>
    </r>
  </si>
  <si>
    <t>07/05/2026 O diretor esta avaliando a proposta, retornar na segunda-feira.</t>
  </si>
  <si>
    <t>SLB ACESSORIOS LTDA</t>
  </si>
  <si>
    <t>30.115.460/0001-26</t>
  </si>
  <si>
    <t>ANA CLAÚDIA</t>
  </si>
  <si>
    <t>1197596-2166</t>
  </si>
  <si>
    <t>recursoshumanos@nisc.com.br</t>
  </si>
  <si>
    <t>11/05 Mudaram a estrutra da empresa não irão seguir com o serviço</t>
  </si>
  <si>
    <t>DSK COMERCIO DE ALIMENTOS LTDA</t>
  </si>
  <si>
    <t>65.184.154/0001-26</t>
  </si>
  <si>
    <t>11 98101-2852</t>
  </si>
  <si>
    <t>chiquinhospadm@gmail.com</t>
  </si>
  <si>
    <t>CEQ ESPECIALIDADES QUIMICAS LTDA</t>
  </si>
  <si>
    <t>02.464.838/0001-61</t>
  </si>
  <si>
    <t>LEONARDO</t>
  </si>
  <si>
    <t>(11) 2413-5000</t>
  </si>
  <si>
    <t>leonardo.hoshino@petsociety.com.br</t>
  </si>
  <si>
    <t>Proposta na pasta "CEQ ESPECIALIDADES QUIMICAS LTDA"</t>
  </si>
  <si>
    <t>BRASCARE COSMETICOS LTDA</t>
  </si>
  <si>
    <t>14.609.646/0001-85</t>
  </si>
  <si>
    <t>MBS PRO GROOMING COMERCIAL LTDA</t>
  </si>
  <si>
    <t>14.786.192/0001-18</t>
  </si>
  <si>
    <t>PET SOCIETY PRODUTOS PARA ANIMAIS LTDA</t>
  </si>
  <si>
    <t>07.108.548/0001-07</t>
  </si>
  <si>
    <t>ROTEIRARIA CONTEUDOS LTDA</t>
  </si>
  <si>
    <t>23.398.455/0001-02</t>
  </si>
  <si>
    <t>Viviane Valim B. de Carvalho</t>
  </si>
  <si>
    <t>(11) 96168-5919</t>
  </si>
  <si>
    <t>viviane@roteiraria.com.br</t>
  </si>
  <si>
    <t>ADP JARDINS EDUCACIONAL LTDA</t>
  </si>
  <si>
    <t>59.853.381/0001-02</t>
  </si>
  <si>
    <t>Ana Paula Paiva</t>
  </si>
  <si>
    <t>(11) 99658-3450</t>
  </si>
  <si>
    <t>jardins@cna.com.br</t>
  </si>
  <si>
    <t>ACCESS MODE TECNOLOGIAS LTDA</t>
  </si>
  <si>
    <t>49.949.594/0001-70</t>
  </si>
  <si>
    <t>Adriana Roesler Alvarenga</t>
  </si>
  <si>
    <t>(11) 94346-8009</t>
  </si>
  <si>
    <t>accessmodetec@gmail.com</t>
  </si>
  <si>
    <t>RR SERVICOS E INSTALACOES LTDA</t>
  </si>
  <si>
    <t>65.669.047/0001-98</t>
  </si>
  <si>
    <t>WENDELL</t>
  </si>
  <si>
    <t>(11)99145-5938</t>
  </si>
  <si>
    <t>wendell.silva@engenhariarr.com</t>
  </si>
  <si>
    <t>BAR E RESTAURANTE BUFALO NA BRASA LTDA</t>
  </si>
  <si>
    <t>51.274.355/0001-00</t>
  </si>
  <si>
    <t xml:space="preserve">Mariana </t>
  </si>
  <si>
    <t xml:space="preserve">marianaduarte2012@live.com.br </t>
  </si>
  <si>
    <t xml:space="preserve">06/05 - aguardando retorno da diretoria - 15/05 - sem retorno - 26/05/2026 - deixara para o proximo mes </t>
  </si>
  <si>
    <t>RODRIGO MOISES PEREIRA DA COSTA</t>
  </si>
  <si>
    <t>14.531.786/0001-88</t>
  </si>
  <si>
    <t>Mariana</t>
  </si>
  <si>
    <t>07.108.548/0002-80</t>
  </si>
  <si>
    <t xml:space="preserve">TIC TAC COMERCIO DE UTILIDADES EM GERAL LTDA </t>
  </si>
  <si>
    <t>33.954.317/0001-16</t>
  </si>
  <si>
    <t xml:space="preserve">Eder Falcão </t>
  </si>
  <si>
    <t xml:space="preserve"> (11) 2528-4328 </t>
  </si>
  <si>
    <t xml:space="preserve"> utilidadestictac@gmail.com </t>
  </si>
  <si>
    <t>VIDA MELHOR SUPLEMENTOS LTDA</t>
  </si>
  <si>
    <t>41.539.280/0001-98</t>
  </si>
  <si>
    <t>Nardeu</t>
  </si>
  <si>
    <t>(11) 94724-6045</t>
  </si>
  <si>
    <t>nardigomes2@gmail.com</t>
  </si>
  <si>
    <t>TOMI HAIR LTDA</t>
  </si>
  <si>
    <t>55.895.851/0001-31</t>
  </si>
  <si>
    <t>JULIANA</t>
  </si>
  <si>
    <t>(11) 96493-5646</t>
  </si>
  <si>
    <t>reikookawara382@gmail.com</t>
  </si>
  <si>
    <t>FGA RESTAURANTE LTDA</t>
  </si>
  <si>
    <t>14.839.389/0001-78</t>
  </si>
  <si>
    <t>Durval Ayosa</t>
  </si>
  <si>
    <t>(11) 97230-9787</t>
  </si>
  <si>
    <t>terracoaurora@gmail.com</t>
  </si>
  <si>
    <t>55.130.676 LIGIA RAFAELA DE PONTES</t>
  </si>
  <si>
    <t>55.130.676/0001-91</t>
  </si>
  <si>
    <t>LIGIA</t>
  </si>
  <si>
    <t>(11) 91468-6794</t>
  </si>
  <si>
    <t>baiaoemacaxeira@gmail.com</t>
  </si>
  <si>
    <t>(11)947895460</t>
  </si>
  <si>
    <t>Karine Freitas Dos Santos Borges</t>
  </si>
  <si>
    <t>(11) 98972.5942</t>
  </si>
  <si>
    <t>karine.borges@i9corporation.com.br</t>
  </si>
  <si>
    <t>Proposta dentro da pasta nome "pasta assinada"</t>
  </si>
  <si>
    <t>DENTAL FAMILY ADMINISTRACAO E ASSISTENCIA ODONTOLOGICA S/S LTDA.</t>
  </si>
  <si>
    <t>62.025.135/0001-69</t>
  </si>
  <si>
    <t>Antônio Denizete Gonçalves</t>
  </si>
  <si>
    <t>(11) 94036-5854</t>
  </si>
  <si>
    <t>drdonizete.dede@gmail.com</t>
  </si>
  <si>
    <t>LTCAT e MBP</t>
  </si>
  <si>
    <t>INDICAÇÃO DO MARCELO  / A empresa solicitou para o Marcelo uma cotação para os demais serviços  LTCAT e Manual de Boas Práticas (MBP) alinhado com o Cristiano Cecatto. Manual de Segurança</t>
  </si>
  <si>
    <t>Jefferson Amaro de Souza</t>
  </si>
  <si>
    <t>(11) 94359-4015</t>
  </si>
  <si>
    <t>engenharia.jefferson@hotmail.com</t>
  </si>
  <si>
    <t xml:space="preserve">DOSIMETRIA e MEDIÇÕES de particulas </t>
  </si>
  <si>
    <t>RETORNO NO DIA 18/05 - FRIA / NA</t>
  </si>
  <si>
    <t>BRAFEST - UTENSILIOS PARA CHURRASCO, FESTA E LAZER LTDA</t>
  </si>
  <si>
    <t>15.398.838/0001-52</t>
  </si>
  <si>
    <t>ADEMILSA E MACEDO E SILVA</t>
  </si>
  <si>
    <t>(11) 4651-3323</t>
  </si>
  <si>
    <t>BRAFEST@LIVE.COM</t>
  </si>
  <si>
    <r>
      <rPr>
        <rFont val="Arial"/>
        <color theme="1"/>
      </rPr>
      <t xml:space="preserve">RETORNO NO DIA 18/05 - FRIA ? </t>
    </r>
    <r>
      <rPr>
        <rFont val="Arial"/>
        <color rgb="FFFF0000"/>
      </rPr>
      <t xml:space="preserve">25/05- ligar 15h/ </t>
    </r>
    <r>
      <rPr>
        <rFont val="Arial"/>
        <b/>
        <color rgb="FFFF0000"/>
      </rPr>
      <t>Pediu para ligar 26/05 - não tinha visto email</t>
    </r>
  </si>
  <si>
    <t>GOMES VIEIRA &amp; SILVA S/C LTDA</t>
  </si>
  <si>
    <t>60.556.776/0001-14</t>
  </si>
  <si>
    <t>RAIMUNDO GOMES VIEIRA</t>
  </si>
  <si>
    <t>(11) 98403-3955</t>
  </si>
  <si>
    <t>MAZARELOLEANDRO@GMAIL.COM</t>
  </si>
  <si>
    <t>28/05: Mikaele inseriu Medgest, OS e Zeev</t>
  </si>
  <si>
    <t>4ª SEM</t>
  </si>
  <si>
    <t>UNNOBEN CONSTRUCOES LTDA</t>
  </si>
  <si>
    <t>63.615.811/0001-17</t>
  </si>
  <si>
    <t>Adriana mello</t>
  </si>
  <si>
    <t>(11) 91326-5249</t>
  </si>
  <si>
    <t>adriana@unnoben.com.br</t>
  </si>
  <si>
    <t>TREINAMENTO DE NR-35</t>
  </si>
  <si>
    <t>RETORNO NO DIA 18/05 - FRIA / 25/05- ainda está em análise.</t>
  </si>
  <si>
    <t>Everson / Elisangela</t>
  </si>
  <si>
    <t>(11) 989024540</t>
  </si>
  <si>
    <t>POLITEC CERTIFICADORA LTDA</t>
  </si>
  <si>
    <t>33.905.104/0001-02</t>
  </si>
  <si>
    <t>(11) 91948-5730</t>
  </si>
  <si>
    <t>auxiliadora@politec.com.br</t>
  </si>
  <si>
    <t>BAKE AND BERRY COMERCIO DE ALIMENTOS LTDA</t>
  </si>
  <si>
    <t>09.152.634/0001-34</t>
  </si>
  <si>
    <t>Ana Paula</t>
  </si>
  <si>
    <t xml:space="preserve">(11) 97640-4807 </t>
  </si>
  <si>
    <t>ana.paula.yatta@gmail.com</t>
  </si>
  <si>
    <t>TEMPLO ESPIRITUAL MARIA SANTISSIMA</t>
  </si>
  <si>
    <t>05.543.923/0001-03</t>
  </si>
  <si>
    <t>ROSELI</t>
  </si>
  <si>
    <t>(11) 99873-3341</t>
  </si>
  <si>
    <t>rh@tems.com.br</t>
  </si>
  <si>
    <t xml:space="preserve">HERAS EDITORACAO E EDICAO EIRELLI </t>
  </si>
  <si>
    <t>06.259.118/0001-15</t>
  </si>
  <si>
    <t>CENTRO ESPIRITUALISTA MARIA SANTISSIMA</t>
  </si>
  <si>
    <t>33.457.404/0001-68</t>
  </si>
  <si>
    <t>JORDAO NATACCI ADVOGADOS</t>
  </si>
  <si>
    <t>45.499.891/0001-00</t>
  </si>
  <si>
    <t>Isabel</t>
  </si>
  <si>
    <t>(11) 5990-2304</t>
  </si>
  <si>
    <t>isabel.feitosa@jordaonatacci.com</t>
  </si>
  <si>
    <t xml:space="preserve"> MATSUBARA &amp; ASSOCIADOS (MATSUBARA CONTADORES SOCIEDADE SIMPLES LTDA)</t>
  </si>
  <si>
    <t>10.673.216/0001-71</t>
  </si>
  <si>
    <t>Andreia</t>
  </si>
  <si>
    <t>andreia@mfassociados.com.br</t>
  </si>
  <si>
    <t>RMF SOLUTIONS LTDA</t>
  </si>
  <si>
    <t>65.765.806/0001-16</t>
  </si>
  <si>
    <t>GLEYCI</t>
  </si>
  <si>
    <t>(11) 91929-0902</t>
  </si>
  <si>
    <t>gleyci.lima@rmfeletrica.com.br</t>
  </si>
  <si>
    <t>TRECLINIC - CLINICA MEDICA LTDA</t>
  </si>
  <si>
    <t>43.806.545/0001-00</t>
  </si>
  <si>
    <t>Debora</t>
  </si>
  <si>
    <t>(11) 98906-0656</t>
  </si>
  <si>
    <t>debora@treclinic.com.br</t>
  </si>
  <si>
    <t>EVO BEAUTY LTDA (EVO LASER)</t>
  </si>
  <si>
    <t>Jaqueline Nolle</t>
  </si>
  <si>
    <t>Jaqueline.nolle@gmail.com</t>
  </si>
  <si>
    <t>LIVUS MOOCA EMPREENDIMENTO IMOBILIARIO SPE LTDA</t>
  </si>
  <si>
    <t>52.959.676/0001-00</t>
  </si>
  <si>
    <t>(19) 99595-7393</t>
  </si>
  <si>
    <r>
      <rPr>
        <rFont val="Arial"/>
        <color rgb="FF000000"/>
        <sz val="10.0"/>
        <u/>
      </rPr>
      <t>luciva@mtoengenharia.com.br</t>
    </r>
  </si>
  <si>
    <t>PCMSO, LTCAT, eSocial, NR01 e ART</t>
  </si>
  <si>
    <t>contrato na pasta "GRUPO LIVUS"</t>
  </si>
  <si>
    <t>A &amp; C CONFECCOES DE CORTINAS LTDA</t>
  </si>
  <si>
    <t>11.521.999/0001-30</t>
  </si>
  <si>
    <t>Everton</t>
  </si>
  <si>
    <t>(11) 99211-3310</t>
  </si>
  <si>
    <t>everton_abdalla@hotmail.com</t>
  </si>
  <si>
    <t>MORRO VERMELHO AGRO PECUARIA LTDA</t>
  </si>
  <si>
    <t>62.466.073/0001-20</t>
  </si>
  <si>
    <t>Solange</t>
  </si>
  <si>
    <t>(11) 97293-0058</t>
  </si>
  <si>
    <t>morro.vermelho@uol.com.br</t>
  </si>
  <si>
    <t xml:space="preserve">DISCO VINIL E CAFÉ LTDA </t>
  </si>
  <si>
    <t>63.182.584/0001-83</t>
  </si>
  <si>
    <t>Glauber José Marques Martins</t>
  </si>
  <si>
    <t>(11) 3231-4800</t>
  </si>
  <si>
    <t>whscontabilidade@uol.com.br</t>
  </si>
  <si>
    <t xml:space="preserve">INDICAÇÃO DO ALE, RETORNO NO DIA 18/05 . Telefone da contabiliade / Não passou fone da empresa. </t>
  </si>
  <si>
    <t>MATISCO MAQUINA DE PETISCO LTDA</t>
  </si>
  <si>
    <t>40.265.495/0001-03</t>
  </si>
  <si>
    <t>Victor Mohamed Palma Abdalla Zoghbi</t>
  </si>
  <si>
    <t>INDICAÇÃO DO ALE, RETORNO NO DIA 18/05 - Não irão dar sequência pois está encerrando com os colabordores.</t>
  </si>
  <si>
    <t>Muszkat Sociedade de Advogados</t>
  </si>
  <si>
    <t>10.143.826/0001-63</t>
  </si>
  <si>
    <t>Moises Aron Muszkat</t>
  </si>
  <si>
    <t>(11) 2389-0518</t>
  </si>
  <si>
    <t>renata@muszkat.adv.br</t>
  </si>
  <si>
    <t>PACOTE SST e AET</t>
  </si>
  <si>
    <t>M. A. M. Participações e Empreendimentos Ltda</t>
  </si>
  <si>
    <t>00.624.904/0001-98</t>
  </si>
  <si>
    <t>Osher Fomento Comercial Ltda</t>
  </si>
  <si>
    <t>33.675.510/0001-18</t>
  </si>
  <si>
    <t>FERNANDES REPRESENTACOES E INTERMEDIACAO LTDA</t>
  </si>
  <si>
    <t>39.558.108/0001-30</t>
  </si>
  <si>
    <t>Natan Fernandes</t>
  </si>
  <si>
    <t>(11) 94066-4966</t>
  </si>
  <si>
    <t>fernandesrepresentacoes1010@gmail.com</t>
  </si>
  <si>
    <t>VITÓRIA lançou Medgest, fazer OS e Zeev</t>
  </si>
  <si>
    <t>FORNERIA PAULISTANA PADARIA E CONFEITARIA LTDA</t>
  </si>
  <si>
    <t>59.241.135/0001-91</t>
  </si>
  <si>
    <t>MARCELE SADOCCO</t>
  </si>
  <si>
    <t>(11) 94004-4041</t>
  </si>
  <si>
    <t>nutricao.vitoria@hotmail.com</t>
  </si>
  <si>
    <t xml:space="preserve">ARCADIS LOGO </t>
  </si>
  <si>
    <t>07.939.296/0001-50</t>
  </si>
  <si>
    <t>(11) 3117-3171</t>
  </si>
  <si>
    <t xml:space="preserve">ana.santos2@arcadis.com </t>
  </si>
  <si>
    <t>CLINICA JEUNESSE DE CIRURGIA PLASTICA LTDA</t>
  </si>
  <si>
    <t>11.698.715/0001-86</t>
  </si>
  <si>
    <t>Wendell</t>
  </si>
  <si>
    <t>(11) 3672-3072</t>
  </si>
  <si>
    <t>secretaria.atilio@gmail.com</t>
  </si>
  <si>
    <t>LIVUS JARAGUA EMPREENDIMENTO IMOBILIARIO SPE LTDA</t>
  </si>
  <si>
    <t xml:space="preserve">54.753.326/0001-19 </t>
  </si>
  <si>
    <t xml:space="preserve"> José Lucivá Maia </t>
  </si>
  <si>
    <t xml:space="preserve">(19) 99595-7393 </t>
  </si>
  <si>
    <t>PCMSO, LTCAT, eSocial, NR01, ART e AET</t>
  </si>
  <si>
    <t>FLOWMENTOR CONSULTORIA TECNICA, CIENTIFICA E EDUCACIONAL EM SAUDE LTDA</t>
  </si>
  <si>
    <t>37.369.180/0001-93</t>
  </si>
  <si>
    <t>Vinicius Silva</t>
  </si>
  <si>
    <t>(11) 96313-2830</t>
  </si>
  <si>
    <t>kalculeicontabilidade@gmail.com</t>
  </si>
  <si>
    <t>Contrato aprovado assinado via site e liberado pelo Cristiano para inclusão sistema e próximos passos / Lucas e Stephanie realizaram a parametrização.</t>
  </si>
  <si>
    <t>(11) 99913-1323</t>
  </si>
  <si>
    <t>INSTITUTO NACIONAL TALENTOS DE INCLUSAO PROFISSIONAL - INTAL</t>
  </si>
  <si>
    <t>27.090.171/0001-05</t>
  </si>
  <si>
    <t>Laura</t>
  </si>
  <si>
    <t>(11)943212024</t>
  </si>
  <si>
    <t>administrativo@institutotalentos.org.br</t>
  </si>
  <si>
    <t>INFO-MARKETING SERVICOS ADMINISTRATIVOS LTDA</t>
  </si>
  <si>
    <t>07.310.969/0001-08</t>
  </si>
  <si>
    <t>Aline Silva</t>
  </si>
  <si>
    <t>(11)35070903</t>
  </si>
  <si>
    <t>aline.silva@lscontabilidade.adm.br</t>
  </si>
  <si>
    <t>M3CORP SOLUCOES PERSONALIZADAS EM INTERNET LTDA</t>
  </si>
  <si>
    <t xml:space="preserve">(11) 96134-7732 </t>
  </si>
  <si>
    <t>RETIFICAÇÃO DOS LAUDOS (ENDEREÇO)</t>
  </si>
  <si>
    <t>ALTERAÇÃO DE ENDEREÇO OBS.: Os laudos serão retificados em razão da alteração do endereço vinculado ao CNPJ da empresa PGR, PCMSO, LTCAT, NR01 e e-social. - data final 14/05.</t>
  </si>
  <si>
    <t>NAVARRO ARQUITETURA LTDA</t>
  </si>
  <si>
    <t>43.549.267/0001-45</t>
  </si>
  <si>
    <t xml:space="preserve">SAMUEL </t>
  </si>
  <si>
    <t>(11) 99998-1589</t>
  </si>
  <si>
    <t>ADM@NAVARROARQUITETURA.COM</t>
  </si>
  <si>
    <t>RETORNO DIA 18/05 - QUENTE (19/05: NA - encaminhado email novamente). 25/05: Tem que aguardar o evento CASA COR. inicia em 02/06</t>
  </si>
  <si>
    <t xml:space="preserve"> CONDOMINIO EDIFICIO ITAGUARE</t>
  </si>
  <si>
    <t>03.217.176/0001-98</t>
  </si>
  <si>
    <t>Jefferson</t>
  </si>
  <si>
    <t>(11) 96033-6378</t>
  </si>
  <si>
    <t>Jefferson@jogil.com.br</t>
  </si>
  <si>
    <t>JOGIL FLORESTAL LTDA</t>
  </si>
  <si>
    <t>47.467.527/0001-94</t>
  </si>
  <si>
    <t>47.467.527/0003-56</t>
  </si>
  <si>
    <t>DC JARDINS LTDA</t>
  </si>
  <si>
    <t>53.254.373/0001-55</t>
  </si>
  <si>
    <t>Angelica Carmona</t>
  </si>
  <si>
    <t>(11)945307275</t>
  </si>
  <si>
    <t>angelica_scarmona@hotmail.com</t>
  </si>
  <si>
    <t>(11) 915554166</t>
  </si>
  <si>
    <t>PROJEXA CONSULTORIA E SERVICOS DE ENGENHARIA LTDA</t>
  </si>
  <si>
    <t>21.706.336/0001-44</t>
  </si>
  <si>
    <t>Marcia Baldin</t>
  </si>
  <si>
    <t>marcia.baldin@projexa-energy.com.br</t>
  </si>
  <si>
    <t>TRADUZCA SERVICOS DE TRADUCOES LTDA</t>
  </si>
  <si>
    <t>02.333.448/0002-33</t>
  </si>
  <si>
    <t>Sonia Achá</t>
  </si>
  <si>
    <t>(51)984108168</t>
  </si>
  <si>
    <t>ana.rosa@traduzca.com.br</t>
  </si>
  <si>
    <t>LEO RAMOS ODONTOLOGIA ESPECIALIZADA LTDA</t>
  </si>
  <si>
    <t>39.881.314/0001-86</t>
  </si>
  <si>
    <t>Elenildo</t>
  </si>
  <si>
    <t>(11)94198-4044</t>
  </si>
  <si>
    <t>eleramos4@hotmail.com</t>
  </si>
  <si>
    <t>CASA DA BELEZA DAMARES LTDA</t>
  </si>
  <si>
    <t>29.473.399/0001-00</t>
  </si>
  <si>
    <t>Damares</t>
  </si>
  <si>
    <t>1199996-5275</t>
  </si>
  <si>
    <t>freapjob@gmail.com</t>
  </si>
  <si>
    <t>ADELPE SOLUCAO ELETRICA LTDA.</t>
  </si>
  <si>
    <t>24.012.578/0001-26</t>
  </si>
  <si>
    <t>(11)992512912</t>
  </si>
  <si>
    <t>adm@adelpesolucaoeletrica.com.br</t>
  </si>
  <si>
    <t>PCMSO + EXAMES</t>
  </si>
  <si>
    <t>PARK NOW / NICOLE ROSEMBERG / POSTOS</t>
  </si>
  <si>
    <t>Ronald</t>
  </si>
  <si>
    <t>NR01 + LAUDOS</t>
  </si>
  <si>
    <t>I.C. COHEN SOCIEDADE DE ADVOGADOS</t>
  </si>
  <si>
    <t>10.831.594/0001-36</t>
  </si>
  <si>
    <t>Rosaly</t>
  </si>
  <si>
    <t>(11) 99654-2702</t>
  </si>
  <si>
    <t>dodi6@terra.com.br</t>
  </si>
  <si>
    <t>B.G. EMPREITEIRA LTDA</t>
  </si>
  <si>
    <t>03.001.389/0001-88</t>
  </si>
  <si>
    <t>(11)98933-8382</t>
  </si>
  <si>
    <t>bg@bginstalacoes.com.br</t>
  </si>
  <si>
    <t>MTO LATERZA BOITUVA SPE LTDA</t>
  </si>
  <si>
    <t>28.596.198/0001-37</t>
  </si>
  <si>
    <t>MAJOR ESTACIONAMENTOS LTDA</t>
  </si>
  <si>
    <t>05.636.151/0001-54</t>
  </si>
  <si>
    <t>Marcelo Arnone</t>
  </si>
  <si>
    <t>(11) 999426944</t>
  </si>
  <si>
    <t>marcelo@estacionamentos.com.br</t>
  </si>
  <si>
    <t>contrato na pasta " MAJOR_PARK_ESTACIONAMENTO_LTDA"</t>
  </si>
  <si>
    <t>LOGGIO SOLUCOES LOGISTICAS LTDA</t>
  </si>
  <si>
    <t>58.272.549/0001-15</t>
  </si>
  <si>
    <t>Rodrigo</t>
  </si>
  <si>
    <t>(11)916933483</t>
  </si>
  <si>
    <t>rodrigo@loggio.com.br</t>
  </si>
  <si>
    <t>PRIME CONSTRUCOES LTDA</t>
  </si>
  <si>
    <t>60.531.252/0001-79</t>
  </si>
  <si>
    <t>Jessica Matos</t>
  </si>
  <si>
    <t>(11)943330669</t>
  </si>
  <si>
    <t>Comercial@primeconstructive.com</t>
  </si>
  <si>
    <t>F. A. C. CAMARGO SOLUCOES EM TI LTDA</t>
  </si>
  <si>
    <t>27.730.946/0001-60</t>
  </si>
  <si>
    <t>Marcos Paulo</t>
  </si>
  <si>
    <t>(11)914154957</t>
  </si>
  <si>
    <t>marcoscastro@paramosoftware.com.br</t>
  </si>
  <si>
    <t>LUMMA RESTAURANTE LTDA</t>
  </si>
  <si>
    <t>53.193.316/0001-03</t>
  </si>
  <si>
    <t>(11) 967978125</t>
  </si>
  <si>
    <t>fedrigoscoordcx@gmail.com</t>
  </si>
  <si>
    <t>GP - SERVICOS GERAIS LTDA.</t>
  </si>
  <si>
    <t>51.314.375/0001-67</t>
  </si>
  <si>
    <t>Michelle Martins</t>
  </si>
  <si>
    <t>(11)30597000</t>
  </si>
  <si>
    <t>mmferreira@grupogp.com</t>
  </si>
  <si>
    <t>TREINAMENTO NR35</t>
  </si>
  <si>
    <t xml:space="preserve">PANDISC INFORMATICA LTDA </t>
  </si>
  <si>
    <t>67.093.450/0001-47</t>
  </si>
  <si>
    <t>Erika / Fabiana</t>
  </si>
  <si>
    <t>(11)24315559</t>
  </si>
  <si>
    <t>fabiana.galvao@pandisc-ww.com</t>
  </si>
  <si>
    <t>ALTA SEGURANCA LTDA</t>
  </si>
  <si>
    <t>66.248.877/0001-04</t>
  </si>
  <si>
    <t xml:space="preserve"> Felipe</t>
  </si>
  <si>
    <t>(11) 981415746</t>
  </si>
  <si>
    <t>contato@altasseguranca.com.br</t>
  </si>
  <si>
    <t>Jurandir / Edjane</t>
  </si>
  <si>
    <r>
      <rPr>
        <rFont val="Arial"/>
        <color rgb="FF000000"/>
        <u/>
      </rPr>
      <t>edijane_guedes@radarsaopaulo.com.br</t>
    </r>
  </si>
  <si>
    <t>DR VITOR COCA SAUDE E LONGEVIDADE LTDA</t>
  </si>
  <si>
    <t>49.059.117/0001-30</t>
  </si>
  <si>
    <t>Ana/ Marcelo</t>
  </si>
  <si>
    <t>(11)960338679</t>
  </si>
  <si>
    <t>marcelo_coca@hotmail.com</t>
  </si>
  <si>
    <t>WINDHUK RESTAURANTE &amp; BAR LTDA</t>
  </si>
  <si>
    <t>66.331.345/0001-36</t>
  </si>
  <si>
    <t xml:space="preserve">Nilva Luckmann </t>
  </si>
  <si>
    <t>(11)998649086</t>
  </si>
  <si>
    <t>financeiro@windhuk.com.br</t>
  </si>
  <si>
    <t>CEO TRAVEL AGENCIA DE VIAGENS E TURISMO LTDA</t>
  </si>
  <si>
    <t>11.781.719/0001-23</t>
  </si>
  <si>
    <t>Lucas Moura</t>
  </si>
  <si>
    <t>(11)30160051</t>
  </si>
  <si>
    <t>Tecnologia@ceotravel.com.br</t>
  </si>
  <si>
    <t>IRUDEK BRASIL IMPORTACAO, EXPORTACAO, COMERCIO E SERVICOS DE PROTECAO E SEGURANCA LTDA</t>
  </si>
  <si>
    <t>15.556.298/0001-98</t>
  </si>
  <si>
    <t>Keila</t>
  </si>
  <si>
    <t>(11)983579925</t>
  </si>
  <si>
    <t>keila@irudek.com</t>
  </si>
  <si>
    <t>R$ 169,00</t>
  </si>
  <si>
    <t>NANUTS LTDA</t>
  </si>
  <si>
    <t>46.361.893/0001-00</t>
  </si>
  <si>
    <t>Juliana</t>
  </si>
  <si>
    <t>1197549-3123</t>
  </si>
  <si>
    <t>operacao@nanuts.com.br</t>
  </si>
  <si>
    <t>MAGAZINE GIRASSOL LTDA</t>
  </si>
  <si>
    <t>27.548.456/0001-47</t>
  </si>
  <si>
    <t xml:space="preserve">Diego marques </t>
  </si>
  <si>
    <t>(11) 99452-8482</t>
  </si>
  <si>
    <t>magazine@magazinegirassol.com.br</t>
  </si>
  <si>
    <t xml:space="preserve">25/05/2026: Vitória lançou MEDGEST, OS e ZEEV </t>
  </si>
  <si>
    <t>GOOD IMPORT MAGAZINE LTDA</t>
  </si>
  <si>
    <t>32.461.988/0001-82</t>
  </si>
  <si>
    <t>Diego marques</t>
  </si>
  <si>
    <t xml:space="preserve">26/05/2026: Vitória lançou MEDGEST, OS e ZEEV </t>
  </si>
  <si>
    <t>D.Y. COMERCIAL IMPORTACAO E EXPORTACAO LTDA</t>
  </si>
  <si>
    <t>21.337.503/0001-27</t>
  </si>
  <si>
    <t>Tatiane Bernado</t>
  </si>
  <si>
    <t>(11) 98402-9509</t>
  </si>
  <si>
    <t>dyinternacional@hotmail.com</t>
  </si>
  <si>
    <t>R$ 180,00</t>
  </si>
  <si>
    <t>26/05/2026: Mikaelle lançou MEDGEST, OS e ZEEV</t>
  </si>
  <si>
    <t>SUSSKA PREMIAÇÕES E INCENTIVOS LTDA</t>
  </si>
  <si>
    <t>19.775.779/0001-45</t>
  </si>
  <si>
    <t xml:space="preserve">ALESSANDRA OLIVEIRA </t>
  </si>
  <si>
    <t>(11) 5525-3296</t>
  </si>
  <si>
    <t>alessandra@vivaexperiencias.com.br</t>
  </si>
  <si>
    <t>RETORNO DIA 18/05 - QUENTE (19/05: NA - encaminhado email novamente) / informou que não tem interesse pois ficaram com a empresa atual</t>
  </si>
  <si>
    <t>AMH LOCACAO DE MAQUINAS LTDA</t>
  </si>
  <si>
    <t>66.956.723/0001-77</t>
  </si>
  <si>
    <t>Eduardo Walter Homuth Júnior</t>
  </si>
  <si>
    <t>(11) 4114-0486</t>
  </si>
  <si>
    <t>amh.loc.maquinas@gmail.com</t>
  </si>
  <si>
    <t>SEM CONTATO POR TELEFONE, RETORNO DIA 18/05 - FRIA</t>
  </si>
  <si>
    <t>MAD SERVICOS DE TRANSPORTES LTDA</t>
  </si>
  <si>
    <t>16.926.760/0001-64</t>
  </si>
  <si>
    <t>Fátima de Jesus Pereira Sousa</t>
  </si>
  <si>
    <t>(11) 99445-3729</t>
  </si>
  <si>
    <t>madureiraturismo@terra.com.br</t>
  </si>
  <si>
    <t xml:space="preserve">26/05/2026: Mikaelle lançou MEDGEST, OS e ZEEV </t>
  </si>
  <si>
    <t>CASA VARELA MATERIAL DE CONSTRUCAO E UTILIDADES LTDA</t>
  </si>
  <si>
    <t>12.426.311/0001-04</t>
  </si>
  <si>
    <t>Rodrigo Domingues Moure Varela</t>
  </si>
  <si>
    <t>(11) 91008-6039</t>
  </si>
  <si>
    <t>jrmvarela@hotmail.com</t>
  </si>
  <si>
    <t xml:space="preserve">18/05/2026: Gustavo de férias. OS feita por Márcia e Lucas lançou no Zeev. </t>
  </si>
  <si>
    <t>PROERT ENGENHARIA E SERVICOS LTDA</t>
  </si>
  <si>
    <t>30.669.794/0001-41</t>
  </si>
  <si>
    <t>SERGIO ROBERTO FERREIRA ROCHA DA SILVA</t>
  </si>
  <si>
    <t>(11) 2833-0771</t>
  </si>
  <si>
    <t>rh@proert.com.br</t>
  </si>
  <si>
    <t xml:space="preserve">EXAME </t>
  </si>
  <si>
    <t>RETORNO DIA 18/05 - QUENTE / (19/05 encaminhado email cobrando -NA) - 20/05: Eduardo em reunião. Iam dar recado apra retornar.</t>
  </si>
  <si>
    <t>ROGERIO PERRELLA - BAZAR</t>
  </si>
  <si>
    <t>08.998.282/0001-70</t>
  </si>
  <si>
    <t>ROGÉRIO PERRELLA</t>
  </si>
  <si>
    <t>(11) 5542-6154</t>
  </si>
  <si>
    <t>CLUBEKIDS@TERRA.COM.BR</t>
  </si>
  <si>
    <t>ASSINOU COM A EMPRESA QUE JÁ TERIA CONTRATO, MESMO PAGAMENTO A BAIXO E NÃO TENDO TODOS OS SERVIÇOS OBRIGATÓRIOS.</t>
  </si>
  <si>
    <t>IGOR &amp; HUGO COMERCIO ATACADISTA DE COSMETICOS E MAQUIAGENS LTDA</t>
  </si>
  <si>
    <t>26.656.649/0001-59</t>
  </si>
  <si>
    <t>Igor Rodrigues da Costa</t>
  </si>
  <si>
    <t>(11)3227-6334</t>
  </si>
  <si>
    <t>igorehugoatacado@gmail.com</t>
  </si>
  <si>
    <t>CLINICA MEDICA MANTOAN LTDA</t>
  </si>
  <si>
    <t>13.344.638/0001-91</t>
  </si>
  <si>
    <t>juliana.gomes@spassessoriacontabil.com.br</t>
  </si>
  <si>
    <t>Agência de Postagem Faria Lima LTDA</t>
  </si>
  <si>
    <t>01.902.487/0001-60</t>
  </si>
  <si>
    <t>11 3077-0220</t>
  </si>
  <si>
    <t>erika@viapostall.com.br</t>
  </si>
  <si>
    <t>15/052026</t>
  </si>
  <si>
    <t xml:space="preserve">Retorna 29/05 </t>
  </si>
  <si>
    <t>CONEXAO URBANA - EDIFICIO EVOLUCAO</t>
  </si>
  <si>
    <t xml:space="preserve"> 29.291.079/0001-39</t>
  </si>
  <si>
    <t xml:space="preserve">Nathalya </t>
  </si>
  <si>
    <t>(11) 3745-5227</t>
  </si>
  <si>
    <r>
      <rPr>
        <rFont val="Arial"/>
        <color rgb="FF1155CC"/>
        <u/>
      </rPr>
      <t>rh@turimcondominios.com.br</t>
    </r>
  </si>
  <si>
    <t>BRIZ BAKERY - PAES DE LONGA FERMENTACAO</t>
  </si>
  <si>
    <t>45.814.313/0001-11</t>
  </si>
  <si>
    <t xml:space="preserve">SHEILA </t>
  </si>
  <si>
    <r>
      <rPr>
        <rFont val="Arial"/>
        <color rgb="FF1155CC"/>
        <sz val="10.0"/>
        <u/>
      </rPr>
      <t>(11) 98383-5566</t>
    </r>
  </si>
  <si>
    <r>
      <rPr>
        <color rgb="FF1155CC"/>
        <u/>
      </rPr>
      <t>brizbakery@gmail.com</t>
    </r>
  </si>
  <si>
    <t>CLUBE DO VEPINHO PET SHOP LTDA</t>
  </si>
  <si>
    <t>28.456.688-0001-38</t>
  </si>
  <si>
    <t>Pinhos Guertzenstein</t>
  </si>
  <si>
    <t>(11)96080-2541</t>
  </si>
  <si>
    <r>
      <rPr>
        <rFont val="Arial"/>
        <color rgb="FF000000"/>
        <sz val="10.0"/>
        <u/>
      </rPr>
      <t>pinhos@clubedovepinho.com.br</t>
    </r>
  </si>
  <si>
    <t>PET SERVICE MARCIA LTDA</t>
  </si>
  <si>
    <t>26.683.683/0001-12</t>
  </si>
  <si>
    <t>MARCIA</t>
  </si>
  <si>
    <t>(11) 99187-1934</t>
  </si>
  <si>
    <t>petservicemarcia@gmail.com</t>
  </si>
  <si>
    <t>R$ 151,00</t>
  </si>
  <si>
    <t>CLINICA CONTATO DE CIRURGIA PLASTICA E DERMATOLOGIA LTDA</t>
  </si>
  <si>
    <t>23.266.373/0001-04</t>
  </si>
  <si>
    <t>anapolete@hotmail.com</t>
  </si>
  <si>
    <t>MILENIUM METAIS LTDA</t>
  </si>
  <si>
    <t>03.403.390/0001-39</t>
  </si>
  <si>
    <t>Katia Giustino</t>
  </si>
  <si>
    <t>(11)996348633</t>
  </si>
  <si>
    <t>mileniumjoias99@gmail.com</t>
  </si>
  <si>
    <t>RBT NEGOCIOS LTDA</t>
  </si>
  <si>
    <t>56.604.854/0001-31</t>
  </si>
  <si>
    <t>Luis Henrique / Fernando</t>
  </si>
  <si>
    <t>(11)913042995</t>
  </si>
  <si>
    <t>fernandosargaco.gestor@gmail.com</t>
  </si>
  <si>
    <t>RS INTERMEDIACAO DE NEGOCIOS LTDA</t>
  </si>
  <si>
    <t>29.277.396/0001-09</t>
  </si>
  <si>
    <t xml:space="preserve">Luis Henrique / Marcelle </t>
  </si>
  <si>
    <t>marcellerezendes@gmail.com</t>
  </si>
  <si>
    <t>PACOTE SST+ NR1 + PALESTRA</t>
  </si>
  <si>
    <t>I.S LIMA SERVICOS DE ESTACIONAMENTO, LAVA RAPIDO, LOCACAO E TRANSPORTE LTDA</t>
  </si>
  <si>
    <t>18.004.825/0001-40</t>
  </si>
  <si>
    <t>ISMAR</t>
  </si>
  <si>
    <t>(11)948809975</t>
  </si>
  <si>
    <t>ismarsampaio@hotmail.com</t>
  </si>
  <si>
    <t>CNT CENTRAL DE NEGOCIOS AGENCIA DE VIAGENS E TURISMO LTDA</t>
  </si>
  <si>
    <t>04.885.275/0001-00</t>
  </si>
  <si>
    <t>André Henry Khouri</t>
  </si>
  <si>
    <t>(11) 97460-6391</t>
  </si>
  <si>
    <t>financeiro@cntour.com.br</t>
  </si>
  <si>
    <t>COBEX - SP - COBRANCAS S/S LTDA. (COBEX INTERIOR RECUPERADORA DE ATIVOS FINANCEIROS LTDA )</t>
  </si>
  <si>
    <t xml:space="preserve">08.792.805/0001-27 / 08.792.805/0001-27 </t>
  </si>
  <si>
    <t>Gabriela Fernandes</t>
  </si>
  <si>
    <t>gsantos@grupocobex.com.br</t>
  </si>
  <si>
    <t>27 / 18</t>
  </si>
  <si>
    <t>LAUDOS PGR / PCMSO / LTCAT / NR01</t>
  </si>
  <si>
    <t xml:space="preserve">20/05/2026: Mikaelle lançou MEDGEST, OS e ZEEV </t>
  </si>
  <si>
    <t>VEP GRP CONSOLIDADORA E OPERADORA DE TURISMO LTDA</t>
  </si>
  <si>
    <t>28.556.886/0001-73</t>
  </si>
  <si>
    <t xml:space="preserve">Yaacov </t>
  </si>
  <si>
    <r>
      <rPr>
        <rFont val="Arial"/>
        <u/>
      </rPr>
      <t>associacaomais.pagamentos@</t>
    </r>
    <r>
      <rPr>
        <rFont val="Arial"/>
        <u/>
      </rPr>
      <t>gmail.com</t>
    </r>
  </si>
  <si>
    <t xml:space="preserve">PACOTE SST + NR-01 </t>
  </si>
  <si>
    <t>PONTODIGITAL SERVICOS GRAFICOS LTDA</t>
  </si>
  <si>
    <t>09.413.342/0001-08</t>
  </si>
  <si>
    <t>MARIA</t>
  </si>
  <si>
    <t>11 2116-6416</t>
  </si>
  <si>
    <t>lucia@pontograf.com</t>
  </si>
  <si>
    <t>AVALIAÇÃO DE RUIDO + QUIMICA</t>
  </si>
  <si>
    <t>COPAN SOLUCOES LTDA</t>
  </si>
  <si>
    <t>46.253.088/0001-54</t>
  </si>
  <si>
    <t>Jabis de Mendonça Alexandre</t>
  </si>
  <si>
    <t>(11) 99974-2868</t>
  </si>
  <si>
    <t>jabisma@gmail. com</t>
  </si>
  <si>
    <t>PADARIA ITALIANINHA LTDA</t>
  </si>
  <si>
    <t>62.047.774/0001-25</t>
  </si>
  <si>
    <t>Sandra</t>
  </si>
  <si>
    <t>(11) 3141-4166</t>
  </si>
  <si>
    <t>padariaitalianinhasp@gmail.com</t>
  </si>
  <si>
    <t xml:space="preserve">                                  VELOX COMERCIAL EIRELI</t>
  </si>
  <si>
    <t>16.932.730/0001-60</t>
  </si>
  <si>
    <t>(11) 96532-1020</t>
  </si>
  <si>
    <t>mauricio.gdt@terra.com.br</t>
  </si>
  <si>
    <t>SABREVEST COMERCIO E DECORACOES LTDA - EPP</t>
  </si>
  <si>
    <t>08.167.021/0001-08</t>
  </si>
  <si>
    <t>(11) 5093-2323</t>
  </si>
  <si>
    <t>juliana@papercom.com.br</t>
  </si>
  <si>
    <t>ENTRETORRES BARRA FUNDA I SPE LTDA</t>
  </si>
  <si>
    <t>56.428.281/0001-32</t>
  </si>
  <si>
    <t>FRANCISCO</t>
  </si>
  <si>
    <t>13 3475-5819</t>
  </si>
  <si>
    <t>admhidalgoempreendimentos@gmail.com</t>
  </si>
  <si>
    <t xml:space="preserve">PACOTE SST + NR-01 + AET </t>
  </si>
  <si>
    <t>ACLOR LTDA</t>
  </si>
  <si>
    <t>03.532.225/0001-87</t>
  </si>
  <si>
    <t xml:space="preserve">Milena </t>
  </si>
  <si>
    <t xml:space="preserve"> adm@sucar.com.br</t>
  </si>
  <si>
    <t>SEGUINDO A VERDADE EM AMOR</t>
  </si>
  <si>
    <t>41.143.788/0001-72</t>
  </si>
  <si>
    <t xml:space="preserve">Juliana </t>
  </si>
  <si>
    <t>Juliana@seva.ogr.br</t>
  </si>
  <si>
    <t>CAMAR ASSESSORIA INTERNACIONAL LTDA</t>
  </si>
  <si>
    <t>03.533.797/0001-80</t>
  </si>
  <si>
    <t>João Valerio</t>
  </si>
  <si>
    <t>joaovalerio@camar.net.br</t>
  </si>
  <si>
    <t>CAMAR LOGISTICA E TRANSPORTES LTDA</t>
  </si>
  <si>
    <t>13.155.911/0001-30</t>
  </si>
  <si>
    <t>joaovalerio@camar.net.b</t>
  </si>
  <si>
    <t>VIPIMPORT COMERCIO IMPORTACAO E EXPORTACAO DE PRODUTOS DO LAR</t>
  </si>
  <si>
    <t>17.765.833/0001-46</t>
  </si>
  <si>
    <t>FLÁVIA</t>
  </si>
  <si>
    <t>11 3311-8330</t>
  </si>
  <si>
    <t>rh@saomarcus.com.br</t>
  </si>
  <si>
    <t>17.765.833/0003-08</t>
  </si>
  <si>
    <t>DISTRIBUIDORA SAO MARCUS DE PLASTICOS E ALUMINIO LTDA</t>
  </si>
  <si>
    <t>67.920.686/0001-00</t>
  </si>
  <si>
    <t>67.920.686/0002-90</t>
  </si>
  <si>
    <t>67.920.686/0003-71</t>
  </si>
  <si>
    <t>67.920.686/0004-52</t>
  </si>
  <si>
    <t>C. GRACO K. ANDRADE LTDA</t>
  </si>
  <si>
    <t>23.054.101/0001-40</t>
  </si>
  <si>
    <t>THD TRANSPORTES E TERCEIRIZACAO DE SERVICOS LTDA</t>
  </si>
  <si>
    <t>11.719.035/0001-00</t>
  </si>
  <si>
    <t>(11) 94730-6228</t>
  </si>
  <si>
    <t>thiagodascanio@gmail.com</t>
  </si>
  <si>
    <t>WIWU - ACESSORIOS DE CELULAR E ELETRONICOS LTDA</t>
  </si>
  <si>
    <t>53.067.551/0002-10</t>
  </si>
  <si>
    <t>11 98197-4803</t>
  </si>
  <si>
    <t>adm@wiwu.com.br</t>
  </si>
  <si>
    <t>53.067.551/0001-39</t>
  </si>
  <si>
    <t>27/05/2026 CANCELADO A EMPRESA JÁ POSSUIA A NR-01 INCLUSA NA MENSALIDADE</t>
  </si>
  <si>
    <t>TOPWAY - ELETRONICOS LTDA</t>
  </si>
  <si>
    <t>15.052.743/0001-82</t>
  </si>
  <si>
    <t>ELIENE</t>
  </si>
  <si>
    <t>FRALO CORRETORA DE IMOVEIS LTDA</t>
  </si>
  <si>
    <t>47.335.021/0001-21</t>
  </si>
  <si>
    <t>Paula Ralo</t>
  </si>
  <si>
    <t>(11)98921-9538</t>
  </si>
  <si>
    <t>fralo@fralo.com.br</t>
  </si>
  <si>
    <t>VESKTT COMERCIO E SERVIÇO LTDA</t>
  </si>
  <si>
    <t>54.671.179/0001-38</t>
  </si>
  <si>
    <t>DAVID</t>
  </si>
  <si>
    <t>(11) 97872-4978</t>
  </si>
  <si>
    <t>contato@vekstt.com.br</t>
  </si>
  <si>
    <t xml:space="preserve">TOP TRAD </t>
  </si>
  <si>
    <t>12.256.386/0001-86</t>
  </si>
  <si>
    <t xml:space="preserve">EVERTON </t>
  </si>
  <si>
    <t>3326-1818</t>
  </si>
  <si>
    <t xml:space="preserve">everton@toptrad.com.br </t>
  </si>
  <si>
    <t>Plenno Arquitetura e Legalização LTDA</t>
  </si>
  <si>
    <t>05.994.499/0001-45</t>
  </si>
  <si>
    <t xml:space="preserve">Vivian </t>
  </si>
  <si>
    <t>(11) 3052-2175</t>
  </si>
  <si>
    <r>
      <rPr>
        <rFont val="Arial, Helvetica, sans-serif"/>
        <color rgb="FF000000"/>
        <u/>
      </rPr>
      <t>vivian.ferraz@plenno.com.br</t>
    </r>
  </si>
  <si>
    <t>DEGON CONTROLE DE PRAGAS LTDA ME</t>
  </si>
  <si>
    <t>07.931.386/0001-02</t>
  </si>
  <si>
    <t xml:space="preserve">LILIAN </t>
  </si>
  <si>
    <t>liliandestro@hotmail.com</t>
  </si>
  <si>
    <t xml:space="preserve">INSALUBRIDADE </t>
  </si>
  <si>
    <t>GUARDO SEGURANCA ELETRONICA LTDA</t>
  </si>
  <si>
    <t>Geovana</t>
  </si>
  <si>
    <t>financeiro@guardo.com.br</t>
  </si>
  <si>
    <t>EQUIPACASA COMERCIO DE UTILIDADES PARA O LAR E LAZER</t>
  </si>
  <si>
    <t>09.231.489/0001-87</t>
  </si>
  <si>
    <t>Claudinei</t>
  </si>
  <si>
    <t>11 99524-2593</t>
  </si>
  <si>
    <t>equipacasa@terra.com.br</t>
  </si>
  <si>
    <t>NAISE INDUSTRIA E COMERCIO DE PECAS PARA MAQUINAS LTDA</t>
  </si>
  <si>
    <t>14.368.337/0001-60</t>
  </si>
  <si>
    <t>Eber</t>
  </si>
  <si>
    <t>(11) 3978-4680</t>
  </si>
  <si>
    <t>eber.serv@gmail.com</t>
  </si>
  <si>
    <t>CHEDIDNEME EVENTOS E ENTRETENIMENTO LTDA</t>
  </si>
  <si>
    <t>07.479.028/0001-00</t>
  </si>
  <si>
    <t xml:space="preserve">                     Renato</t>
  </si>
  <si>
    <t>(11) 99914-5449</t>
  </si>
  <si>
    <t>chedidneme@gmail.com</t>
  </si>
  <si>
    <t>BELONG CONSULTORA E GESTORA IMOBILIARIA MARTINS FONTES LTDA</t>
  </si>
  <si>
    <t>63.455.693/0001-27</t>
  </si>
  <si>
    <t>Rafaella</t>
  </si>
  <si>
    <t>(34) 97987247</t>
  </si>
  <si>
    <t>rafa@belongstay.com</t>
  </si>
  <si>
    <t>DEVET CLINICA VETERINARIA E ESPECIALIDADES LTDA</t>
  </si>
  <si>
    <t>12.091.576.0001-90</t>
  </si>
  <si>
    <t>Débora</t>
  </si>
  <si>
    <t>(11) 99430-2880</t>
  </si>
  <si>
    <t>derovibenedetti@gmail.com</t>
  </si>
  <si>
    <t>HOLANDESA FABRIEK LTDA</t>
  </si>
  <si>
    <t>43.116.816/0001-98</t>
  </si>
  <si>
    <t>Eliane</t>
  </si>
  <si>
    <t>(11) 93065-6847</t>
  </si>
  <si>
    <t>elianeluriko@gmail.com</t>
  </si>
  <si>
    <t>CORREA GOMES DE SOUZA ADVOGADOS ASSOCIADOS</t>
  </si>
  <si>
    <t>44.468.709/0001-91</t>
  </si>
  <si>
    <t>Pedro</t>
  </si>
  <si>
    <t>(11) 94471-8084</t>
  </si>
  <si>
    <t>vanessa@correagomes.adv.br</t>
  </si>
  <si>
    <t>TRANSREMOCAO TRANSPORTES PESADOS, REMOCOES TECNICAS E ARMAZENAMENTO LTDA</t>
  </si>
  <si>
    <t>60.972.585/0001-33</t>
  </si>
  <si>
    <t>Eliel</t>
  </si>
  <si>
    <t>(11) 3933-9494</t>
  </si>
  <si>
    <t>ssmt1@transremocao.com.br</t>
  </si>
  <si>
    <t>NG SOLUTIONS CONSULTORIA EM INFORMATICA E TELECOMUNICACOES LTDA.</t>
  </si>
  <si>
    <t>20.612.816/0001-83</t>
  </si>
  <si>
    <t>FABIANA</t>
  </si>
  <si>
    <t>(11) 98697-4957</t>
  </si>
  <si>
    <t>fabiana.rocha@ngsolutions.com.br</t>
  </si>
  <si>
    <t>EMPIRE NAGY COMERCIAL LTDA</t>
  </si>
  <si>
    <t>64.552.004/0001-65</t>
  </si>
  <si>
    <t xml:space="preserve">ANDREIA </t>
  </si>
  <si>
    <r>
      <rPr>
        <color rgb="FF000000"/>
        <u/>
      </rPr>
      <t>cheirinbaointergru@gmail.com</t>
    </r>
  </si>
  <si>
    <t>BAR E LANCHONETE BRILHANTE LTDA</t>
  </si>
  <si>
    <t>04.939.801/0001-78</t>
  </si>
  <si>
    <t>MARIA JOSIMERE</t>
  </si>
  <si>
    <t>(11)99810-9822</t>
  </si>
  <si>
    <t>496.brilhante@gmail.com</t>
  </si>
  <si>
    <t>AGENCIA C2G LTDA</t>
  </si>
  <si>
    <t>63.058.642/0001-61</t>
  </si>
  <si>
    <t>(43) 99186-3103</t>
  </si>
  <si>
    <t>regina.nonato@grupopermaneo.com.br</t>
  </si>
  <si>
    <t>SOBRAL ENSINO LTDA</t>
  </si>
  <si>
    <t>43.668.790/0001-90</t>
  </si>
  <si>
    <t>AGENCIA DO BEM MARKETING E PRODUTORA</t>
  </si>
  <si>
    <t>24.754.360/0001-47</t>
  </si>
  <si>
    <t>DAIANE</t>
  </si>
  <si>
    <t>daiane.araujo@bemboladobrasil.com.br</t>
  </si>
  <si>
    <t>PERMATECH TECNOLOGIA LTDA</t>
  </si>
  <si>
    <t>55.881.216/0001-03</t>
  </si>
  <si>
    <t>P.S.S - PETERS, SOARES E SIMOES LTDA</t>
  </si>
  <si>
    <t>66.298.395/0001-69</t>
  </si>
  <si>
    <t>Luciano Peters</t>
  </si>
  <si>
    <t>lucianopeters31@gmail.com</t>
  </si>
  <si>
    <t>TELLES SERVICOS E SOLUCOES EM TECNOLOGIA LTDA</t>
  </si>
  <si>
    <t>58.531.775/0001-73</t>
  </si>
  <si>
    <t>Wellington Teles</t>
  </si>
  <si>
    <t>wellington@telesservicos.com.br</t>
  </si>
  <si>
    <t>FEITOSA ALIMENTOS LTDA</t>
  </si>
  <si>
    <t>53.702.633/0001-08</t>
  </si>
  <si>
    <t>Aline Azevedo</t>
  </si>
  <si>
    <t>chef.empadaassai@gmail.com</t>
  </si>
  <si>
    <t>SMART QUALITY SOLUTIONS</t>
  </si>
  <si>
    <t>11 99556-6488</t>
  </si>
  <si>
    <r>
      <rPr>
        <rFont val="&quot;Aptos Narrow&quot;, sans-serif"/>
        <color rgb="FF1155CC"/>
        <sz val="8.0"/>
        <u/>
      </rPr>
      <t>pietra-travalon@hotmail.com</t>
    </r>
  </si>
  <si>
    <t>SMART QUALITY DEFENDER LTDA</t>
  </si>
  <si>
    <t>66.024.022/0001-08</t>
  </si>
  <si>
    <r>
      <rPr>
        <rFont val="&quot;Aptos Narrow&quot;, sans-serif"/>
        <color rgb="FF1155CC"/>
        <sz val="8.0"/>
        <u/>
      </rPr>
      <t>pietra-travalon@hotmail.com</t>
    </r>
  </si>
  <si>
    <t>SMART QUALITY TERCERIZACAO DE MAO DE OBRA LTDA</t>
  </si>
  <si>
    <t>44.216.811/0001-08</t>
  </si>
  <si>
    <r>
      <rPr>
        <rFont val="&quot;Aptos Narrow&quot;, sans-serif"/>
        <color rgb="FF1155CC"/>
        <sz val="8.0"/>
        <u/>
      </rPr>
      <t>pietra-travalon@hotmail.com</t>
    </r>
  </si>
  <si>
    <t>C.R.F. CONTABILIDADE E ASSESSORIA EMPRESARIAL S/S LTDA</t>
  </si>
  <si>
    <t>02.956.561/0001-94</t>
  </si>
  <si>
    <t>Natalia Cardoso</t>
  </si>
  <si>
    <t>(11) 5286-8822</t>
  </si>
  <si>
    <t>dp@crfcontabilidade.com.br</t>
  </si>
  <si>
    <t>PLB ACESSORIOS LTDA</t>
  </si>
  <si>
    <t>34.094.745/0001-89</t>
  </si>
  <si>
    <t>Ingrid</t>
  </si>
  <si>
    <t>(11) 3322-0554</t>
  </si>
  <si>
    <t>financeiro@nisc.com.br</t>
  </si>
  <si>
    <t>AGRO PECUARIA JOGIL EIRELI</t>
  </si>
  <si>
    <t>54.578.729/0003-30</t>
  </si>
  <si>
    <t>Adilson</t>
  </si>
  <si>
    <t>adilson@jogil.com.br</t>
  </si>
  <si>
    <t>R$ 250,00</t>
  </si>
  <si>
    <t>OPTRANS TRANSPORTES LTDA</t>
  </si>
  <si>
    <t>00.418.413/0001-90</t>
  </si>
  <si>
    <t>Sonia</t>
  </si>
  <si>
    <t>(11) 2955-9290</t>
  </si>
  <si>
    <t>optrans@terra.com.br</t>
  </si>
  <si>
    <t>SETHDROGAS DROGARIA LTDA</t>
  </si>
  <si>
    <t>11.351.869/0001-05</t>
  </si>
  <si>
    <t>Daiane</t>
  </si>
  <si>
    <t>(11) 3221-3309</t>
  </si>
  <si>
    <t>utilidadestictac@gmail.com</t>
  </si>
  <si>
    <t>LEITERIA DELICARI INDUSTRIA E COMERCIO LTDA (unidade)</t>
  </si>
  <si>
    <t>15.432.378/0003-01</t>
  </si>
  <si>
    <t>MARTA</t>
  </si>
  <si>
    <t>(11) 99010-0044</t>
  </si>
  <si>
    <t>rh@delicari.com.br</t>
  </si>
  <si>
    <t>LEITERIA DELICARI INDUSTRIA E COMERCIO LTDA</t>
  </si>
  <si>
    <t>15.432.378/0001-31</t>
  </si>
  <si>
    <t>NR-02rh@delicari.com.br</t>
  </si>
  <si>
    <t>NOVAS TECNOLOGIAS EM ALUMINIO LTDA</t>
  </si>
  <si>
    <t>14.314.391/0001-23</t>
  </si>
  <si>
    <t>LESSANDRO</t>
  </si>
  <si>
    <t>(11) 99662-3241</t>
  </si>
  <si>
    <r>
      <rPr>
        <rFont val="&quot;Aptos Narrow&quot;, sans-serif"/>
        <color rgb="FF1155CC"/>
        <sz val="8.0"/>
        <u/>
      </rPr>
      <t>lessandro@cvldobrasil.com.br</t>
    </r>
  </si>
  <si>
    <t>ALEXANDRE LUIZ DA HORA</t>
  </si>
  <si>
    <t>17.721.442/0001-20</t>
  </si>
  <si>
    <t>VALÉRIA</t>
  </si>
  <si>
    <t>(11) 3487-3660</t>
  </si>
  <si>
    <t>valeria.inac@bol.com.br</t>
  </si>
  <si>
    <t>CONDOMINIO EDIFICIO BOULEVARD</t>
  </si>
  <si>
    <t>54.061.320/0001-80</t>
  </si>
  <si>
    <t>MARIA DAS GRAÇAS</t>
  </si>
  <si>
    <t>11 5083-9863</t>
  </si>
  <si>
    <r>
      <rPr>
        <rFont val="&quot;Aptos Narrow&quot;, sans-serif"/>
        <color rgb="FF1155CC"/>
        <sz val="8.0"/>
        <u/>
      </rPr>
      <t>sindico@boulevard.net.br</t>
    </r>
  </si>
  <si>
    <t xml:space="preserve"> GB TRANSPORTES</t>
  </si>
  <si>
    <t>Ricardo José Venâncio</t>
  </si>
  <si>
    <r>
      <rPr>
        <color rgb="FF1155CC"/>
        <u/>
      </rPr>
      <t>shallon_monit24hs@hotmail.com</t>
    </r>
  </si>
  <si>
    <t>CONDOMINIO EDIFICIO SAO CAMILO</t>
  </si>
  <si>
    <t>54.030.176/0001-15</t>
  </si>
  <si>
    <t>NEUZA</t>
  </si>
  <si>
    <t>(11) 98132-5557</t>
  </si>
  <si>
    <t>neuzapaiva10@terra.com.br</t>
  </si>
  <si>
    <t>BANCA JORNAL EST. JANDIRA</t>
  </si>
  <si>
    <t>43.008.970/0001-46</t>
  </si>
  <si>
    <t>BRUNO</t>
  </si>
  <si>
    <t>11 95586-1839</t>
  </si>
  <si>
    <t>marx.bancas@gmail.com</t>
  </si>
  <si>
    <t>BANCA DOMINGO DE MORAIS LTDA</t>
  </si>
  <si>
    <t>37.769.003/0001-02</t>
  </si>
  <si>
    <t>MILENA</t>
  </si>
  <si>
    <r>
      <rPr>
        <color rgb="FF000000"/>
        <u/>
      </rPr>
      <t>fortimport.adm@gmail.com</t>
    </r>
  </si>
  <si>
    <t>NLA PLASTIC INDUSTRIA E COMERCIO DE PRODUTOS DESCARTAVEIS LTDA</t>
  </si>
  <si>
    <t>33.821.843/0001-08</t>
  </si>
  <si>
    <t>11 91306-0903</t>
  </si>
  <si>
    <t>marcela@nlaplastic.com.br</t>
  </si>
  <si>
    <t>MR ACRILICOS COMERCIAL LTDA</t>
  </si>
  <si>
    <t>54.973.063/0001-53</t>
  </si>
  <si>
    <t>ANGELO</t>
  </si>
  <si>
    <t>29/05/2026 SERVIÇO CANCELADO.</t>
  </si>
  <si>
    <t>RITA TOBAL</t>
  </si>
  <si>
    <t>04.938.736/0001-66</t>
  </si>
  <si>
    <t xml:space="preserve">RITA </t>
  </si>
  <si>
    <t>ritatobal@yahoo.com.br</t>
  </si>
  <si>
    <t>LABORATORIO DE PROTESE DENTARIA VALMIR RAPOSO LTDA</t>
  </si>
  <si>
    <t>03.001.308/0001-40</t>
  </si>
  <si>
    <t>Flavia</t>
  </si>
  <si>
    <t>11 94026-2282</t>
  </si>
  <si>
    <t>implafox@implafox.com.br</t>
  </si>
  <si>
    <t>CHEDA EMPREENDIMENTOS LTDA</t>
  </si>
  <si>
    <t>44.025.690/0001-09</t>
  </si>
  <si>
    <t>Liane</t>
  </si>
  <si>
    <t>11 3255-3770</t>
  </si>
  <si>
    <t>adm@hotelipanemainn.com.br</t>
  </si>
  <si>
    <t>IMPERATRIZ DESIGN MOVEIS LTDA</t>
  </si>
  <si>
    <t>47.978.013/0001-01</t>
  </si>
  <si>
    <t>11) 98273-3564</t>
  </si>
  <si>
    <t>imperatrizdesign1@gmail.com,</t>
  </si>
  <si>
    <t>JC2 TEXTIL LTDA</t>
  </si>
  <si>
    <t>19.682.502/0001-78</t>
  </si>
  <si>
    <t>Cleciene Rosa</t>
  </si>
  <si>
    <r>
      <rPr>
        <rFont val="&quot;Aptos Narrow&quot;, sans-serif"/>
        <color rgb="FF1155CC"/>
        <sz val="8.0"/>
        <u/>
      </rPr>
      <t>cleciene.jc2@yahoo.com</t>
    </r>
  </si>
  <si>
    <t>GOLDEN PROTECTION CORRETORA DE SEGUROS LTDA</t>
  </si>
  <si>
    <t>19.557.649/0001-36</t>
  </si>
  <si>
    <t>Flavio Coelho</t>
  </si>
  <si>
    <t>(11)98335-4765</t>
  </si>
  <si>
    <t>flaviocoelho@goldenpro.com.br</t>
  </si>
  <si>
    <t>ZENITH JOIAS E ALIANCAS LTDA</t>
  </si>
  <si>
    <t>59.908.026/0001-85</t>
  </si>
  <si>
    <t>Luiz</t>
  </si>
  <si>
    <t>(11)971981988</t>
  </si>
  <si>
    <r>
      <rPr>
        <rFont val="&quot;Aptos Narrow&quot;, sans-serif"/>
        <color rgb="FF1155CC"/>
        <sz val="8.0"/>
        <u/>
      </rPr>
      <t>luiz@zenithjoalheria.com</t>
    </r>
  </si>
  <si>
    <t>AVANTGARDE CURSOS</t>
  </si>
  <si>
    <t>37.224.203/0001-71</t>
  </si>
  <si>
    <t xml:space="preserve">KARINA </t>
  </si>
  <si>
    <r>
      <rPr>
        <rFont val="Arial"/>
        <color rgb="FF1155CC"/>
        <u/>
      </rPr>
      <t>karina.segundo@avantgardegroup.com.br</t>
    </r>
  </si>
  <si>
    <t>AGUIAR DUARTE SERVIÇOS MEDICOS</t>
  </si>
  <si>
    <t>27.165.774/0001-29</t>
  </si>
  <si>
    <r>
      <rPr>
        <rFont val="Arial"/>
        <color rgb="FF1155CC"/>
        <u/>
      </rPr>
      <t>karina.segundo@avantgardegroup.com.br</t>
    </r>
  </si>
  <si>
    <t>R.A.BEAUTY COSMETICOS LTD</t>
  </si>
  <si>
    <t>17.233.009/0001-45</t>
  </si>
  <si>
    <t>11 95168-7554</t>
  </si>
  <si>
    <r>
      <rPr>
        <color rgb="FF000000"/>
        <u/>
      </rPr>
      <t>adriana.freitas.rab@gmail.com</t>
    </r>
  </si>
  <si>
    <t>MSVB VIANA EXAMES MEDICOS LTDA</t>
  </si>
  <si>
    <t>12.357.571/0001-67</t>
  </si>
  <si>
    <t>Thais Martyr</t>
  </si>
  <si>
    <t>(11) 5051-5969</t>
  </si>
  <si>
    <r>
      <rPr>
        <color rgb="FF000000"/>
        <sz val="11.0"/>
        <u/>
      </rPr>
      <t>financeiro@monicaviana.com.b</t>
    </r>
    <r>
      <rPr>
        <color rgb="FF000000"/>
        <sz val="11.0"/>
      </rPr>
      <t>r</t>
    </r>
  </si>
  <si>
    <t xml:space="preserve">PACOTE, AET E LTIP </t>
  </si>
  <si>
    <t>SSOMED/SITE</t>
  </si>
  <si>
    <t>SEU CARRO FACIL ASSESSORIA AUTOMOTIVA LTDA</t>
  </si>
  <si>
    <t>24.946.293/0001-62</t>
  </si>
  <si>
    <t>(11)99702-9738</t>
  </si>
  <si>
    <t>contato@seucarrofacil.com</t>
  </si>
  <si>
    <t>PERON &amp; MOTZKO EDUCACIONAL LTDA</t>
  </si>
  <si>
    <t>42.921.498/0001-75</t>
  </si>
  <si>
    <t>Jeane</t>
  </si>
  <si>
    <t>(11) 4301-0143</t>
  </si>
  <si>
    <t>santoamaro@cna.com.br</t>
  </si>
  <si>
    <t>RIO PEQUENO EDUCACIONAL LTDA</t>
  </si>
  <si>
    <t>49.494.463/0001-46</t>
  </si>
  <si>
    <t>Leandro</t>
  </si>
  <si>
    <t>1199593-8801</t>
  </si>
  <si>
    <t>peron@cna.com.br</t>
  </si>
  <si>
    <t>CJL EDUCACIONAL LTDA</t>
  </si>
  <si>
    <t>44.379.232/0001-78</t>
  </si>
  <si>
    <t>(11 99128-9654</t>
  </si>
  <si>
    <t>cidadelider@cna.com.br</t>
  </si>
  <si>
    <t>PERON EDUCACIONAL LTDA</t>
  </si>
  <si>
    <t>10.189.072/0001-82</t>
  </si>
  <si>
    <t>(11) 2532-1400</t>
  </si>
  <si>
    <t>R$ 241,67</t>
  </si>
  <si>
    <t>BRA-17 MODAS LTDA</t>
  </si>
  <si>
    <t>01.210.009/0001-90</t>
  </si>
  <si>
    <t>Orivaldo</t>
  </si>
  <si>
    <t>(11)968525697</t>
  </si>
  <si>
    <t>vadoribeiro68@gmail.com</t>
  </si>
  <si>
    <t>PROVER SOLUCOES EM TECNOLOGIA LTDA</t>
  </si>
  <si>
    <t>11.015.549/0001-76</t>
  </si>
  <si>
    <t>Diego / Yathiaia</t>
  </si>
  <si>
    <t>comercial@provertec.com.br</t>
  </si>
  <si>
    <t>J.L.V SERVICOS LTDA</t>
  </si>
  <si>
    <t>45.958.903/0001-18</t>
  </si>
  <si>
    <t>LUCILENE / IVAN</t>
  </si>
  <si>
    <t>jlv@jlvservicos.com.br</t>
  </si>
  <si>
    <t>SMR SEGURANCA LTDA</t>
  </si>
  <si>
    <t>54.083.053/0001-42</t>
  </si>
  <si>
    <t>NAMAI ACESSORIOS LTDA</t>
  </si>
  <si>
    <t>20.332.166/0001-12</t>
  </si>
  <si>
    <t>Nilson Lee</t>
  </si>
  <si>
    <t>xlee2000@hotmail.com</t>
  </si>
  <si>
    <t>NAMAX ACESSORIOS LTDA</t>
  </si>
  <si>
    <t>39.729.502/0001-93</t>
  </si>
  <si>
    <t>NILSON LEE</t>
  </si>
  <si>
    <t>17.455.930/0001-32</t>
  </si>
  <si>
    <t>RCB INVESTIMENTOS S.A</t>
  </si>
  <si>
    <t>08.823.301/0001-27</t>
  </si>
  <si>
    <t>Edinailson</t>
  </si>
  <si>
    <t>(11) 2874-1174</t>
  </si>
  <si>
    <r>
      <rPr>
        <rFont val="&quot;Aptos Narrow&quot;, sans-serif"/>
        <color rgb="FF1155CC"/>
        <sz val="8.0"/>
        <u/>
      </rPr>
      <t>esantos@rcbinv.com.br</t>
    </r>
  </si>
  <si>
    <t>NR-24</t>
  </si>
  <si>
    <t>MOREIRA DO VALLE DECORACOES E EVENTOS LTDA</t>
  </si>
  <si>
    <t>72.733.041/0001-06</t>
  </si>
  <si>
    <t>(11) 97543-1445</t>
  </si>
  <si>
    <t>administrativo@moreiradovalle.com.br</t>
  </si>
  <si>
    <t>ADRIANA PASSOS BRESCIANI</t>
  </si>
  <si>
    <t>21.147.894/0001-17</t>
  </si>
  <si>
    <t>(11) 3326-1818</t>
  </si>
  <si>
    <t>contato@dribresciani.com.br</t>
  </si>
  <si>
    <t>A1 CERT DIGITAL E TECNOLOGIAS LTDA</t>
  </si>
  <si>
    <t>50.658.650/0001-05</t>
  </si>
  <si>
    <t>Bruna</t>
  </si>
  <si>
    <t>11 94027-0653</t>
  </si>
  <si>
    <t>brunastefanireis@gmail.com</t>
  </si>
  <si>
    <t>BRILANZE ILUMINACAO LTDA</t>
  </si>
  <si>
    <t>17.461.792/0001-02</t>
  </si>
  <si>
    <t xml:space="preserve">Renato </t>
  </si>
  <si>
    <t xml:space="preserve">      financeiro@brilanze.com.br</t>
  </si>
  <si>
    <t>ITALIA ESTACIONAMENTOS E VALET LTDA</t>
  </si>
  <si>
    <t>49.482.833/0001-25</t>
  </si>
  <si>
    <t xml:space="preserve">ALESSANDRA </t>
  </si>
  <si>
    <t>11 94010-6055</t>
  </si>
  <si>
    <t>alessandra@mrvalet.com.b</t>
  </si>
  <si>
    <t>COMIC´S ENTRETENIMENTOS LTDA.</t>
  </si>
  <si>
    <t>05.019.251/0001-31</t>
  </si>
  <si>
    <t>contatobuffetcomics@gmail.com</t>
  </si>
  <si>
    <t>SALETE HISAMI OKAMOTO NAGAMINE</t>
  </si>
  <si>
    <t>21.936.440/0001-25</t>
  </si>
  <si>
    <t>CELSO</t>
  </si>
  <si>
    <t>(11) 94787-0264</t>
  </si>
  <si>
    <r>
      <rPr>
        <rFont val="&quot;Aptos Narrow&quot;, sans-serif"/>
        <color rgb="FF1155CC"/>
        <sz val="8.0"/>
        <u/>
      </rPr>
      <t>contato@toncomton.com.br</t>
    </r>
  </si>
  <si>
    <t>KING PELICULAS E ACESSORIOS LTDA</t>
  </si>
  <si>
    <t>33.419.973/0001-19</t>
  </si>
  <si>
    <t>AMI - ASSOCIACAO DE MIDIA INTERATIVA (IAB BRASIL)</t>
  </si>
  <si>
    <t>02.861.708/0001-62</t>
  </si>
  <si>
    <t>Denise / Eduarda</t>
  </si>
  <si>
    <t>(11)97187-4399</t>
  </si>
  <si>
    <t>duda@iabbrasil.org.br</t>
  </si>
  <si>
    <t>ASSOC BRAS DE NEUR E PSIQ INFANTIL - ABENEPI NACIONAL</t>
  </si>
  <si>
    <t>00.336.318/0001-48</t>
  </si>
  <si>
    <t>Lucia</t>
  </si>
  <si>
    <t>11 98459-5884</t>
  </si>
  <si>
    <t>secretaria@abenepi.org.br</t>
  </si>
  <si>
    <t>ULSA BRASIL LTDA</t>
  </si>
  <si>
    <t>66.664.184/0001-00</t>
  </si>
  <si>
    <t>Demian</t>
  </si>
  <si>
    <t>(11) 91991-5451</t>
  </si>
  <si>
    <t>dmaciel@ulsagroup.com</t>
  </si>
  <si>
    <t>PACOTE SST+ NR01</t>
  </si>
  <si>
    <t>S.O.S TURISMO LTDA</t>
  </si>
  <si>
    <t>09.517.844/0001-89</t>
  </si>
  <si>
    <t>(47) 99217-8833</t>
  </si>
  <si>
    <t>THAIS</t>
  </si>
  <si>
    <t>thais.silva@mundodosvistos.com.br</t>
  </si>
  <si>
    <t>DC SOLUTIONS COMERCIO E SERVICOS VIRTUAIS LTDA</t>
  </si>
  <si>
    <t>15.582.432/0001-25</t>
  </si>
  <si>
    <r>
      <rPr>
        <rFont val="&quot;Aptos Narrow&quot;, sans-serif"/>
        <color rgb="FF1155CC"/>
        <sz val="8.0"/>
        <u/>
      </rPr>
      <t>thais.silva@mundodosvistos.com.br</t>
    </r>
  </si>
  <si>
    <t>BANCA ESTAÇÃO JANDIRA LTDA</t>
  </si>
  <si>
    <r>
      <rPr>
        <rFont val="Arial, sans-serif"/>
        <color rgb="FF1155CC"/>
        <sz val="8.0"/>
        <u/>
      </rPr>
      <t>marx.bancas@gmail.com</t>
    </r>
  </si>
  <si>
    <t>PACOTE SST+ NR-01</t>
  </si>
  <si>
    <r>
      <rPr>
        <rFont val="Arial, sans-serif"/>
        <color rgb="FF1155CC"/>
        <sz val="8.0"/>
        <u/>
      </rPr>
      <t>marx.bancas@gmail.com</t>
    </r>
  </si>
  <si>
    <t>11 97051-5065</t>
  </si>
  <si>
    <r>
      <rPr>
        <rFont val="Arial, sans-serif"/>
        <color rgb="FF1155CC"/>
        <sz val="8.0"/>
        <u/>
      </rPr>
      <t>financeiro.ebenezershop@gmail.com</t>
    </r>
  </si>
  <si>
    <t>AUDIOMETRIAS IN COMPANY</t>
  </si>
  <si>
    <t>OBS: EMPRESA REALIZOU EXAMES IN COMPANY JA EM CONTRATO, PORÉM REALIZARAM AUDIOMETRIAS Á FATURAR, POR ISSO INCLUSA NA PLANILHA.</t>
  </si>
  <si>
    <t>COMERCIO DE ALIMENTOS DA TERRA LTDA</t>
  </si>
  <si>
    <t>24.929.272/0001-39</t>
  </si>
  <si>
    <t>Fabiano</t>
  </si>
  <si>
    <t>(11)989658224</t>
  </si>
  <si>
    <t>armazemdocamposp@gmail.com</t>
  </si>
  <si>
    <r>
      <rPr>
        <color rgb="FF000000"/>
        <sz val="10.0"/>
        <u/>
      </rPr>
      <t>brunalima@segurancarl.com</t>
    </r>
  </si>
  <si>
    <t xml:space="preserve">já havia fechado com outra empresa </t>
  </si>
  <si>
    <t xml:space="preserve">SEM CONTATO - FRIA / 08/06 - Sem contato com a empresa! </t>
  </si>
  <si>
    <t xml:space="preserve"> EQUILÍBRIO DESINSETIZADORA LTDA EPP</t>
  </si>
  <si>
    <t>Rian Renen Ferreira Oliveira</t>
  </si>
  <si>
    <t>NR6</t>
  </si>
  <si>
    <t xml:space="preserve">RETORNO NO DIA 18/05 - FRIA / 08/ 06 -  </t>
  </si>
  <si>
    <r>
      <rPr>
        <color rgb="FF000000"/>
        <sz val="10.0"/>
        <u/>
      </rPr>
      <t>jaqueline.nolle@gmail.com</t>
    </r>
  </si>
  <si>
    <t>cobrar retorno do email</t>
  </si>
  <si>
    <t>RETORNO NO DIA 18/05 - FRIA / COM DIVERSAS TENTATIVAS POR E-MAIL E TELEFONE, ENCERRO O CONTATO.</t>
  </si>
  <si>
    <t xml:space="preserve">RETORNO NO DIA 18/05 - FRIA / Pela falta de comunicação, estou declinando o contato. </t>
  </si>
  <si>
    <r>
      <rPr>
        <color rgb="FF000000"/>
        <sz val="10.0"/>
        <u/>
      </rPr>
      <t>karina.segundo@avantgardegroup.com.br</t>
    </r>
  </si>
  <si>
    <t>ROZELI MONTES DE JESUS</t>
  </si>
  <si>
    <t>44.953.688/0001-08</t>
  </si>
  <si>
    <t>Marlene</t>
  </si>
  <si>
    <t>financeiro@jmloc.com.br</t>
  </si>
  <si>
    <t>NÃO OBTIVE CONTATO COM A EMPRESA, TENTAR RETORNO DIA 18/05 e atualizar a proposta / SEM RETORNO</t>
  </si>
  <si>
    <r>
      <rPr>
        <color rgb="FF000000"/>
        <sz val="10.0"/>
        <u/>
      </rPr>
      <t>elevadoresja@gmail.com</t>
    </r>
  </si>
  <si>
    <t>RETORNO NO DIA 18/05 - FRIA / SEM RETORNO</t>
  </si>
  <si>
    <r>
      <rPr>
        <rFont val="Arial"/>
        <color theme="1"/>
      </rPr>
      <t xml:space="preserve">RETORNO NO DIA 18/05 - FRIA ? 25/05- ligar 15h/ </t>
    </r>
    <r>
      <rPr>
        <rFont val="Arial"/>
        <b/>
        <color theme="1"/>
      </rPr>
      <t xml:space="preserve">Pediu para ligar 26/05 - não tinha visto email / 08/06 - CAIXA POSTAL / </t>
    </r>
    <r>
      <rPr>
        <rFont val="Arial"/>
        <color theme="1"/>
      </rPr>
      <t xml:space="preserve">SEM RETORNO, PROPOSTA CANCELADA </t>
    </r>
  </si>
  <si>
    <t>RETORNO NO DIA 18/05 - FRIA / 25/05- ainda está em análise./ Sem contato / 19/06 - Em contato com a empresa, a mesma iniciou o serviço sem os treinamentos!</t>
  </si>
  <si>
    <t xml:space="preserve">INDICAÇÃO DO ALE, RETORNO NO DIA 18/05 . Telefone da contabiliade / Não passou fone da empresa. / 19/06 - Infelizmente não obtive contato desde o inico da semana, cancelei por falta de comunicação </t>
  </si>
  <si>
    <t>JOILSON MARTINS MOREIRA</t>
  </si>
  <si>
    <t>13.009.046.0001/13</t>
  </si>
  <si>
    <t>29/05/0206</t>
  </si>
  <si>
    <t>GRUPO LUSANOVA DO BRASIL OPERADORA DE TURISMO LIMITADA</t>
  </si>
  <si>
    <t>03.973.259/0001-07</t>
  </si>
  <si>
    <t>MARIA ALDENISE</t>
  </si>
  <si>
    <t>aldenise.goncalves@lusanova.com.br</t>
  </si>
  <si>
    <r>
      <rPr>
        <rFont val="Arial"/>
        <color rgb="FF000000"/>
        <sz val="10.0"/>
      </rPr>
      <t xml:space="preserve">RETORNO DIA 18/05 - QUENTE (19/05: NA - encaminhado email novamente). 25/05: Tem que aguardar o evento CASA COR. inicia em </t>
    </r>
    <r>
      <rPr>
        <rFont val="Arial"/>
        <b/>
        <color rgb="FF000000"/>
        <sz val="10.0"/>
      </rPr>
      <t>02/06 / 19/06 - Caixa postal / 22/06 - Aguardando o contato e retorno no dia 24/06 - PROPOSTA FRIA - VINICIUS - 30-06</t>
    </r>
  </si>
  <si>
    <t>VELOSO MARTINS SERVICOS MEDICOS LTDA</t>
  </si>
  <si>
    <t>61.548.099/0001-55</t>
  </si>
  <si>
    <t>Pablo</t>
  </si>
  <si>
    <t>(11) 3214-0321</t>
  </si>
  <si>
    <r>
      <rPr>
        <rFont val="&quot;Arial&quot;,sans-serif"/>
        <color rgb="FF000000"/>
        <sz val="10.0"/>
        <u/>
      </rPr>
      <t>pablovellos@hotmail.com</t>
    </r>
  </si>
  <si>
    <t>MAGEO SOLUCOES EM GEOTECNIA LTDA</t>
  </si>
  <si>
    <t>53.366.585/0001-24</t>
  </si>
  <si>
    <t>Lais</t>
  </si>
  <si>
    <t>rh@mageo.com</t>
  </si>
  <si>
    <t>PCMSO e PGR</t>
  </si>
  <si>
    <t>GLOBALMAR2 COMÉRCIO AQUECEDORES PARA PISCINA</t>
  </si>
  <si>
    <t>53.135.672/0001-70</t>
  </si>
  <si>
    <t>Bruno Miranda</t>
  </si>
  <si>
    <t>11(98521-8661)</t>
  </si>
  <si>
    <t>globalmar2318@gmail.com</t>
  </si>
  <si>
    <t>SAVVY PRINT LTDA</t>
  </si>
  <si>
    <t>60.212.812/0001-22</t>
  </si>
  <si>
    <t>Fernanda</t>
  </si>
  <si>
    <t>financeiro.savvyprint@gmail.com</t>
  </si>
  <si>
    <t>INTELEXIA SOLUCOES LTDA</t>
  </si>
  <si>
    <t>35.279.266/0001-08</t>
  </si>
  <si>
    <t>Caio Roberto</t>
  </si>
  <si>
    <t>caio@grupodpg.com.br</t>
  </si>
  <si>
    <t>CK ESCOLA DE EDUCACAO INFANTIL E FUNDAMENTAL LTDA</t>
  </si>
  <si>
    <t>17.101.550/0001-08</t>
  </si>
  <si>
    <t>Isaac / Darling</t>
  </si>
  <si>
    <t>11945307275 / 82981460399</t>
  </si>
  <si>
    <t>financeiro@soletrando.com.br</t>
  </si>
  <si>
    <t>TATTOO SUPPLY COMERCIO LTDA</t>
  </si>
  <si>
    <t>43.271.830/0001-66</t>
  </si>
  <si>
    <t>deborapereira@luizis.com.br</t>
  </si>
  <si>
    <t>SENSEN TATTOO LTDA</t>
  </si>
  <si>
    <t>47.069.120/0002-90</t>
  </si>
  <si>
    <r>
      <rPr>
        <rFont val="Arial"/>
        <color rgb="FF000000"/>
        <u/>
      </rPr>
      <t>deborapereira@luizis.com.br</t>
    </r>
  </si>
  <si>
    <t>LASI ADVANCED REPRESENTACAO COMERCIAL DE PRODUTOS CIENTIFICOS LTDA</t>
  </si>
  <si>
    <t>46.999.945/0001-60</t>
  </si>
  <si>
    <t>Sharla Elizabete</t>
  </si>
  <si>
    <t>1199955-5912</t>
  </si>
  <si>
    <t>sharla.aragao@lasiadvanced.com</t>
  </si>
  <si>
    <t>PACOTE SST + TREINAMENTOS</t>
  </si>
  <si>
    <t>PACA TATU PRODUCOES LTDA</t>
  </si>
  <si>
    <t>12.383.033/0001-47</t>
  </si>
  <si>
    <t>daniela.pacatatu@gmail.com</t>
  </si>
  <si>
    <t>NR01 PSICOSSOCIAL</t>
  </si>
  <si>
    <t>SICUREZZA FACILITIES LTDA</t>
  </si>
  <si>
    <t>64.268.291/0001-86</t>
  </si>
  <si>
    <t>Luiz Fernando</t>
  </si>
  <si>
    <t xml:space="preserve"> financeiro_invicta@invictasolucoeseservicos.com.br</t>
  </si>
  <si>
    <t>PGR + PCMSO + NR01</t>
  </si>
  <si>
    <t>NEVADA SERVICOS TERCEIRIZADOS LTDA</t>
  </si>
  <si>
    <t>12.095.551/0001-65</t>
  </si>
  <si>
    <t>Grazielle</t>
  </si>
  <si>
    <r>
      <rPr>
        <rFont val="Roboto"/>
        <color rgb="FF000000"/>
      </rPr>
      <t xml:space="preserve"> </t>
    </r>
    <r>
      <rPr>
        <rFont val="Arial"/>
        <color rgb="FF000000"/>
        <u/>
      </rPr>
      <t>gestao04@nevadaterceirizados.com.br</t>
    </r>
  </si>
  <si>
    <t>NR15 LAUDO</t>
  </si>
  <si>
    <t>SEM CONTATO POR TELEFONE, RETORNO DIA 18/05 - FRIA - PROPOSTA FRIA - VINICIUS - 30-06'</t>
  </si>
  <si>
    <r>
      <rPr>
        <rFont val="Arial, sans-serif"/>
        <color rgb="FFFF0000"/>
        <sz val="10.0"/>
      </rPr>
      <t xml:space="preserve">RETORNO DIA 18/05 - QUENTE / (19/05 encaminhado email cobrando -NA) - 20/05: Eduardo em reunião. Iam dar recado para retornar. 25/05; NÃO ATENDE/ </t>
    </r>
    <r>
      <rPr>
        <rFont val="Arial, sans-serif"/>
        <b/>
        <color rgb="FFFF0000"/>
        <sz val="10.0"/>
      </rPr>
      <t>26-06 FLAVIA DISSE QUE AINDA NÃO FECHARAM. ESTÃO EM AVALIAÇÃO. - E-MAIL EVIADO - 30-06 - VINICIUS</t>
    </r>
  </si>
  <si>
    <r>
      <rPr>
        <rFont val="Arial"/>
        <color rgb="FF000000"/>
        <sz val="10.0"/>
        <u/>
      </rPr>
      <t>(11) 98383-5566</t>
    </r>
  </si>
  <si>
    <r>
      <rPr>
        <color rgb="FF000000"/>
        <sz val="10.0"/>
        <u/>
      </rPr>
      <t>brizbakery@gmail.com</t>
    </r>
  </si>
  <si>
    <r>
      <rPr>
        <color rgb="FF000000"/>
        <sz val="10.0"/>
        <u/>
      </rPr>
      <t>shallon_monit24hs@hotmail.com</t>
    </r>
  </si>
  <si>
    <r>
      <rPr>
        <color rgb="FF000000"/>
        <sz val="10.0"/>
        <u/>
      </rPr>
      <t>karina.segundo@avantgardegroup.com.br</t>
    </r>
  </si>
  <si>
    <t>VELOX COMERCIAL EIRELI</t>
  </si>
  <si>
    <t>DYNAMIS COMERCIO E SERVICOS LTDA</t>
  </si>
  <si>
    <t>04.997.610/0001-62</t>
  </si>
  <si>
    <t xml:space="preserve">SOARES </t>
  </si>
  <si>
    <r>
      <rPr>
        <color rgb="FF1155CC"/>
        <sz val="10.0"/>
        <u/>
      </rPr>
      <t>compras@dynamis.ind.b</t>
    </r>
    <r>
      <rPr>
        <color rgb="FF000000"/>
        <sz val="10.0"/>
      </rPr>
      <t>r</t>
    </r>
  </si>
  <si>
    <t>AEP E NR01</t>
  </si>
  <si>
    <t>02/062026</t>
  </si>
  <si>
    <t>CURICA'S PASTEIS LTDA</t>
  </si>
  <si>
    <t>34.977.852/0001-55</t>
  </si>
  <si>
    <t>Ester Pereira de Sousa Rodrigues</t>
  </si>
  <si>
    <t>11 986891179</t>
  </si>
  <si>
    <t xml:space="preserve"> ester.amg@hotmail.com</t>
  </si>
  <si>
    <t>A. H. CONSTRUCAO LTDA</t>
  </si>
  <si>
    <t>66.981.852/0001-15</t>
  </si>
  <si>
    <t>Julia Máximo</t>
  </si>
  <si>
    <t>(13) 98143-9246</t>
  </si>
  <si>
    <r>
      <rPr>
        <color rgb="FF1155CC"/>
        <sz val="10.0"/>
        <u/>
      </rPr>
      <t>juliamaximodf@gmail.com</t>
    </r>
  </si>
  <si>
    <t xml:space="preserve">PGR PCMSO E NR01 </t>
  </si>
  <si>
    <r>
      <rPr>
        <color rgb="FF000000"/>
        <sz val="10.0"/>
        <u/>
      </rPr>
      <t>rh@turimcondominios.com.br</t>
    </r>
  </si>
  <si>
    <r>
      <rPr>
        <color rgb="FF000000"/>
        <sz val="10.0"/>
        <u/>
      </rPr>
      <t>adriana.freitas.rab@gmail.com</t>
    </r>
  </si>
  <si>
    <t>CONSERVADORA PAULISTA COMERCIO SERVICOS E GESTAO LTDA</t>
  </si>
  <si>
    <t>64.657.110/0001-03</t>
  </si>
  <si>
    <t xml:space="preserve">06/05 - aguardando retorno da diretoria - 15/05 - sem retorno - 26/05/2026 - deixara para o proximo mes - Não atendi </t>
  </si>
  <si>
    <t>CONSELHO REGIONAL DE BIBLIOTECONOMIA 8 REGIAO</t>
  </si>
  <si>
    <t>62.634.167/0001-61</t>
  </si>
  <si>
    <t>ANA CLAUDIA</t>
  </si>
  <si>
    <t xml:space="preserve">(11) 5082-1404 </t>
  </si>
  <si>
    <t>adm@crb8.org.br</t>
  </si>
  <si>
    <t>retornar depois dia 20/06- LUCAS =&gt; confirmado se tratar de licitação</t>
  </si>
  <si>
    <r>
      <rPr>
        <color rgb="FF000000"/>
        <sz val="10.0"/>
        <u/>
      </rPr>
      <t>cheirinbaointergru@gmail.com</t>
    </r>
  </si>
  <si>
    <t>BERLIM ADMINISTRADORA LTDA</t>
  </si>
  <si>
    <t>33.873.011/0001-35</t>
  </si>
  <si>
    <r>
      <rPr>
        <rFont val="-apple-system, &quot;Segoe UI&quot;, Roboto, sans-serif"/>
        <color rgb="FF1155CC"/>
        <sz val="10.0"/>
        <u/>
      </rPr>
      <t>compras@dynamis.ind.b</t>
    </r>
    <r>
      <rPr>
        <color rgb="FF000000"/>
        <sz val="10.0"/>
      </rPr>
      <t>r</t>
    </r>
  </si>
  <si>
    <t>VIBRA REABILITACAO E SAUDE LTDA</t>
  </si>
  <si>
    <t>63.899.957/0001-31</t>
  </si>
  <si>
    <t>Valeria</t>
  </si>
  <si>
    <t>11 98513-5024</t>
  </si>
  <si>
    <r>
      <rPr>
        <color rgb="FF000000"/>
        <sz val="10.0"/>
        <u/>
      </rPr>
      <t>vibrareabilitacao@gmail.com</t>
    </r>
  </si>
  <si>
    <t>SL INFINITY GYM ATIVIDADES FISICAS E ESPORTIVAS LTDA</t>
  </si>
  <si>
    <t>60.173.163/0001-06</t>
  </si>
  <si>
    <t>Henrique Machado Amaral</t>
  </si>
  <si>
    <r>
      <rPr>
        <color rgb="FF000000"/>
        <sz val="10.0"/>
        <u/>
      </rPr>
      <t>(32) 99903-536</t>
    </r>
    <r>
      <rPr>
        <color rgb="FF000000"/>
        <sz val="10.0"/>
      </rPr>
      <t>9</t>
    </r>
  </si>
  <si>
    <r>
      <rPr>
        <color rgb="FF000000"/>
        <sz val="10.0"/>
        <u/>
      </rPr>
      <t>administrativo@</t>
    </r>
    <r>
      <rPr>
        <color rgb="FF000000"/>
        <sz val="10.0"/>
      </rPr>
      <t>infinityathleticclub.com.br</t>
    </r>
  </si>
  <si>
    <t>ligar- CAILLANE- cliente desliga na cara em todas tentativas 30/06/2026 Vitória : em ligação concedi desconto para assinatura, o cliente sumiu depois disso não atendi mais as ligações.</t>
  </si>
  <si>
    <t xml:space="preserve">BALISE  SERVICOS DE APOIO ADMINISTRATIVO EIRELI </t>
  </si>
  <si>
    <t>31.544.175/0001-93</t>
  </si>
  <si>
    <t>Edlilene</t>
  </si>
  <si>
    <t>11 94046-7569</t>
  </si>
  <si>
    <t>edilene.costa@servapoio.com.br</t>
  </si>
  <si>
    <t>BMS SERVICOS DE APOIO ADMINISTRATIVO LTDA</t>
  </si>
  <si>
    <t>31.456.467/0001-74</t>
  </si>
  <si>
    <t>Milton</t>
  </si>
  <si>
    <t>11 94788-2562</t>
  </si>
  <si>
    <t>milton.oliveira@servapoio.com.br</t>
  </si>
  <si>
    <t>BRAX SERVICOS DE APOIO ADMINISTRATIVO LTDA</t>
  </si>
  <si>
    <t>31.418.923/0001-91</t>
  </si>
  <si>
    <t>Cleverson</t>
  </si>
  <si>
    <t>11 99283-7169</t>
  </si>
  <si>
    <t>cleverson.dantas@servapoio.com.br</t>
  </si>
  <si>
    <t>CRDIAS SERVICOS DE APOIO ADMINISTRATIVO EIRELI</t>
  </si>
  <si>
    <t>31.415.260/0001-51</t>
  </si>
  <si>
    <t>11 94791-8494</t>
  </si>
  <si>
    <t>cristiano.souza@servapoio.com.br</t>
  </si>
  <si>
    <t xml:space="preserve">FSA  SERVICOS DE APOIO ADMINISTRATIVO EIRELI </t>
  </si>
  <si>
    <t>31.528.218/0001-47</t>
  </si>
  <si>
    <t>Alexandro</t>
  </si>
  <si>
    <t>11 94788-4126</t>
  </si>
  <si>
    <t>alexandro.felipe@servapoio.com.br</t>
  </si>
  <si>
    <t>GLOBAL COMISSARIA DE AVARIAS LTDA</t>
  </si>
  <si>
    <t>08.239.389/0001-34</t>
  </si>
  <si>
    <t>Ismael</t>
  </si>
  <si>
    <t>11 94791-8486</t>
  </si>
  <si>
    <t>ismael@servapoio.com.br</t>
  </si>
  <si>
    <t>MAXS SERVICOS DE APOIO ADMINISTRATIVO EIRELI</t>
  </si>
  <si>
    <t>31.344.525/0001-78</t>
  </si>
  <si>
    <t>Marcos</t>
  </si>
  <si>
    <t>11 94787-4446</t>
  </si>
  <si>
    <t>marcos.antonio@servapoio.com.br</t>
  </si>
  <si>
    <t>RISEN SERVICOS DE APOIO ADMINISTRATIVO EIRELI</t>
  </si>
  <si>
    <t>31.472.895/0001-90</t>
  </si>
  <si>
    <t>Robson</t>
  </si>
  <si>
    <t>11 94788-7281</t>
  </si>
  <si>
    <t>VEGAL SERVICOS DE APOIO ADMINISTRATIVO EIRELI</t>
  </si>
  <si>
    <t>31.427.874/0001-53</t>
  </si>
  <si>
    <t>Luciano</t>
  </si>
  <si>
    <t>11 94787-2859</t>
  </si>
  <si>
    <t>luciano.silva@servapoio.com.br</t>
  </si>
  <si>
    <t>ALIN BIJUTERIA</t>
  </si>
  <si>
    <t xml:space="preserve">LIN LIN </t>
  </si>
  <si>
    <r>
      <rPr>
        <color rgb="FF1155CC"/>
        <sz val="10.0"/>
        <u/>
      </rPr>
      <t>Suzana.sfs@icloud.com</t>
    </r>
  </si>
  <si>
    <t>LSP148 SERVICOS DE LIMPEZA LTDA</t>
  </si>
  <si>
    <t>26.529.523/0001-13</t>
  </si>
  <si>
    <t>CINTHIA</t>
  </si>
  <si>
    <t>11 99464-7743</t>
  </si>
  <si>
    <t>cinthia.rhlsp@gmail.com</t>
  </si>
  <si>
    <t>AET + O.S</t>
  </si>
  <si>
    <t>R$ 2.850,00</t>
  </si>
  <si>
    <t>05/06/2026 QUENTE- GUSTAVO</t>
  </si>
  <si>
    <r>
      <rPr>
        <rFont val="Arial"/>
        <color rgb="FF1155CC"/>
        <sz val="10.0"/>
        <u/>
      </rPr>
      <t>11 99464-7743</t>
    </r>
  </si>
  <si>
    <r>
      <rPr>
        <color rgb="FF1155CC"/>
        <sz val="10.0"/>
        <u/>
      </rPr>
      <t>cinthia.rhlsp@gmail.com</t>
    </r>
  </si>
  <si>
    <t>B P ANGI COSTA COMERCIO E SERVICOS DE ALIMENTACAO</t>
  </si>
  <si>
    <t>44.352.497/0001-82</t>
  </si>
  <si>
    <t>11 3733-4040</t>
  </si>
  <si>
    <t>Pasta Grupo BR NUTRI</t>
  </si>
  <si>
    <t xml:space="preserve"> LIBERDADE SERVICOS CONTABEIS LTDA</t>
  </si>
  <si>
    <t>Silvia Maria Coletto</t>
  </si>
  <si>
    <r>
      <rPr>
        <color rgb="FF1155CC"/>
        <sz val="10.0"/>
        <u/>
      </rPr>
      <t>silvia@liberdade-</t>
    </r>
    <r>
      <rPr>
        <sz val="10.0"/>
      </rPr>
      <t>contabil.com.br</t>
    </r>
  </si>
  <si>
    <t xml:space="preserve">ANDRE PELEGRINA TERRAPLENAGEM, LOCACAO DE MAQUINAS E TRANSPORTES LTDA </t>
  </si>
  <si>
    <t>54.280.391/0001-74</t>
  </si>
  <si>
    <t>andrepelegrina@hotmail.com</t>
  </si>
  <si>
    <t>CONECTA MERCHANDISING LTDA</t>
  </si>
  <si>
    <t>51.602.441/0001-02</t>
  </si>
  <si>
    <t xml:space="preserve">VITORIA </t>
  </si>
  <si>
    <r>
      <rPr>
        <color rgb="FF1155CC"/>
        <sz val="10.0"/>
        <u/>
      </rPr>
      <t>vitoria.alves@</t>
    </r>
    <r>
      <rPr>
        <sz val="10.0"/>
      </rPr>
      <t>conectamerchandising.net</t>
    </r>
  </si>
  <si>
    <t xml:space="preserve">PERICIA JUDICIAL </t>
  </si>
  <si>
    <t xml:space="preserve">Não precisara mais do engenheiro </t>
  </si>
  <si>
    <t>James Moraes de Lima</t>
  </si>
  <si>
    <t>TREINAMENTO NR 06, 10, 12, 35</t>
  </si>
  <si>
    <t>MIDLAND QUIMICA DO BRASIL</t>
  </si>
  <si>
    <t>61.110.871/0001-71</t>
  </si>
  <si>
    <t>Adriana Kovacs</t>
  </si>
  <si>
    <t>11 97538-6757</t>
  </si>
  <si>
    <t>PALESTRA HPV</t>
  </si>
  <si>
    <t>KLG CONSULTORES ASSOCIADOS LTDA</t>
  </si>
  <si>
    <t>65.085.227/0001-22</t>
  </si>
  <si>
    <t>Jose de Sousa Lemos</t>
  </si>
  <si>
    <t>1132146462, 11970242961</t>
  </si>
  <si>
    <t>helenice.freitas@klg.com.br</t>
  </si>
  <si>
    <t>OMOTESANDO ADMINISTRACAO DE BE</t>
  </si>
  <si>
    <t>kellirodrigues1@gmail.com</t>
  </si>
  <si>
    <t>EXPO CONECTA LTDA</t>
  </si>
  <si>
    <t>34.377.428/0001-70</t>
  </si>
  <si>
    <t xml:space="preserve">MARIO </t>
  </si>
  <si>
    <t xml:space="preserve"> rh@expotelecom.com.br</t>
  </si>
  <si>
    <t>NR10 E NR35</t>
  </si>
  <si>
    <t>A empresa informou que nao ira dar continuidade</t>
  </si>
  <si>
    <t>STUDIO CAROLINE OLIVEIRA LTDA</t>
  </si>
  <si>
    <t>38.477.719/0001-90</t>
  </si>
  <si>
    <t>Caroline de Oliveira</t>
  </si>
  <si>
    <t>11 95435-2476</t>
  </si>
  <si>
    <t>financeiro.studiocaroline@gmail.com</t>
  </si>
  <si>
    <t>MARCO TULIO CLINICA UROLOGICA LTDA</t>
  </si>
  <si>
    <t>MARCO TÚLIO DE REZENDE</t>
  </si>
  <si>
    <t>PERFUMARIA CASA DOS PERFUMES IMPORTADOS LTDA</t>
  </si>
  <si>
    <t>42.547.816/0001-80</t>
  </si>
  <si>
    <r>
      <rPr>
        <color rgb="FF000000"/>
        <sz val="10.0"/>
        <u/>
      </rPr>
      <t>angelolima.estrelafilho@gmail.</t>
    </r>
    <r>
      <rPr>
        <color rgb="FF000000"/>
        <sz val="10.0"/>
      </rPr>
      <t>com</t>
    </r>
  </si>
  <si>
    <t>PLANO PREMIUM</t>
  </si>
  <si>
    <t>EXPK INDUSTRIA E COMERCIO DE EMBALAGENS LTDA</t>
  </si>
  <si>
    <t>17.104.971/0001-84</t>
  </si>
  <si>
    <t>CRISTINA</t>
  </si>
  <si>
    <t>11 2636-3924</t>
  </si>
  <si>
    <t>cristina@grupoextrusa.com</t>
  </si>
  <si>
    <t>GRUPO EXTRUSA - O.S gerado para cada empresa -* VER CNPJS PROPOSTA</t>
  </si>
  <si>
    <t>CONDOMINIO EDIFICIO NOVA YORK</t>
  </si>
  <si>
    <t>54.061.551/0001-94</t>
  </si>
  <si>
    <t>LUZIA</t>
  </si>
  <si>
    <t>11 98908-6234</t>
  </si>
  <si>
    <t>luzia@orionadm.com.br</t>
  </si>
  <si>
    <t>ISHIDA DO BRASIL LTDA (I9 FACILITY)</t>
  </si>
  <si>
    <t>62.603.055/0001-43</t>
  </si>
  <si>
    <t>Karine Freitas</t>
  </si>
  <si>
    <t>11 93961-9751</t>
  </si>
  <si>
    <t>PGR / PCMSO</t>
  </si>
  <si>
    <t>unidade da emrpresa I9 Facility</t>
  </si>
  <si>
    <t>SCR COMERCIO DE PRODUTOS ALIMENTICIOS LTDA</t>
  </si>
  <si>
    <t>64.143.440/0001-80</t>
  </si>
  <si>
    <t>Edwiges</t>
  </si>
  <si>
    <t>(11) 98695-9935</t>
  </si>
  <si>
    <t>Tuckeradm@gmail.com</t>
  </si>
  <si>
    <t>ligar segunda para ver o que achou da proposta- LUCAS</t>
  </si>
  <si>
    <t>TIPOGRAPH  PROJETOS GRAFICOS LTDA</t>
  </si>
  <si>
    <t>00.268.770/0001-10</t>
  </si>
  <si>
    <t>Ricardo Aiello</t>
  </si>
  <si>
    <t>11 97999-3334</t>
  </si>
  <si>
    <t>financeiro@tipograph@gmail.com</t>
  </si>
  <si>
    <t>03/,06/2026</t>
  </si>
  <si>
    <t>VEREDAS AGROFLORESTAL HOLDING S.A.</t>
  </si>
  <si>
    <t>60.142.595/0001-41</t>
  </si>
  <si>
    <t>Matheus</t>
  </si>
  <si>
    <t>matheus.figueredo@ciaveredas.com</t>
  </si>
  <si>
    <t>HOTEL SAINT MARINO LTDA</t>
  </si>
  <si>
    <t>08.708.811/0001-53</t>
  </si>
  <si>
    <t>ELIZABETH</t>
  </si>
  <si>
    <t>beth.carrilho@hotmail.com</t>
  </si>
  <si>
    <t>MIXUE (BR) STORE LTDA</t>
  </si>
  <si>
    <t>62.670.352/0001-01</t>
  </si>
  <si>
    <t>Simon Tian</t>
  </si>
  <si>
    <t>mixuebr.hr@mxbc.com</t>
  </si>
  <si>
    <t>1198435-0079</t>
  </si>
  <si>
    <t xml:space="preserve">NR-06 </t>
  </si>
  <si>
    <t>Treinamento já foi realizado, porém, ainda não tivemos retorno da proposta assinada; somente o pedido de vendas.</t>
  </si>
  <si>
    <t xml:space="preserve"> DROGARIA RA FARMA DRUGSTORE LTDA</t>
  </si>
  <si>
    <t>65.463.134/0001-94</t>
  </si>
  <si>
    <t>(31) 99705-2305</t>
  </si>
  <si>
    <t>drogarianenemsjc@gmail.com</t>
  </si>
  <si>
    <t>PLANO BÁSICO</t>
  </si>
  <si>
    <t>QUINTA DA BOA VISTA PINDA DESENVOLVIMENTO URBANO SPE LTDA</t>
  </si>
  <si>
    <t>61.344.555/0001-45</t>
  </si>
  <si>
    <t>KAIALLA</t>
  </si>
  <si>
    <t>11 3121-2655</t>
  </si>
  <si>
    <t>kaialla.bueno@zsurbanismo.com.br</t>
  </si>
  <si>
    <t>05/06/2026 Cobrar devolutiva no e-mail. / GRUPO ZS URBANISMO-</t>
  </si>
  <si>
    <t xml:space="preserve">SJC DROGARIA E PERFUMARIA DRUGSTORE LTDA </t>
  </si>
  <si>
    <t>17.713.474/0001-83</t>
  </si>
  <si>
    <t>RAFAEL</t>
  </si>
  <si>
    <t>Cristiano passou em junho</t>
  </si>
  <si>
    <t>R3 SERVIÇOS E TERCEIRIZAÇÃO LTDA</t>
  </si>
  <si>
    <t>43.527.677/0001-95</t>
  </si>
  <si>
    <t>(11) 98109-3046</t>
  </si>
  <si>
    <r>
      <rPr>
        <rFont val="&quot;Arial&quot;,sans-serif"/>
        <color rgb="FF1155CC"/>
        <sz val="10.0"/>
        <u/>
      </rPr>
      <t>fs0200908@gmail.com</t>
    </r>
  </si>
  <si>
    <t>Gustavo encaminhou / 29/06 Vitória Carolina: Só chamou</t>
  </si>
  <si>
    <t>ESCOLA DE ESPORTES ZERO GRAU LTDA</t>
  </si>
  <si>
    <t>52.511.489/0001-60</t>
  </si>
  <si>
    <t>Abraão</t>
  </si>
  <si>
    <t>11 4755-1663</t>
  </si>
  <si>
    <t>financeiro.zerograunatacao@gmail.com</t>
  </si>
  <si>
    <t>ASSESSORIA ESPORTIVA ZERO GRAU LTDA</t>
  </si>
  <si>
    <t>46.066.705/0001-02</t>
  </si>
  <si>
    <t>11 5842-4448</t>
  </si>
  <si>
    <t>ESCOLA DE NATACAO CIRCUITO AQUATICO LTDA (ZERO GRAU NATAÇÃO)</t>
  </si>
  <si>
    <t>11.367.970/0001-46</t>
  </si>
  <si>
    <t xml:space="preserve">                                 FELIPE TADEU VALERIANO ME</t>
  </si>
  <si>
    <t>36.241.992/0001-96</t>
  </si>
  <si>
    <t>Marcelle</t>
  </si>
  <si>
    <t>11 94026-9889</t>
  </si>
  <si>
    <t>Mamoraes2108@gmail.com</t>
  </si>
  <si>
    <t>MIXUE (BR) LTDA</t>
  </si>
  <si>
    <t>61.161.263/0001-77</t>
  </si>
  <si>
    <t>30/06/2026 - Sem retorno</t>
  </si>
  <si>
    <t>LOJA XAMÃ VERDE LTDA</t>
  </si>
  <si>
    <t>55.248.000/0001-05</t>
  </si>
  <si>
    <t xml:space="preserve">         11 99830-4625</t>
  </si>
  <si>
    <t xml:space="preserve">            admin@espacoxamaverde.com.br  </t>
  </si>
  <si>
    <t>BCG COMÉRCIO E SERVIÇOS LTDA</t>
  </si>
  <si>
    <t>43.886.847/0001-28</t>
  </si>
  <si>
    <t>13 3356-1221</t>
  </si>
  <si>
    <t xml:space="preserve"> bianca@casacatalan.com.br</t>
  </si>
  <si>
    <t>COSTA E VEIGA DISTRIBUIDORA DE ALIMENTOS LTDA</t>
  </si>
  <si>
    <t xml:space="preserve">19.100.187/0001-23 </t>
  </si>
  <si>
    <t xml:space="preserve"> Benedito </t>
  </si>
  <si>
    <t xml:space="preserve"> (11)98787-1781</t>
  </si>
  <si>
    <t xml:space="preserve">dca_distribuidora@hotmail.com </t>
  </si>
  <si>
    <t>Renovação à vista com data retorativa</t>
  </si>
  <si>
    <t>AWAKE CERTIFICADORA LTDA</t>
  </si>
  <si>
    <t>54.584.237/0001-96</t>
  </si>
  <si>
    <t>Vitor Molochenco/Amanda</t>
  </si>
  <si>
    <t>rh@ibrage.com.br</t>
  </si>
  <si>
    <t>29/06/2026 - 22684798 Amanda ainda essa semana retorna via e-mail sobre a proposta</t>
  </si>
  <si>
    <t>Cliente não vai fechar no momento.</t>
  </si>
  <si>
    <t>IBRAGE SERVICOS CONTABEIS LTDA</t>
  </si>
  <si>
    <t>35.738.164/0001-03</t>
  </si>
  <si>
    <t>LEDEMAQ COMERCIO DE MAQUINAS LTDA</t>
  </si>
  <si>
    <t xml:space="preserve"> Leandro Lopes Molinaro  </t>
  </si>
  <si>
    <t xml:space="preserve"> 011 99649-9121 </t>
  </si>
  <si>
    <t xml:space="preserve">contato@ledemaquinas.com.br </t>
  </si>
  <si>
    <t xml:space="preserve">DAIANE NUNES DE SOUZA SANTANA PERSIANAS SOUZA </t>
  </si>
  <si>
    <t>27.295.626/0001-29</t>
  </si>
  <si>
    <t xml:space="preserve">           11 96333-7389</t>
  </si>
  <si>
    <t xml:space="preserve">persianassouza@hotmail.com </t>
  </si>
  <si>
    <t>Silvio Takeo Morita</t>
  </si>
  <si>
    <t xml:space="preserve">OPEN STUDIO HAIR INSTITUTO DE BELEZA LTDA – EPP </t>
  </si>
  <si>
    <t>07.395.871/0001-09</t>
  </si>
  <si>
    <t xml:space="preserve">          11 96175-6331</t>
  </si>
  <si>
    <t xml:space="preserve">miltonnishimura@hotmail.com </t>
  </si>
  <si>
    <t xml:space="preserve">PERSIANAS TELA SOLAR LTDA </t>
  </si>
  <si>
    <t>43.005.080/0001-80</t>
  </si>
  <si>
    <t xml:space="preserve">       (11) 96333-7389</t>
  </si>
  <si>
    <t>LEANDRO PELLARIN CIRURGIA PLASTICA EIRELI</t>
  </si>
  <si>
    <t>ANA PAULA DELGADO</t>
  </si>
  <si>
    <t>: 11 98338-5552</t>
  </si>
  <si>
    <r>
      <rPr>
        <rFont val="Arial, Helvetica, sans-serif"/>
        <color rgb="FF1155CC"/>
        <sz val="10.0"/>
        <u/>
      </rPr>
      <t>diretoria@pellarin.com.br</t>
    </r>
  </si>
  <si>
    <t>SALA SERVICOS MEDICOS</t>
  </si>
  <si>
    <t>52.885.686/0001-49</t>
  </si>
  <si>
    <t>Marina</t>
  </si>
  <si>
    <t xml:space="preserve">      11 98819-5276</t>
  </si>
  <si>
    <t xml:space="preserve">dramarinabogner@yahoo.com </t>
  </si>
  <si>
    <t>OGGI PER TE INDUSTRIA QUIMICA E COMERCIO COSMETICOS LTDA</t>
  </si>
  <si>
    <t>48.707.913/0001-79</t>
  </si>
  <si>
    <t>Maria Rita da Cunha</t>
  </si>
  <si>
    <t>mr@oggiperte.com.br</t>
  </si>
  <si>
    <t>SANTA ROSA SHOPPING DAS TINTAS E MATERIAIS DE CONSTRUCAO - EIRELI</t>
  </si>
  <si>
    <t>00.005.947/0001-95</t>
  </si>
  <si>
    <t>Carlos Eduardo Baz</t>
  </si>
  <si>
    <t>(11) 99999-1237</t>
  </si>
  <si>
    <t>expedicao@sr1.com.br</t>
  </si>
  <si>
    <t>18/06/2026 - E-mail enviado</t>
  </si>
  <si>
    <t>ROUTE BR LOGISTICA LTDA</t>
  </si>
  <si>
    <t>42.334.365/0001-00</t>
  </si>
  <si>
    <t>Tatiane Biajante</t>
  </si>
  <si>
    <t>(11) 97361-5454</t>
  </si>
  <si>
    <t>tatiane@routebr.com.br</t>
  </si>
  <si>
    <t>treinamento NR-35</t>
  </si>
  <si>
    <t>26/06: Tatiane informou que só fez a pesquisa de valores e passou para o diretor. Se houver interesse, ele retorna.</t>
  </si>
  <si>
    <t>Christianne Yukie Sasaki</t>
  </si>
  <si>
    <t>(11) 98101-2852</t>
  </si>
  <si>
    <t>O.S ORDEM DE SERVIÇO</t>
  </si>
  <si>
    <t>FOUR N TRABALHO EFETIVO E TEMPORARIO LTDA - GRUPO RHELTY – FOUR N</t>
  </si>
  <si>
    <t>19.231.481/0001-74</t>
  </si>
  <si>
    <t>JOSÉ NILTON DE CASTRO CERQUEIRA</t>
  </si>
  <si>
    <t>(11) 3138-0099</t>
  </si>
  <si>
    <t>gestora@rhelty.com.br</t>
  </si>
  <si>
    <r>
      <rPr>
        <rFont val="Arial"/>
        <color theme="1"/>
        <sz val="10.0"/>
      </rPr>
      <t xml:space="preserve">26/06 Thais ainda não avaliou mas ficou de verificar ainda hoje. </t>
    </r>
    <r>
      <rPr>
        <rFont val="Arial"/>
        <color rgb="FFFF0000"/>
        <sz val="10.0"/>
      </rPr>
      <t>29/06: disse que terá reunião com diretoria dia 01/07 para falar sobre.</t>
    </r>
  </si>
  <si>
    <t>AXIS PRIME PSICOLOGIA E ESTRATEGIA HUMANA LTDA</t>
  </si>
  <si>
    <t>66.638.922/0001-37</t>
  </si>
  <si>
    <t>EDNO</t>
  </si>
  <si>
    <t>(11) 97850-8930</t>
  </si>
  <si>
    <t>EDNOANDRADEPSI@GMAIL.COM</t>
  </si>
  <si>
    <t>26/06: falou que no momento nã otem interesse pois só tem 1 funcionário</t>
  </si>
  <si>
    <t xml:space="preserve">ALPHA CONVENIENCE SERVICOS AUTOMOTIVOS LTDA </t>
  </si>
  <si>
    <t xml:space="preserve">54.697.045/0001-96 </t>
  </si>
  <si>
    <t>Wilson</t>
  </si>
  <si>
    <t xml:space="preserve"> 11 2936-2941</t>
  </si>
  <si>
    <t xml:space="preserve">srtaf@hotmail.com </t>
  </si>
  <si>
    <t>PASTA DA EMPRESA - FERNANDES &amp; FERNANDES SERVICOS ADMINISTRATIVOS LTDA</t>
  </si>
  <si>
    <r>
      <rPr>
        <color rgb="FF000000"/>
        <sz val="10.0"/>
        <u/>
      </rPr>
      <t>financeiro@monicaviana.com.b</t>
    </r>
    <r>
      <rPr>
        <color rgb="FF000000"/>
        <sz val="10.0"/>
      </rPr>
      <t>r</t>
    </r>
  </si>
  <si>
    <t>ESCRIART LOCAÇÃO DE BENS MOVEIS LTDA</t>
  </si>
  <si>
    <t>57.993.628/0001-52</t>
  </si>
  <si>
    <t>CRISTIANA TEIXEIRA DE CARVALHO GOMES</t>
  </si>
  <si>
    <t xml:space="preserve"> (11) 97633-6897</t>
  </si>
  <si>
    <t>patricia@locfesta.com.br</t>
  </si>
  <si>
    <t xml:space="preserve"> A empresa so vai reotona  final do ano, pois o contrato com outra empresa esta vigente </t>
  </si>
  <si>
    <t>ONE HOUSE I EMPREENDIMENTO SPE LTDA</t>
  </si>
  <si>
    <t>40.378.656/0001-67</t>
  </si>
  <si>
    <t xml:space="preserve">Vanessa </t>
  </si>
  <si>
    <t>(11) 91318-5622</t>
  </si>
  <si>
    <r>
      <rPr>
        <sz val="10.0"/>
      </rPr>
      <t xml:space="preserve">: </t>
    </r>
    <r>
      <rPr>
        <color rgb="FF1155CC"/>
        <sz val="10.0"/>
        <u/>
      </rPr>
      <t>financeiro@one.</t>
    </r>
    <r>
      <rPr>
        <color rgb="FF000000"/>
        <sz val="10.0"/>
      </rPr>
      <t>eng.br</t>
    </r>
  </si>
  <si>
    <t>HELTON LESSA DE OLIVEIRA (HLESSA COMERCIO DE MUDAS)</t>
  </si>
  <si>
    <t>18.738.404/0001-42</t>
  </si>
  <si>
    <t xml:space="preserve">HELTON </t>
  </si>
  <si>
    <t>(15) 99633-6411</t>
  </si>
  <si>
    <t>canteirohelton@gmail.com</t>
  </si>
  <si>
    <t>CASA TLTP BARRA FUNDA LTDA</t>
  </si>
  <si>
    <t>61.001.873/0001-03</t>
  </si>
  <si>
    <t>Bruna Carvalho Coelho</t>
  </si>
  <si>
    <t>(21) 99614-2646</t>
  </si>
  <si>
    <t>dp2@facilitycontabil.com</t>
  </si>
  <si>
    <t>VIVAZ TECNOLOGIA LTDA</t>
  </si>
  <si>
    <t>Victor Casanova Muhlbauer</t>
  </si>
  <si>
    <t>victor@vivaztec.com.br</t>
  </si>
  <si>
    <t>LOC FESTA LOCACAO E COMERCIO DE MATERIAIS PARA FESTA LTDA</t>
  </si>
  <si>
    <t>00.939.610/0001-55</t>
  </si>
  <si>
    <r>
      <rPr>
        <color rgb="FF000000"/>
        <sz val="10.0"/>
        <u/>
      </rPr>
      <t>locfesta@locfesta.com.br</t>
    </r>
    <r>
      <rPr>
        <color rgb="FF000000"/>
        <sz val="10.0"/>
      </rPr>
      <t xml:space="preserve"> </t>
    </r>
  </si>
  <si>
    <t>08.845.676/0058-23</t>
  </si>
  <si>
    <t xml:space="preserve">ARIANE </t>
  </si>
  <si>
    <t>alessandra.silva@espacolaser.com.br</t>
  </si>
  <si>
    <t xml:space="preserve">CIPA, AET E NR24 </t>
  </si>
  <si>
    <t xml:space="preserve">                             HUADA AGRICOLA COMERCIAL LTDA </t>
  </si>
  <si>
    <t xml:space="preserve">33.092.051/0001-40 </t>
  </si>
  <si>
    <t xml:space="preserve">         (11) 99466-5050</t>
  </si>
  <si>
    <t xml:space="preserve">financeiro@agra.com.br </t>
  </si>
  <si>
    <t xml:space="preserve">                PARQUINHO COMERCIO E SERVICOS LTDA</t>
  </si>
  <si>
    <t>43.487.991/0001-91</t>
  </si>
  <si>
    <t xml:space="preserve">       11 99223-5759</t>
  </si>
  <si>
    <t xml:space="preserve">camilaribeiroreis@outlook.com </t>
  </si>
  <si>
    <t xml:space="preserve">CENTRO DE ESTETICA E CLINICA INTEGRADA - CECI LTDA </t>
  </si>
  <si>
    <t xml:space="preserve">33.649.994/0001-20 </t>
  </si>
  <si>
    <t xml:space="preserve">11 99857-4545 </t>
  </si>
  <si>
    <t xml:space="preserve">            henrique.masson@gmail.com</t>
  </si>
  <si>
    <t>DRONE PRO COMERCIO E ASSISTENCIA TECNICA LTDA</t>
  </si>
  <si>
    <t>16.603.091/0001-90</t>
  </si>
  <si>
    <t>(11) 99466-5050</t>
  </si>
  <si>
    <t xml:space="preserve"> DRONE PRO COMERCIO E ASSISTENCIA TECNICA LTDA </t>
  </si>
  <si>
    <t>16.603.091/0002-70</t>
  </si>
  <si>
    <t>AUTOWEB  COMERCIO DE SISTEMAS PARA INFORMATICA LTDA</t>
  </si>
  <si>
    <t>10.569.092/0001-89</t>
  </si>
  <si>
    <t xml:space="preserve">         (11) 97300-0401</t>
  </si>
  <si>
    <t xml:space="preserve">ricardo@autoweb.com.br </t>
  </si>
  <si>
    <t>CEVA LOGISTICS LTDA (Garuva – SC)</t>
  </si>
  <si>
    <t xml:space="preserve"> 43.854.116/0087-70</t>
  </si>
  <si>
    <t xml:space="preserve">JULIANO </t>
  </si>
  <si>
    <t xml:space="preserve"> JulianoXavier.Roman@cevalogistics.com</t>
  </si>
  <si>
    <t xml:space="preserve">TREINAMENTO 35 E 18 </t>
  </si>
  <si>
    <t xml:space="preserve"> 49.683.396 RUDINEI OLIVEIRA MENEZES </t>
  </si>
  <si>
    <t xml:space="preserve"> 49.683.396/0001-08 </t>
  </si>
  <si>
    <t xml:space="preserve">rudinei </t>
  </si>
  <si>
    <t>11 95391-0852</t>
  </si>
  <si>
    <t xml:space="preserve"> rudinei.menezes@hotmail.com </t>
  </si>
  <si>
    <t xml:space="preserve">MARCENARIA IRMAOS FOGACA LTDA </t>
  </si>
  <si>
    <t xml:space="preserve">56.691.041/0001-26 </t>
  </si>
  <si>
    <t>Queizi</t>
  </si>
  <si>
    <t xml:space="preserve">         11 99420-8826</t>
  </si>
  <si>
    <t xml:space="preserve">queizi_issy@yahoo.com.br </t>
  </si>
  <si>
    <t>RVL LABORATORIO DE ANALISES TECNICAS LTDA</t>
  </si>
  <si>
    <t>18.829.118/0001-92</t>
  </si>
  <si>
    <t>Marcio Roberto</t>
  </si>
  <si>
    <t>faturamento@lab-rvl.com.br</t>
  </si>
  <si>
    <t>30/06/2026 - SEM RETORNO</t>
  </si>
  <si>
    <t>Elev Fit Academia</t>
  </si>
  <si>
    <t>62.686.318/0001-25</t>
  </si>
  <si>
    <t>Jessika Sousa</t>
  </si>
  <si>
    <t>(11) 98579-7544</t>
  </si>
  <si>
    <t>elev.fit@outlook.com</t>
  </si>
  <si>
    <r>
      <rPr>
        <rFont val="Arial"/>
        <color theme="1"/>
        <sz val="10.0"/>
      </rPr>
      <t>26/06: NÃO ATENDE -</t>
    </r>
    <r>
      <rPr>
        <rFont val="Arial"/>
        <b/>
        <color rgb="FFFF0000"/>
        <sz val="10.0"/>
      </rPr>
      <t xml:space="preserve"> 29/06: não atende</t>
    </r>
  </si>
  <si>
    <t>SGN OFF-ROAD SERVICOS E PECAS LTDA</t>
  </si>
  <si>
    <t xml:space="preserve"> 02.194.940/0001-94 </t>
  </si>
  <si>
    <t xml:space="preserve">Matheus yuji Sugano de Caires </t>
  </si>
  <si>
    <t xml:space="preserve">(11) 97635-9262 </t>
  </si>
  <si>
    <t>sgnoffroad@outlook.com</t>
  </si>
  <si>
    <t>Adendo a NR-01 no contrato! Data final: 16/06/2027</t>
  </si>
  <si>
    <t>STEFANY RODRIGUES</t>
  </si>
  <si>
    <t>tatiane@academiaphd.com.br</t>
  </si>
  <si>
    <r>
      <rPr>
        <rFont val="Arial"/>
        <color theme="1"/>
      </rPr>
      <t xml:space="preserve">EM TRATATIVA COM A SRTA. TATIANE POR E-MAIL. 26/06: encaminhado email cobrando posicionamento.- </t>
    </r>
    <r>
      <rPr>
        <rFont val="Arial"/>
        <b/>
        <color rgb="FFFF0000"/>
      </rPr>
      <t>29/06: caixa postal</t>
    </r>
  </si>
  <si>
    <t>ANDREIA MATAZZIO CARNEIRO ME</t>
  </si>
  <si>
    <t>28.845.887/0001-38</t>
  </si>
  <si>
    <t xml:space="preserve"> ANDREIA MATAZZIO CARNEIRO</t>
  </si>
  <si>
    <t>(11) 992284848</t>
  </si>
  <si>
    <t>andreiamatazzio@gmail.com</t>
  </si>
  <si>
    <r>
      <rPr>
        <rFont val="Arial"/>
        <color theme="1"/>
        <sz val="10.0"/>
      </rPr>
      <t xml:space="preserve">26/06: NÃO ATENDE- </t>
    </r>
    <r>
      <rPr>
        <rFont val="Arial"/>
        <b/>
        <color rgb="FFFF0000"/>
        <sz val="10.0"/>
      </rPr>
      <t>29/06: caixa postal</t>
    </r>
  </si>
  <si>
    <t>CLINICA TORRES ODONTOLOGIA</t>
  </si>
  <si>
    <t xml:space="preserve">220.686.888-16 </t>
  </si>
  <si>
    <t xml:space="preserve">MICHEL BARROS TORRES </t>
  </si>
  <si>
    <t>(11) 99967-8126</t>
  </si>
  <si>
    <t xml:space="preserve">MICHEL.TORRES10@GMAIL.COM </t>
  </si>
  <si>
    <t xml:space="preserve">18/06 - A empresa tinha um contrato conosco que foi cancelado no mês de Abril, com isso, realizei um novo contrato para a "renovação" dos laudos, mas, destinados a somente 1 colaborador. (a empresa voltou com o contrato pois a funcionária que seria tranferida para o novo CNPJ está grávida, com isso, não poderão realizar o demissional da funcionária). </t>
  </si>
  <si>
    <t>TORRES ODONTO ESTÉTICA DENTAL E FACIAL LTDA</t>
  </si>
  <si>
    <t>66.219.975/0001-13</t>
  </si>
  <si>
    <t>18/06 - Esse seria o CNPJ que a outra funcionária será alocada logo após o fim da gestação. ( a empresa teria um outro CNPJ: 40.632.645-0001-61 que se encontra sem funcionários e com a contratação de novos colaboradores, haveria a necessidade de incluir a NR-01 no contrato).</t>
  </si>
  <si>
    <t xml:space="preserve"> FRANCISCO LEITE BRITO DE ALMEIDA </t>
  </si>
  <si>
    <t xml:space="preserve">10.396.377/0001-65 </t>
  </si>
  <si>
    <t xml:space="preserve">99420-8826 </t>
  </si>
  <si>
    <t>BR NUTRI ADMINISTRAÇÃO DE RESTAURANTES E SERVIÇOS LTDA</t>
  </si>
  <si>
    <t>11.305.341/0001-91</t>
  </si>
  <si>
    <t>MARY LUCI PIZZATO ANGI COMÉRCIO E SERVIÇOS DE ALIMENTAÇÃO</t>
  </si>
  <si>
    <t>V BARNABE COMERCIO E SERVICOS DE ALIMENTACAO</t>
  </si>
  <si>
    <t>46.240.053/0001-80</t>
  </si>
  <si>
    <t>JANETI PIZZATO BARNABE COMÉRCIO E SERVIÇOS DE ALIMENTAÇÃO</t>
  </si>
  <si>
    <t>21.608.752/0001-00</t>
  </si>
  <si>
    <t>MINERBO - FUCHS ENGENHARIA S/A</t>
  </si>
  <si>
    <t>46.158.481/0001-69</t>
  </si>
  <si>
    <t>Jaqueline</t>
  </si>
  <si>
    <t>11 4195-2500</t>
  </si>
  <si>
    <t>genteecultura@minerbo-fuchs.com.br</t>
  </si>
  <si>
    <t xml:space="preserve">EVO W12 INOVACOES TECNOLÓGICAS LTDA </t>
  </si>
  <si>
    <t>12.799.249/0001-98</t>
  </si>
  <si>
    <t>LUIZ SOUSA</t>
  </si>
  <si>
    <t>(31) 98487-2457</t>
  </si>
  <si>
    <t>LUIZGUILHERME.SOUZA@ABCFITNESS.COM</t>
  </si>
  <si>
    <t>AET e NR-01</t>
  </si>
  <si>
    <r>
      <rPr>
        <rFont val="Arial"/>
        <color theme="1"/>
        <sz val="10.0"/>
      </rPr>
      <t>26/06: não atende. Encaminhado email cobrando puma posição.</t>
    </r>
    <r>
      <rPr>
        <rFont val="Arial"/>
        <b/>
        <color rgb="FFFF0000"/>
        <sz val="10.0"/>
      </rPr>
      <t xml:space="preserve"> 29/06: caixa postal - enviaram email informando que resposta somente em agosto</t>
    </r>
  </si>
  <si>
    <t xml:space="preserve">EXCLUSIVA MARCAS E PATENTES </t>
  </si>
  <si>
    <t>01.480.708/0001-50</t>
  </si>
  <si>
    <t xml:space="preserve">GIVALDO </t>
  </si>
  <si>
    <t>(11) 97612-8403</t>
  </si>
  <si>
    <t>GILEXCLU@HOTMAIL.COM</t>
  </si>
  <si>
    <t xml:space="preserve">RHEJB SERVIÇOS MEDICOS LTDA </t>
  </si>
  <si>
    <t>35.133.416/0001-62</t>
  </si>
  <si>
    <t>RICARDO HAIDAR BERJEAUT</t>
  </si>
  <si>
    <t>(11) 99968-7212</t>
  </si>
  <si>
    <t>HAIDAR.UROLOGIA@GMAIL.COM</t>
  </si>
  <si>
    <t>PGRSS</t>
  </si>
  <si>
    <t>19/06 - SOLICITADO PELO E-MAIL, EM TRATATIVA PELO E-MAIL E ZAPPY retornar em 29/06 parte da manhã - Não Atende</t>
  </si>
  <si>
    <t>MARCOS ANTONIO MUNIZ DOMINGOS</t>
  </si>
  <si>
    <t>61.176.004/0001-10</t>
  </si>
  <si>
    <t>danidelfino1@gmail.com</t>
  </si>
  <si>
    <r>
      <rPr>
        <rFont val="Arial"/>
        <color theme="1"/>
        <sz val="10.0"/>
      </rPr>
      <t xml:space="preserve">26/06: encaminhado email solicitando resposta. Não possui telefone. </t>
    </r>
    <r>
      <rPr>
        <rFont val="Arial"/>
        <b/>
        <color rgb="FFFF0000"/>
        <sz val="10.0"/>
      </rPr>
      <t>29/06: encaminhado novo email.</t>
    </r>
  </si>
  <si>
    <t>LBMHF SERVICOS MEDICOS</t>
  </si>
  <si>
    <t xml:space="preserve">24.684.012/0001-40 </t>
  </si>
  <si>
    <t xml:space="preserve"> Luciana Borsoi </t>
  </si>
  <si>
    <t xml:space="preserve"> (11) 3772-3194</t>
  </si>
  <si>
    <t xml:space="preserve">borsoihunziker@gmail.com </t>
  </si>
  <si>
    <t xml:space="preserve"> HOTEL MINHO LTDA </t>
  </si>
  <si>
    <t>61.101.937/0001-48</t>
  </si>
  <si>
    <t>Alvaro</t>
  </si>
  <si>
    <t xml:space="preserve">        (11) 95294-6696</t>
  </si>
  <si>
    <t xml:space="preserve">alvaronovais@outlook.com.br </t>
  </si>
  <si>
    <t>Monica Modas Confecções</t>
  </si>
  <si>
    <t>04.771.033/0001-96</t>
  </si>
  <si>
    <t xml:space="preserve">NATHALIA </t>
  </si>
  <si>
    <t>11 97024-4388</t>
  </si>
  <si>
    <t>monica_modas2@outlook.com</t>
  </si>
  <si>
    <t>: PROJECTOR ENGENHARIA E INSTALACOES LTDA</t>
  </si>
  <si>
    <t xml:space="preserve"> 09.539.144/0001-95</t>
  </si>
  <si>
    <t xml:space="preserve">INES </t>
  </si>
  <si>
    <t>nesybus24@gmail.com</t>
  </si>
  <si>
    <t xml:space="preserve">PCMSO E E-SOCIAL </t>
  </si>
  <si>
    <t xml:space="preserve">FECHOU COM UMA EMPRESA MAIS PROXIMA </t>
  </si>
  <si>
    <t>MARMORARIA MARCONDES 2022 LTDA</t>
  </si>
  <si>
    <t>64.408.485/0001-30</t>
  </si>
  <si>
    <t>Danilo Pires Ferreira Lima</t>
  </si>
  <si>
    <t>11 933718316</t>
  </si>
  <si>
    <r>
      <rPr>
        <rFont val="-apple-system, &quot;Segoe UI&quot;, Roboto, sans-serif"/>
        <color rgb="FF1155CC"/>
        <sz val="10.0"/>
        <u/>
      </rPr>
      <t>MAAHGRANDAO612@GMAIL.COM</t>
    </r>
  </si>
  <si>
    <t xml:space="preserve">Aguarda o retorno da emprsa pois ela esta ded ferias </t>
  </si>
  <si>
    <t>EXCLUSIVA MARCAS E PATENTES</t>
  </si>
  <si>
    <t xml:space="preserve">GIVALDO PORTELA SILVA </t>
  </si>
  <si>
    <t>(11) 3315-0824</t>
  </si>
  <si>
    <t>ANDREA@EXCLUSIVA.COM</t>
  </si>
  <si>
    <r>
      <rPr>
        <rFont val="Arial"/>
        <color rgb="FF000000"/>
        <sz val="10.0"/>
      </rPr>
      <t xml:space="preserve">23/06 - Encaminhei para a senhorita Andrea, o contrato para assinatura! 26/06: NÃO ATENDE / </t>
    </r>
    <r>
      <rPr>
        <rFont val="Arial"/>
        <b/>
        <color rgb="FFFF0000"/>
        <sz val="10.0"/>
      </rPr>
      <t>29/06 - não atende</t>
    </r>
  </si>
  <si>
    <t>IRKO HIRASHIMA AUDITORIA</t>
  </si>
  <si>
    <t>02.878.522/0001-16</t>
  </si>
  <si>
    <t>MAYARA PORFIRIO</t>
  </si>
  <si>
    <t>(11) 98302-1539</t>
  </si>
  <si>
    <t>MAYARA.NASCIMANETO@IRKOHIRASHIMA.COM.BR</t>
  </si>
  <si>
    <r>
      <rPr>
        <rFont val="Arial"/>
        <color theme="1"/>
        <sz val="10.0"/>
      </rPr>
      <t>22/06 - PROPOSTA ENCAMINHADA / 26:06:NÃO ATENDE - enviado email /</t>
    </r>
    <r>
      <rPr>
        <rFont val="Arial"/>
        <b/>
        <color rgb="FFFF0000"/>
        <sz val="10.0"/>
      </rPr>
      <t xml:space="preserve"> 10/07: retornar para ver se a chefe definiu</t>
    </r>
  </si>
  <si>
    <t>IRKO HIRASHIMA CONSULTORIA EMPRESARIAL LTDA</t>
  </si>
  <si>
    <t>26.907.265/0001-61</t>
  </si>
  <si>
    <r>
      <rPr>
        <rFont val="Arial"/>
        <color theme="1"/>
        <sz val="10.0"/>
      </rPr>
      <t xml:space="preserve">22/06 - PROPOSTA ENCAMINHADA / 26:06:NÃO ATENDE - enviado email / </t>
    </r>
    <r>
      <rPr>
        <rFont val="Arial"/>
        <b/>
        <color rgb="FFFF0000"/>
        <sz val="10.0"/>
      </rPr>
      <t>10/07: retornar para ver se a chefe definiu</t>
    </r>
  </si>
  <si>
    <t>Carlos Eduardo Dias de Almeida</t>
  </si>
  <si>
    <t>(11) 93001-2220</t>
  </si>
  <si>
    <t>palestra e treinamento de EPI</t>
  </si>
  <si>
    <r>
      <rPr>
        <rFont val="Arial"/>
        <color theme="1"/>
        <sz val="10.0"/>
      </rPr>
      <t xml:space="preserve">23/06 - sem contato na parte da tarde! 26/06: não atende. </t>
    </r>
    <r>
      <rPr>
        <rFont val="Arial"/>
        <b/>
        <color rgb="FFFF0000"/>
        <sz val="10.0"/>
      </rPr>
      <t>Enviado email 29/06: liguei e pediram para falar com a Márcia. Ligar dia 30/06.</t>
    </r>
  </si>
  <si>
    <t xml:space="preserve"> Caldi Clínica de Pneumopediatria </t>
  </si>
  <si>
    <t xml:space="preserve"> 259.352.86/0001-28 </t>
  </si>
  <si>
    <t xml:space="preserve"> Thiago Caldi</t>
  </si>
  <si>
    <t xml:space="preserve"> 11-99903-4037 </t>
  </si>
  <si>
    <t>noemiamcaldi@gmail.com</t>
  </si>
  <si>
    <t xml:space="preserve"> LSP189 SERVICOS DE LIMPEZA LTDA</t>
  </si>
  <si>
    <t xml:space="preserve">67.141.455/0001-06 </t>
  </si>
  <si>
    <t xml:space="preserve">11 99834-6864 </t>
  </si>
  <si>
    <t xml:space="preserve">jorge.junior@limpidus.com.br </t>
  </si>
  <si>
    <t>FERRETI EXTRUSORAS INDUSTRIA DE MAQUINAS E EQUIPAMENTOS LTDA</t>
  </si>
  <si>
    <t>14.108.081/0001-52</t>
  </si>
  <si>
    <t>Lânia</t>
  </si>
  <si>
    <t>NR01 + NR17</t>
  </si>
  <si>
    <t>GLOBAL CARE ASSISTÊNCIA DOMICILIAR LTDA</t>
  </si>
  <si>
    <t>03.872.790/0001-93</t>
  </si>
  <si>
    <t>Matheus Lima</t>
  </si>
  <si>
    <t>(11) 98623-7111</t>
  </si>
  <si>
    <t>matheus.lima@grupoglobalcare.com.br</t>
  </si>
  <si>
    <t>RLS SERVICOS DE APOIO ADMINISTRATIVO DE PESSOAL LTDA</t>
  </si>
  <si>
    <t>48.746.700/0001-56</t>
  </si>
  <si>
    <t>Renata</t>
  </si>
  <si>
    <t>29/06/2026 - Contato feito aguardando retorno.</t>
  </si>
  <si>
    <t xml:space="preserve">69.157.772/0001-52 </t>
  </si>
  <si>
    <t>Cristina</t>
  </si>
  <si>
    <t xml:space="preserve"> 11 2936-2941 </t>
  </si>
  <si>
    <r>
      <rPr>
        <sz val="10.0"/>
      </rPr>
      <t>adm@astecma,</t>
    </r>
    <r>
      <rPr>
        <color rgb="FF1155CC"/>
        <sz val="10.0"/>
        <u/>
      </rPr>
      <t>com.br</t>
    </r>
  </si>
  <si>
    <t>LAUDO NR-12 E ART</t>
  </si>
  <si>
    <t>CLINICA DE ODONTOLOGIA CORE LTDA</t>
  </si>
  <si>
    <t>57.369.155/0001-17</t>
  </si>
  <si>
    <t>Gabriel</t>
  </si>
  <si>
    <t>spaziooral74@gmail.com</t>
  </si>
  <si>
    <t>18/06/2026 - Cliente ciente da proposta no whatsapp / Aguardando retorno</t>
  </si>
  <si>
    <t>PIC STONE COMERCIO DE PEDRAS LTDA</t>
  </si>
  <si>
    <t>48.519.892/0001-68</t>
  </si>
  <si>
    <t>Mayara Pires</t>
  </si>
  <si>
    <t>Financeiropicstone@gmail.com</t>
  </si>
  <si>
    <t>18/06/2026 - Cliente ciente da proposta no whatsapp / Aguardando retorno do juridico</t>
  </si>
  <si>
    <t>RMEC ASSESSORIA EMPRESARIAL E EDUCACIONAL LTDA</t>
  </si>
  <si>
    <t>13.796.191/0001-91</t>
  </si>
  <si>
    <t>Erika Albiero</t>
  </si>
  <si>
    <t>financeiro@faculdaderobertomoranda.edu.br</t>
  </si>
  <si>
    <t>PIZZARIA LA SOCIETA LTDA</t>
  </si>
  <si>
    <t xml:space="preserve"> 60.663.515/0001-01 </t>
  </si>
  <si>
    <t>Maria Luiza</t>
  </si>
  <si>
    <t xml:space="preserve">paulosocieta@yahoo.com.br </t>
  </si>
  <si>
    <t>MINI MERCADO SANGALO LTDA</t>
  </si>
  <si>
    <t>15.327.765/0001-08</t>
  </si>
  <si>
    <t>Benedito Iba</t>
  </si>
  <si>
    <t>(11) 99127-4366</t>
  </si>
  <si>
    <t>contxapuri@uol.com.br</t>
  </si>
  <si>
    <t>R$ 333,33</t>
  </si>
  <si>
    <t>JESSICA</t>
  </si>
  <si>
    <t>A7 BRINDES COMERCIO DE PRODUTOS PERSONALIZADOS LTDA</t>
  </si>
  <si>
    <t>08.855.791/0001-43</t>
  </si>
  <si>
    <t xml:space="preserve"> (11) 99127-4366</t>
  </si>
  <si>
    <t>ADAPTECNICA INSTALACAO E MANUTENCAO DE EQUIPAMENTOS LTDA</t>
  </si>
  <si>
    <t>23.070.928/0001-48</t>
  </si>
  <si>
    <t>FLAVIO AURELIANO</t>
  </si>
  <si>
    <t>(11) 99739-9517</t>
  </si>
  <si>
    <t>flavio@adaptecnica.com.br</t>
  </si>
  <si>
    <t xml:space="preserve">M50 COMERCIO E DISTRIBUICAO LTDA </t>
  </si>
  <si>
    <t>46.147.555/0001-61</t>
  </si>
  <si>
    <t>Michele</t>
  </si>
  <si>
    <t>michelle@easyshakebrasil.com.br</t>
  </si>
  <si>
    <t>PGR, PCMSO, LTCAT e E-SOCIAL</t>
  </si>
  <si>
    <t>PASTA EASY SHAKE</t>
  </si>
  <si>
    <t>QUINTAL PARAENSE ALIMENTACAO E EXPORTACAO LTDA</t>
  </si>
  <si>
    <t>26.514.978/0001-65</t>
  </si>
  <si>
    <t>Ùrsula</t>
  </si>
  <si>
    <t>quintalparaense@gmail.com</t>
  </si>
  <si>
    <t>PASTA IRIS FERREIRA</t>
  </si>
  <si>
    <t>Z8 TECNOLOGIAS LTDA</t>
  </si>
  <si>
    <t>18.281.001/0001-17</t>
  </si>
  <si>
    <t>Carlos Henrique</t>
  </si>
  <si>
    <t>carlos@z8tecnologias.com.br</t>
  </si>
  <si>
    <t>LA BOUTIQUE CAFE LTDA</t>
  </si>
  <si>
    <t xml:space="preserve"> 45.999.102/0001-09 </t>
  </si>
  <si>
    <t>Francisca</t>
  </si>
  <si>
    <t xml:space="preserve">         11 96723-4787</t>
  </si>
  <si>
    <t xml:space="preserve">laboutiquecafe@outlook.com </t>
  </si>
  <si>
    <t xml:space="preserve"> NR-01</t>
  </si>
  <si>
    <t xml:space="preserve">YOUNES YOUNES </t>
  </si>
  <si>
    <t>60.641.222/0001-15</t>
  </si>
  <si>
    <t>Younes Younes</t>
  </si>
  <si>
    <t>11 99320-2332</t>
  </si>
  <si>
    <t>nuvembranca211@hotmail.com</t>
  </si>
  <si>
    <t>60.641.222/0002-04</t>
  </si>
  <si>
    <t>Climevet Serviços Veterinários e Comércio Ltda</t>
  </si>
  <si>
    <t>38.935.052/0001-22</t>
  </si>
  <si>
    <t>Gloria Maria Costa de Souza</t>
  </si>
  <si>
    <t xml:space="preserve"> (11) 97674-2353</t>
  </si>
  <si>
    <t>Gloriasouza61@yahoo.com.br</t>
  </si>
  <si>
    <t xml:space="preserve"> CLINICA VITTIE SERVICOS MEDICOS LTDA </t>
  </si>
  <si>
    <t xml:space="preserve"> 62.652.412/0001-63 </t>
  </si>
  <si>
    <t>Jessica</t>
  </si>
  <si>
    <t xml:space="preserve">       (11) 98299-3220</t>
  </si>
  <si>
    <t xml:space="preserve"> vittieoftalmologia@gmail.com </t>
  </si>
  <si>
    <t>Z</t>
  </si>
  <si>
    <t>I9MED DIGITAL CARE LTDA</t>
  </si>
  <si>
    <t>13.993.430/0001-01</t>
  </si>
  <si>
    <t>Jose Geraldo</t>
  </si>
  <si>
    <t>fenix.juscinski@galileusaude.com.br</t>
  </si>
  <si>
    <t>INSTITUTO THERA SERVICOS EM FISIOTERAPIA LTDA</t>
  </si>
  <si>
    <t>92.589.080/001-74</t>
  </si>
  <si>
    <t>11 23075064</t>
  </si>
  <si>
    <t>administrativo@institutothera.com.br</t>
  </si>
  <si>
    <t xml:space="preserve">A VISTA </t>
  </si>
  <si>
    <t>GAMMA K COMERCIO IMPORTACAO E EXPORTACAO DE COMPONENTES</t>
  </si>
  <si>
    <t>34.648.657/0001-81</t>
  </si>
  <si>
    <t>95468-0107</t>
  </si>
  <si>
    <t>lhenrique@gammak.com.br</t>
  </si>
  <si>
    <t>AVN ATITUDE VALORES E NEGOCIOS EM TI LTDA</t>
  </si>
  <si>
    <t>47.975.530/0001-19</t>
  </si>
  <si>
    <t>ANDRESSA CRISTINA</t>
  </si>
  <si>
    <t>(11)959203342</t>
  </si>
  <si>
    <t>andressa.pereira@avntecnologia.com.br</t>
  </si>
  <si>
    <t>VILLA ROMANA ADMINISTRADORA DE SHOPPING CENTERS LTDA</t>
  </si>
  <si>
    <t>22.629.699/0001-96</t>
  </si>
  <si>
    <t>Cristiane</t>
  </si>
  <si>
    <t>18 99199-8506</t>
  </si>
  <si>
    <t>villaromana.adm@gmail.com</t>
  </si>
  <si>
    <t>Excellence Medical Comercio, Importação e Exportação LTDA</t>
  </si>
  <si>
    <t>02.608.793/0001-51</t>
  </si>
  <si>
    <t>Roberto / Kleber</t>
  </si>
  <si>
    <t>112909-4887</t>
  </si>
  <si>
    <t>dentalexcellence@terra.com.br</t>
  </si>
  <si>
    <t>J.L.ALVES &amp; SANTOS SOCIEDADE DE ADVOGADOS</t>
  </si>
  <si>
    <t>12.493.721/0001-60</t>
  </si>
  <si>
    <t>Jorge / Sthéfani</t>
  </si>
  <si>
    <t>(11)32030137</t>
  </si>
  <si>
    <t>faleconosco@jlasadvogados.com.br</t>
  </si>
  <si>
    <t>PALESTRA + TREINAMENTO e AET</t>
  </si>
  <si>
    <t>TOP FLORIPA TRANSPORTES E LOGISTICA LTDA</t>
  </si>
  <si>
    <t>12.278.797/0002-53</t>
  </si>
  <si>
    <t>Angelica</t>
  </si>
  <si>
    <t>rh@tvrtransportes.com.br</t>
  </si>
  <si>
    <t xml:space="preserve">18/06/2026 - Cliente ciente da proposta no whatsapp / Aguardando retorno do gerente </t>
  </si>
  <si>
    <t>21/05/2026 - Fabiana gostou da proposta aguardando a devolutiva para agendar a visita na nossa empresa.</t>
  </si>
  <si>
    <t>11/06/2026 - CLIENTE CIENTE DA PROPOSTA</t>
  </si>
  <si>
    <t>DORMER PRAMET SOLUCOES PARA USINAGEM LTDA</t>
  </si>
  <si>
    <t>60.875.580/0001-92</t>
  </si>
  <si>
    <t>Caio São Romão</t>
  </si>
  <si>
    <t>1197150-2312</t>
  </si>
  <si>
    <t>caio.romao@dormerpramet.com</t>
  </si>
  <si>
    <t>NR33</t>
  </si>
  <si>
    <t>À DEFINIR</t>
  </si>
  <si>
    <t>ORIENTAVIDA</t>
  </si>
  <si>
    <t>Talita</t>
  </si>
  <si>
    <t>rh@orientavida.org,br</t>
  </si>
  <si>
    <r>
      <rPr>
        <rFont val="Arial"/>
        <color theme="1"/>
      </rPr>
      <t xml:space="preserve">RETORNO DIA 18/05 - QUENTE / (19/05 encaminhado email cobrando -NA) - 20/05: Eduardo em reunião. Iriam retornar. 25/05; NÃO ATENDE/ </t>
    </r>
    <r>
      <rPr>
        <rFont val="Arial"/>
        <b/>
        <color theme="1"/>
      </rPr>
      <t>26-06 FLAVIA DISSE QUE AINDA NÃO FECHARAM. ESTÃO EM AVALIAÇÃO. - E-MAIL EVIADO - 30-06 - VINICIUS / ENCERREI O ANTENDIMENTO POR FALTA DE DEVOLUTIVA.</t>
    </r>
  </si>
  <si>
    <r>
      <rPr>
        <color rgb="FF000000"/>
        <sz val="10.0"/>
        <u/>
      </rPr>
      <t>karina.segundo@avantgardegroup.com.br</t>
    </r>
  </si>
  <si>
    <r>
      <rPr>
        <color rgb="FF1155CC"/>
        <sz val="10.0"/>
        <u/>
      </rPr>
      <t>compras@dynamis.ind.b</t>
    </r>
    <r>
      <rPr>
        <color rgb="FF000000"/>
        <sz val="10.0"/>
      </rPr>
      <t>r</t>
    </r>
  </si>
  <si>
    <t>AEP E NR-01</t>
  </si>
  <si>
    <r>
      <rPr>
        <color rgb="FF1155CC"/>
        <sz val="10.0"/>
        <u/>
      </rPr>
      <t>juliamaximodf@gmail.com</t>
    </r>
  </si>
  <si>
    <r>
      <rPr>
        <color rgb="FF000000"/>
        <sz val="10.0"/>
        <u/>
      </rPr>
      <t>rh@turimcondominios.com.br</t>
    </r>
  </si>
  <si>
    <r>
      <rPr>
        <color rgb="FF000000"/>
        <sz val="10.0"/>
        <u/>
      </rPr>
      <t>cheirinbaointergru@gmail.com</t>
    </r>
  </si>
  <si>
    <r>
      <rPr>
        <rFont val="-apple-system, &quot;Segoe UI&quot;, Roboto, sans-serif"/>
        <color rgb="FF1155CC"/>
        <sz val="10.0"/>
        <u/>
      </rPr>
      <t>compras@dynamis.ind.b</t>
    </r>
    <r>
      <rPr>
        <color rgb="FF000000"/>
        <sz val="10.0"/>
      </rPr>
      <t>r</t>
    </r>
  </si>
  <si>
    <r>
      <rPr>
        <color rgb="FF1155CC"/>
        <sz val="10.0"/>
        <u/>
      </rPr>
      <t>Suzana.sfs@icloud.com</t>
    </r>
  </si>
  <si>
    <r>
      <rPr>
        <rFont val="Arial"/>
        <color rgb="FF1155CC"/>
        <sz val="10.0"/>
        <u/>
      </rPr>
      <t>11 99464-7743</t>
    </r>
  </si>
  <si>
    <r>
      <rPr>
        <color rgb="FF1155CC"/>
        <sz val="10.0"/>
        <u/>
      </rPr>
      <t>cinthia.rhlsp@gmail.com</t>
    </r>
  </si>
  <si>
    <r>
      <rPr>
        <rFont val="&quot;Arial&quot;,sans-serif"/>
        <color rgb="FF1155CC"/>
        <sz val="10.0"/>
        <u/>
      </rPr>
      <t>fs0200908@gmail.com</t>
    </r>
  </si>
  <si>
    <r>
      <rPr>
        <rFont val="Arial"/>
        <color theme="1"/>
      </rPr>
      <t xml:space="preserve">29/06/2026 - 22684798 Amanda ainda essa semana retorna via e-mail sobre a proposta / </t>
    </r>
    <r>
      <rPr>
        <rFont val="Arial"/>
        <color rgb="FFFF0000"/>
      </rPr>
      <t>CAILLANE- 02/07 email enviado/ 13/07- empresa ainda não tem retorno</t>
    </r>
  </si>
  <si>
    <r>
      <rPr>
        <rFont val="Arial"/>
        <color theme="1"/>
      </rPr>
      <t xml:space="preserve">29/06/2026 - 22684798 Amanda ainda essa semana retorna via e-mail sobre a proposta / </t>
    </r>
    <r>
      <rPr>
        <rFont val="Arial"/>
        <color rgb="FFFF0000"/>
      </rPr>
      <t>CAILLANE- 02/07 email enviado/ 13/07- empresa ainda não tem retorno</t>
    </r>
  </si>
  <si>
    <r>
      <rPr>
        <rFont val="Arial"/>
        <color theme="1"/>
      </rPr>
      <t xml:space="preserve">18/06/2026 - E-mail enviado / </t>
    </r>
    <r>
      <rPr>
        <rFont val="Arial"/>
        <color rgb="FFFF0000"/>
      </rPr>
      <t>CAILLANE</t>
    </r>
  </si>
  <si>
    <t xml:space="preserve">26/06: Tatiane informou que só fez a pesquisa de valores e passou para o diretor. Se houver interesse, ele retorna. / 02/07 - Proposta declinada por falat de devolutiva. </t>
  </si>
  <si>
    <t xml:space="preserve">26/06 Thais ainda não avaliou mas ficou de verificar ainda hoje. 29/06: disse que terá reunião com diretoria dia 01/07 para falar sobre.  / 02/07 - Em conversa com a Thais (gestora do RH), a mesma prometeu nos dar uma devolutiva na data de amanhã (03/07). 07/07 - Retornar no dia 13/07 para solicitar uma devolutiva </t>
  </si>
  <si>
    <r>
      <rPr>
        <color rgb="FF000000"/>
        <sz val="10.0"/>
        <u/>
      </rPr>
      <t>financeiro@monicaviana.com.b</t>
    </r>
    <r>
      <rPr>
        <color rgb="FF000000"/>
        <sz val="10.0"/>
      </rPr>
      <t>r</t>
    </r>
  </si>
  <si>
    <r>
      <rPr>
        <rFont val="Arial"/>
        <color theme="1"/>
      </rPr>
      <t xml:space="preserve"> </t>
    </r>
    <r>
      <rPr>
        <rFont val="Arial"/>
        <color rgb="FFFF0000"/>
      </rPr>
      <t>CAILLANE- ANTIGA PROPOSTA DE NR-01 DO LUCAS</t>
    </r>
  </si>
  <si>
    <r>
      <rPr>
        <rFont val="Arial"/>
        <color rgb="FF000000"/>
      </rPr>
      <t>26/06: NÃO ATENDE -</t>
    </r>
    <r>
      <rPr>
        <rFont val="Arial"/>
        <b/>
        <color rgb="FF000000"/>
      </rPr>
      <t xml:space="preserve"> 29/06: não atende / 02/07 - </t>
    </r>
    <r>
      <rPr>
        <rFont val="Arial"/>
        <color rgb="FF000000"/>
      </rPr>
      <t xml:space="preserve">A empresa fechou com outra clínica. </t>
    </r>
  </si>
  <si>
    <r>
      <rPr>
        <rFont val="Arial"/>
        <color rgb="FF000000"/>
      </rPr>
      <t xml:space="preserve">EM TRATATIVA COM A SRTA. TATIANE POR E-MAIL. 26/06: encaminhado email cobrando posicionamento.- </t>
    </r>
    <r>
      <rPr>
        <rFont val="Arial"/>
        <b/>
        <color rgb="FF000000"/>
      </rPr>
      <t xml:space="preserve">29/06: caixa postal / 02/07 - Por falta de uma devolutiva, encerrei o contato com a empresa. </t>
    </r>
  </si>
  <si>
    <r>
      <rPr>
        <rFont val="Arial"/>
        <color rgb="FF000000"/>
      </rPr>
      <t xml:space="preserve">26/06: NÃO ATENDE- </t>
    </r>
    <r>
      <rPr>
        <rFont val="Arial"/>
        <b/>
        <color rgb="FF000000"/>
      </rPr>
      <t>29/06: caixa postal</t>
    </r>
  </si>
  <si>
    <r>
      <rPr>
        <rFont val="Arial"/>
        <color rgb="FF000000"/>
      </rPr>
      <t>26/06: não atende. Encaminhado email cobrando puma posição.</t>
    </r>
    <r>
      <rPr>
        <rFont val="Arial"/>
        <b/>
        <color rgb="FF000000"/>
      </rPr>
      <t xml:space="preserve"> 29/06: caixa postal - enviaram email informando que resposta somente em agosto </t>
    </r>
    <r>
      <rPr>
        <rFont val="Arial"/>
        <color rgb="FF000000"/>
      </rPr>
      <t>ago26.</t>
    </r>
  </si>
  <si>
    <t>19/06 - SOLICITADO PELO E-MAIL, EM TRATATIVA PELO E-MAIL E ZAPPY retornar em 29/06 parte da manhã - Não Atende / 02/07 - SEM RETORNO 09:09</t>
  </si>
  <si>
    <r>
      <rPr>
        <rFont val="Arial"/>
        <color rgb="FF000000"/>
      </rPr>
      <t xml:space="preserve">26/06: encaminhado email solicitando resposta. Não possui telefone. </t>
    </r>
    <r>
      <rPr>
        <rFont val="Arial"/>
        <b/>
        <color rgb="FF000000"/>
      </rPr>
      <t xml:space="preserve">29/06: encaminhado novo email. / 02/07 - Por falta de devolutiva encerro o contato. </t>
    </r>
  </si>
  <si>
    <r>
      <rPr>
        <rFont val="-apple-system, &quot;Segoe UI&quot;, Roboto, sans-serif"/>
        <color rgb="FF1155CC"/>
        <sz val="10.0"/>
        <u/>
      </rPr>
      <t>MAAHGRANDAO612@GMAIL.COM</t>
    </r>
  </si>
  <si>
    <r>
      <rPr>
        <rFont val="Arial"/>
        <color theme="1"/>
      </rPr>
      <t>22/06 - PROPOSTA ENCAMINHADA / 26:06:NÃO ATENDE - enviado email /</t>
    </r>
    <r>
      <rPr>
        <rFont val="Arial"/>
        <b/>
        <color rgb="FFFF0000"/>
      </rPr>
      <t xml:space="preserve"> 10/07: retornar para ver se a chefe definiu / 02/07 - Em contato com a empresa, ainda não tivemos uma devolutiva sobre a proposta encaminhada, mas alertei que a empresa teria até essas semana para dar andamento com os mesmo valores. </t>
    </r>
  </si>
  <si>
    <r>
      <rPr>
        <rFont val="Arial"/>
        <color theme="1"/>
      </rPr>
      <t>22/06 - PROPOSTA ENCAMINHADA / 26:06:NÃO ATENDE - enviado email /</t>
    </r>
    <r>
      <rPr>
        <rFont val="Arial"/>
        <b/>
        <color rgb="FFFF0000"/>
      </rPr>
      <t xml:space="preserve"> 10/07: retornar para ver se a chefe definiu / 02/07 - Em contato com a empresa, ainda não tivemos uma devolutiva sobre a proposta encaminhada, mas alertei que a empresa teria até essas semana para dar andamento com os mesmo valores. </t>
    </r>
  </si>
  <si>
    <r>
      <rPr>
        <rFont val="Arial"/>
        <color theme="1"/>
      </rPr>
      <t xml:space="preserve">23/06 - sem contato na parte da tarde! 26/06: não atende. </t>
    </r>
    <r>
      <rPr>
        <rFont val="Arial"/>
        <b/>
        <color rgb="FFFF0000"/>
      </rPr>
      <t xml:space="preserve">Enviado email 29/06: liguei e pediram para falar com a Márcia. Ligar dia 30/06. / 02/07 - Encaminhe mensagem pelo whatsapp  </t>
    </r>
  </si>
  <si>
    <r>
      <rPr>
        <rFont val="Arial"/>
        <color theme="1"/>
      </rPr>
      <t xml:space="preserve"> </t>
    </r>
    <r>
      <rPr>
        <rFont val="Arial"/>
        <color rgb="FFFF0000"/>
      </rPr>
      <t>CAILLANE- 13/07 fechou com outra empresa</t>
    </r>
  </si>
  <si>
    <r>
      <rPr>
        <rFont val="Arial"/>
        <color theme="1"/>
      </rPr>
      <t xml:space="preserve">18/06/2026 - E-mail enviado / </t>
    </r>
    <r>
      <rPr>
        <rFont val="Arial"/>
        <color rgb="FFFF0000"/>
      </rPr>
      <t>GUSTAVO</t>
    </r>
  </si>
  <si>
    <r>
      <rPr>
        <rFont val="Arial"/>
        <color theme="1"/>
      </rPr>
      <t xml:space="preserve">29/06/2026 - Contato feito aguardando retorno. / </t>
    </r>
    <r>
      <rPr>
        <rFont val="Arial"/>
        <color rgb="FFFF0000"/>
      </rPr>
      <t>GUSTAVO</t>
    </r>
  </si>
  <si>
    <r>
      <rPr>
        <rFont val="Arial"/>
        <color theme="1"/>
      </rPr>
      <t>18/06/2026 - Cliente ciente da proposta no whatsapp / Aguardando retorno /</t>
    </r>
    <r>
      <rPr>
        <rFont val="Arial"/>
        <color rgb="FFFF0000"/>
      </rPr>
      <t xml:space="preserve"> GUSTAVO</t>
    </r>
  </si>
  <si>
    <r>
      <rPr>
        <rFont val="Arial"/>
        <color theme="1"/>
      </rPr>
      <t xml:space="preserve">18/06/2026 - Cliente ciente da proposta no whatsapp / Aguardando retorno / </t>
    </r>
    <r>
      <rPr>
        <rFont val="Arial"/>
        <color rgb="FFFF0000"/>
      </rPr>
      <t>GUSTAVO</t>
    </r>
  </si>
  <si>
    <r>
      <rPr>
        <rFont val="Arial"/>
        <color theme="1"/>
      </rPr>
      <t xml:space="preserve">18/06/2026 - Cliente ciente da proposta no whatsapp / Aguardando retorno do juridico / </t>
    </r>
    <r>
      <rPr>
        <rFont val="Arial"/>
        <color rgb="FFFF0000"/>
      </rPr>
      <t>MIKAELLE</t>
    </r>
  </si>
  <si>
    <r>
      <rPr>
        <rFont val="Arial"/>
        <color theme="1"/>
      </rPr>
      <t xml:space="preserve">18/06/2026 - Cliente ciente da proposta no whatsapp / Aguardando retorno do juridico / </t>
    </r>
    <r>
      <rPr>
        <rFont val="Arial"/>
        <color rgb="FFFF0000"/>
      </rPr>
      <t>MIKAELLE</t>
    </r>
  </si>
  <si>
    <r>
      <rPr>
        <rFont val="Arial"/>
        <color theme="1"/>
      </rPr>
      <t>18/06/2026 - Cliente ciente da proposta no whatsapp / Aguardando retorno /</t>
    </r>
    <r>
      <rPr>
        <rFont val="Arial"/>
        <color rgb="FFFF0000"/>
      </rPr>
      <t xml:space="preserve"> MIKAELLE</t>
    </r>
  </si>
  <si>
    <r>
      <rPr>
        <rFont val="Arial"/>
        <color theme="1"/>
      </rPr>
      <t xml:space="preserve">18/06/2026 - Cliente ciente da proposta no whatsapp / Aguardando retorno / </t>
    </r>
    <r>
      <rPr>
        <rFont val="Arial"/>
        <color rgb="FFFF0000"/>
      </rPr>
      <t>MIKAELLE</t>
    </r>
  </si>
  <si>
    <r>
      <rPr>
        <rFont val="Arial"/>
        <color theme="1"/>
      </rPr>
      <t xml:space="preserve">18/06/2026 - Cliente ciente da proposta no whatsapp / Aguardando retorno / </t>
    </r>
    <r>
      <rPr>
        <rFont val="Arial"/>
        <color rgb="FFFF0000"/>
      </rPr>
      <t>MIKAELLE</t>
    </r>
  </si>
  <si>
    <r>
      <rPr>
        <rFont val="Arial"/>
        <color theme="1"/>
      </rPr>
      <t xml:space="preserve">18/06/2026 - Cliente ciente da proposta no whatsapp / Aguardando retorno do gerente / </t>
    </r>
    <r>
      <rPr>
        <rFont val="Arial"/>
        <color rgb="FFFF0000"/>
      </rPr>
      <t>VITÓRIA 02/07 Em contato pelo whatsapp</t>
    </r>
  </si>
  <si>
    <r>
      <rPr>
        <rFont val="Arial"/>
        <color theme="1"/>
      </rPr>
      <t xml:space="preserve">21/05/2026 - Fabiana gostou da proposta aguardando a devolutiva para agendar a visita na nossa empresa. / </t>
    </r>
    <r>
      <rPr>
        <rFont val="Arial"/>
        <color rgb="FFFF0000"/>
      </rPr>
      <t>VITÓRIA 06/07 Irá contratar o serviço, mas não nesse momento</t>
    </r>
  </si>
  <si>
    <r>
      <rPr>
        <rFont val="Arial"/>
        <color theme="1"/>
      </rPr>
      <t xml:space="preserve">11/06/2026 - CLIENTE CIENTE DA PROPOSTA / </t>
    </r>
    <r>
      <rPr>
        <rFont val="Arial"/>
        <color rgb="FFFF0000"/>
      </rPr>
      <t>VITÓRIA 06/07 Ligar no dia 08/07 á partir das 10hr, falar com fernanda.</t>
    </r>
  </si>
  <si>
    <t>VITÓRIA 06/07 Seguiu com outra prestadora.</t>
  </si>
  <si>
    <t>VITÓRIA 06/07 Em contato por telefone, a mesma informou que esta aguardando receber proposta de mais 3 empresas, e que assim que receber irá nos enviar para avaliarmos referente a valores.</t>
  </si>
  <si>
    <t>HDCON ARQUITETURA E ENGENHARIA LTDA</t>
  </si>
  <si>
    <t>33.667.720/0001-64</t>
  </si>
  <si>
    <t>BRUNA</t>
  </si>
  <si>
    <t>11 94536-9608</t>
  </si>
  <si>
    <t>adm@hdconengenharia.com.br</t>
  </si>
  <si>
    <t>06/07 Passou a proposta para o responsável e nos trara uma devolutiva amanhã. 07/07 Fechou com outra prestadora</t>
  </si>
  <si>
    <t>NUCLEO DE APOIO A CARREIRA LTDA</t>
  </si>
  <si>
    <t>60.796.576/0001-39</t>
  </si>
  <si>
    <t>11 99491-0547</t>
  </si>
  <si>
    <t>rh@nacrh.com.br</t>
  </si>
  <si>
    <t>ATOTECH DO BRASIL GALVANOTECNICA LTDA</t>
  </si>
  <si>
    <t>43.633.601/0001-44</t>
  </si>
  <si>
    <t>PRISCILA</t>
  </si>
  <si>
    <t>(11) 4138-9902</t>
  </si>
  <si>
    <t>priscila.valentim@mks.com</t>
  </si>
  <si>
    <t>06/07 Passou a proposta para o responsável, pediu para ligar na quarta 08/07</t>
  </si>
  <si>
    <t>MARCO TWO RESTAURANTE LTDA</t>
  </si>
  <si>
    <t>67.741.408.0001-95</t>
  </si>
  <si>
    <t>MARCO</t>
  </si>
  <si>
    <t>TERRA D'ORO COMERCIO ATACADISTA E VAREJISTA DE VINHOS</t>
  </si>
  <si>
    <t>54.439.238/0001-47</t>
  </si>
  <si>
    <t>Vinicius</t>
  </si>
  <si>
    <t>11 97689-8956</t>
  </si>
  <si>
    <t>financeiro@terradoro.com.br</t>
  </si>
  <si>
    <t xml:space="preserve"> INOVE HIGIENE COMERCIO E SERVICOS DE DESCARTAVEIS LTDA</t>
  </si>
  <si>
    <t xml:space="preserve"> 09.478.580/0001-00 </t>
  </si>
  <si>
    <t>Andre</t>
  </si>
  <si>
    <t>11 98464-0020</t>
  </si>
  <si>
    <t xml:space="preserve">adm@inovehigiene.com.br </t>
  </si>
  <si>
    <t>DOSIMETRIA DE RUIDO E VIBRAÇÃO OCUPACIONAL</t>
  </si>
  <si>
    <t>ELFER COMERCIO LTDA</t>
  </si>
  <si>
    <t>53.301.215/0002-90</t>
  </si>
  <si>
    <t>Elvis</t>
  </si>
  <si>
    <t>11 95391-1636</t>
  </si>
  <si>
    <r>
      <rPr>
        <color rgb="FF000000"/>
        <sz val="10.0"/>
        <u/>
      </rPr>
      <t>elvishenrique95@gmail.com</t>
    </r>
  </si>
  <si>
    <t xml:space="preserve">FREITAS E ASSAD ADVOGADOS </t>
  </si>
  <si>
    <t>48.933.053/0001-91</t>
  </si>
  <si>
    <t>Caroline</t>
  </si>
  <si>
    <t>11 5990-3482</t>
  </si>
  <si>
    <t>caroline.oliveira@freitaseassad.com.br</t>
  </si>
  <si>
    <t>GIANCARLO PERES BOLDARINE EIRELI</t>
  </si>
  <si>
    <t>09.479.822/0001-71</t>
  </si>
  <si>
    <t>Giancarlo</t>
  </si>
  <si>
    <t>meiasnovaera@hotmail.com</t>
  </si>
  <si>
    <t xml:space="preserve"> MULTI WORK INFORMATICA LTDA</t>
  </si>
  <si>
    <t>61.595.666/0001-24</t>
  </si>
  <si>
    <t xml:space="preserve">Jorge </t>
  </si>
  <si>
    <t>11 4407-0900</t>
  </si>
  <si>
    <t xml:space="preserve">jp@multiwork.com.br / helenice.freitas@klg.com.br </t>
  </si>
  <si>
    <r>
      <rPr>
        <color rgb="FF000000"/>
        <sz val="10.0"/>
        <u/>
      </rPr>
      <t>elvishenrique95@gmail.com</t>
    </r>
  </si>
  <si>
    <t>LTCAT + ART</t>
  </si>
  <si>
    <t>(11)2413-5000</t>
  </si>
  <si>
    <t>AET + Dosimetria de Ruído</t>
  </si>
  <si>
    <t>CONDOMINIO EDIFICIO CENTRO COMERCIAL NOVO JABAQUARA</t>
  </si>
  <si>
    <t>54.534.789/0001-90</t>
  </si>
  <si>
    <t>WALTER ANTÔNIO CHIQUETTO</t>
  </si>
  <si>
    <t>11 99767-7128</t>
  </si>
  <si>
    <t>novojabaquaracondominio@gmail.com</t>
  </si>
  <si>
    <t>CONAM CONSULTORIA AMBIENTAL LTDA (RPBC)</t>
  </si>
  <si>
    <t>Galba de Farias Couto</t>
  </si>
  <si>
    <t>(11) 3085-6087</t>
  </si>
  <si>
    <t>galba.couto@conam.eng.br</t>
  </si>
  <si>
    <t>PCMSO (FILIAL)</t>
  </si>
  <si>
    <t>BLITZ RECURSOS HUMANOS LTDA</t>
  </si>
  <si>
    <t>05.955.541/0001-97</t>
  </si>
  <si>
    <t>Eder Lira</t>
  </si>
  <si>
    <t>(11) 91273-1296</t>
  </si>
  <si>
    <t>suprimentos@blitzrecursoshumanos.com.br</t>
  </si>
  <si>
    <t>FATURAMENTO DE EXAMES</t>
  </si>
  <si>
    <t>MUDE CONSTRUTORA E INCORPORADORA LTDA</t>
  </si>
  <si>
    <t>03.069.088/0001-96</t>
  </si>
  <si>
    <t>Tamiris Calvanti Ros</t>
  </si>
  <si>
    <t>(11) 93461-3244</t>
  </si>
  <si>
    <t>tamiris@mudeconstrucoes.com.br</t>
  </si>
  <si>
    <t>ART (PGR)</t>
  </si>
  <si>
    <t>MERCADINHO E PANIFICADORA SOUZA LTDA</t>
  </si>
  <si>
    <t>01.491.710/0001-24</t>
  </si>
  <si>
    <t>WALMOR</t>
  </si>
  <si>
    <t>(75) 99197-8383</t>
  </si>
  <si>
    <r>
      <rPr>
        <color rgb="FF000000"/>
        <sz val="10.0"/>
        <u/>
      </rPr>
      <t>walmor@uol.com.br</t>
    </r>
  </si>
  <si>
    <t xml:space="preserve"> CONDOMINIO EDIFICIO JACIRA</t>
  </si>
  <si>
    <t>54.072.319/0001-51</t>
  </si>
  <si>
    <t>Maria do Carmo</t>
  </si>
  <si>
    <t xml:space="preserve"> 11 96366-5276 </t>
  </si>
  <si>
    <t xml:space="preserve">duca2006@hotmail.com </t>
  </si>
  <si>
    <t>HIDROMAR INDUSTRIA QUIMICA LTDA</t>
  </si>
  <si>
    <t>46.481.156/0001-32</t>
  </si>
  <si>
    <t>RAPHAEL</t>
  </si>
  <si>
    <t>(13) 99661-5956</t>
  </si>
  <si>
    <t>raphael.fernandes@grupohidromar.com.br</t>
  </si>
  <si>
    <t>BELLACON CONSTRUTORA E INCORPORADORA LTDA</t>
  </si>
  <si>
    <t>07.667.763/0001-30</t>
  </si>
  <si>
    <t>ARLETE</t>
  </si>
  <si>
    <t>(11)99417-9453</t>
  </si>
  <si>
    <t>tst1@bellacon.com.br</t>
  </si>
  <si>
    <t>ANTI-SLIP SYSTEM TRATAMENTO DE PISOS LTDA</t>
  </si>
  <si>
    <t>19.906.360/0001-85</t>
  </si>
  <si>
    <t>Tatiana Vilhena</t>
  </si>
  <si>
    <t>(11) 98365-0887</t>
  </si>
  <si>
    <r>
      <rPr>
        <color rgb="FF000000"/>
        <sz val="10.0"/>
        <u/>
      </rPr>
      <t>adm@antislip.com.b</t>
    </r>
  </si>
  <si>
    <t>FIT TEST E PPR</t>
  </si>
  <si>
    <t>FABIO DOS SANTOS SARAGIOTTO</t>
  </si>
  <si>
    <t>26.804.710/0001-68</t>
  </si>
  <si>
    <t>11 98149-7899</t>
  </si>
  <si>
    <r>
      <rPr>
        <rFont val="Arial, Helvetica, sans-serif"/>
        <color rgb="FF1155CC"/>
        <u/>
      </rPr>
      <t>fsaragio@gmail.com</t>
    </r>
  </si>
  <si>
    <t>MUDE CONSTRUTORA</t>
  </si>
  <si>
    <t>FRANCISCO RÓS GASQUES</t>
  </si>
  <si>
    <t>11 3371-3384</t>
  </si>
  <si>
    <t>departamentopessoal@mudeconstrucoes.com.br</t>
  </si>
  <si>
    <t>CR ENGENHARIA E CONSTRUCOES LTDA</t>
  </si>
  <si>
    <t>40.971.401/0001-03</t>
  </si>
  <si>
    <t>TAMIRIS CAVALCANTI RÓS</t>
  </si>
  <si>
    <t xml:space="preserve"> UNIDAS CONTABILIDADE LTDA </t>
  </si>
  <si>
    <t xml:space="preserve">06.959.473/0001-05 </t>
  </si>
  <si>
    <t>Carmem</t>
  </si>
  <si>
    <t xml:space="preserve">11 99248-2198 </t>
  </si>
  <si>
    <t xml:space="preserve">carmem@unidascontabilidade.com.br </t>
  </si>
  <si>
    <t>SCS GLOBAL SERVICES BRASIL LTDA.</t>
  </si>
  <si>
    <t>59.504.156/0001-52</t>
  </si>
  <si>
    <t>Andrea Waeny</t>
  </si>
  <si>
    <t>013 99789-3122</t>
  </si>
  <si>
    <t>awaeny@scsglobalservices.com</t>
  </si>
  <si>
    <t>XIAOBING TAN</t>
  </si>
  <si>
    <t>43.457.543/0001-45</t>
  </si>
  <si>
    <t>Xiaobing tan</t>
  </si>
  <si>
    <t>11 958621223</t>
  </si>
  <si>
    <t>Shoujia5656123@outlook.com</t>
  </si>
  <si>
    <t xml:space="preserve">PAULO GILVAN PIRES </t>
  </si>
  <si>
    <t>07.434.484/0001-26</t>
  </si>
  <si>
    <t>Paulo</t>
  </si>
  <si>
    <t xml:space="preserve"> paulinhoracoes@hotmail.com</t>
  </si>
  <si>
    <t xml:space="preserve"> Sociedade de Ensino Modular Ltda</t>
  </si>
  <si>
    <t xml:space="preserve"> 00.822.794/0001-79 </t>
  </si>
  <si>
    <t>Azor Wuowey</t>
  </si>
  <si>
    <t xml:space="preserve"> 11 99456-3950 </t>
  </si>
  <si>
    <t xml:space="preserve"> azor@colegiomodular.com.br </t>
  </si>
  <si>
    <t>GO NOW ALPHA LTDA</t>
  </si>
  <si>
    <t>67.739.844/0001-20</t>
  </si>
  <si>
    <t>MILENA ALICE CIRINO</t>
  </si>
  <si>
    <t>(11) 99208-3473</t>
  </si>
  <si>
    <t>milena.cirino@gruppogobbi.com.br</t>
  </si>
  <si>
    <t>09/07 - PROPOSTA ASSINADA / HAVIA UMA OUTRA Go Now Alphaville Condicionamento Físico LTDA, CNPJ 61.275.448/0001-02, esse contrato está em processo de cancelamento e estará se tranferindo para esse CNPJ, assim com os funcionários.</t>
  </si>
  <si>
    <t xml:space="preserve"> MAB ADMINISTRADORA DE IMOVEIS EIRELI</t>
  </si>
  <si>
    <t xml:space="preserve">23.829.194/0001-38 </t>
  </si>
  <si>
    <t>11 953361133</t>
  </si>
  <si>
    <t xml:space="preserve">fernanda@mabimoveis.com.br </t>
  </si>
  <si>
    <t>JEFFERSON DE JESUS SOUSA SOCIEDADE INDIVIDUAL DE ADVOCACIA</t>
  </si>
  <si>
    <t>47.581.706/0001-58</t>
  </si>
  <si>
    <t>SABRINA</t>
  </si>
  <si>
    <t>Sabrina.costa@ethosbeneficios.com.br</t>
  </si>
  <si>
    <t xml:space="preserve"> EMPORIO LA GRANOLA LTDA</t>
  </si>
  <si>
    <t xml:space="preserve"> 26.012.178/0001-46 </t>
  </si>
  <si>
    <t xml:space="preserve">(11) 94806-6634 </t>
  </si>
  <si>
    <t xml:space="preserve">contato@lagranola.com.br </t>
  </si>
  <si>
    <t>T.B DA SILVA DEDETIZADORA</t>
  </si>
  <si>
    <t>14.095.645/0001-60</t>
  </si>
  <si>
    <t>Deise RIbeiro</t>
  </si>
  <si>
    <t>(11) 91460-9692</t>
  </si>
  <si>
    <t>qualidade@eccocleandedetizacao.com.br</t>
  </si>
  <si>
    <t>R&amp;M URBAN DRINKS COMERCIO DE ALIMENTOS</t>
  </si>
  <si>
    <t>60.492.867/0001-33</t>
  </si>
  <si>
    <t>ROBSON</t>
  </si>
  <si>
    <t>(11) 98196-7058</t>
  </si>
  <si>
    <t>bebasplash4@gmail.com</t>
  </si>
  <si>
    <t>ESMY DESIGN DE JOIAS LTDA</t>
  </si>
  <si>
    <t>33.512.897/0001-91</t>
  </si>
  <si>
    <t>Flavio Rodolfo Sousa</t>
  </si>
  <si>
    <t>(11) 9629-10600</t>
  </si>
  <si>
    <t>flaviorealiza@gmail.com</t>
  </si>
  <si>
    <t xml:space="preserve"> OURA VISION LTDA </t>
  </si>
  <si>
    <t>63.217.328/0001-84</t>
  </si>
  <si>
    <t xml:space="preserve">19 99224-0084 </t>
  </si>
  <si>
    <t xml:space="preserve">administrativo@ouravision.com </t>
  </si>
  <si>
    <t>PERSEV MED COMERCIO DE PRODUTOS HOSPITALARES LTDA</t>
  </si>
  <si>
    <t>64.404.992/0001-03</t>
  </si>
  <si>
    <t>(11) 97799-0018</t>
  </si>
  <si>
    <r>
      <rPr>
        <color rgb="FF000000"/>
        <sz val="10.0"/>
        <u/>
      </rPr>
      <t>adrianapersevmed@gmail.com</t>
    </r>
  </si>
  <si>
    <t>FLUXO LAB PROTESE DENTARIA LTDA</t>
  </si>
  <si>
    <t>43.304.429/0001-85</t>
  </si>
  <si>
    <t>Percio de Souza nunes</t>
  </si>
  <si>
    <t>11 97667 6322</t>
  </si>
  <si>
    <r>
      <rPr>
        <color rgb="FF1155CC"/>
        <u/>
      </rPr>
      <t>fluxolabjet@outlook.com</t>
    </r>
  </si>
  <si>
    <t>WGK INDUSTRIA MECANICA LTDA</t>
  </si>
  <si>
    <t>71.966.352/0001-44</t>
  </si>
  <si>
    <t>Luciana</t>
  </si>
  <si>
    <t>(19) 3241-9343</t>
  </si>
  <si>
    <r>
      <rPr>
        <color rgb="FF000000"/>
        <sz val="10.0"/>
        <u/>
      </rPr>
      <t>nuvembranca211@hotmail.com</t>
    </r>
  </si>
  <si>
    <t>GRF SEGURANCA E MEDICINA DO TRABALHO LTDA</t>
  </si>
  <si>
    <t>68.858.885/0001-06</t>
  </si>
  <si>
    <t>Alessandra Griffo</t>
  </si>
  <si>
    <t>(11) 3723-2500</t>
  </si>
  <si>
    <t>atendimento@grfocupacional.com.br</t>
  </si>
  <si>
    <t>EXAMES: TESTE ERGOMÉTRICO e AVALIAÇÃO OFTAMOLÓGICA</t>
  </si>
  <si>
    <t>13/07 - Proposta encaminhada  - 14/07 - retificada</t>
  </si>
  <si>
    <t xml:space="preserve"> RGL TERCEIRIZACAO DE MAO DE OBRA LTDA.</t>
  </si>
  <si>
    <t xml:space="preserve">17.899.615/0001-02 </t>
  </si>
  <si>
    <t>Erika</t>
  </si>
  <si>
    <t>11 976229673</t>
  </si>
  <si>
    <t xml:space="preserve"> financeiro@gruporglterceirizacao.com.br </t>
  </si>
  <si>
    <t>MOHAMED YOUNES CONFECCOES LTDA</t>
  </si>
  <si>
    <t>67.806.911/0001-81</t>
  </si>
  <si>
    <t>MOHAMED</t>
  </si>
  <si>
    <t>(11)99320-2332</t>
  </si>
  <si>
    <r>
      <rPr>
        <rFont val="&quot;Segoe UI&quot;, &quot;Segoe UI Web (West European)&quot;, -apple-system, BlinkMacSystemFont, Roboto, &quot;Helvetica Neue&quot;, sans-serif"/>
        <color rgb="FF000000"/>
        <sz val="10.0"/>
        <u/>
      </rPr>
      <t>akoneaki9@gmail.com</t>
    </r>
  </si>
  <si>
    <t>NEUVAC VACINACAO E IMUNIZACAO LTDA</t>
  </si>
  <si>
    <t>49.820.195/0001-05</t>
  </si>
  <si>
    <t>LINDINEUZA BONFIM</t>
  </si>
  <si>
    <t>(11) 96129-2064</t>
  </si>
  <si>
    <t>lindineuzabonfim@gmail.com</t>
  </si>
  <si>
    <t xml:space="preserve">14/07 - Proposta encaminhada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</si>
</sst>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dd/MM/yyyy"/>
    <numFmt numFmtId="166" formatCode="dd/mm/yyyy"/>
    <numFmt numFmtId="167" formatCode="d/m/yyyy"/>
    <numFmt numFmtId="168" formatCode="dd/mm"/>
  </numFmts>
  <fonts count="158">
    <font>
      <sz val="10.0"/>
      <color rgb="FF000000"/>
      <name val="Arial"/>
      <scheme val="minor"/>
    </font>
    <font>
      <b/>
      <sz val="10.0"/>
      <color rgb="FFFFFFFF"/>
      <name val="Century Gothic"/>
    </font>
    <font>
      <color theme="1"/>
      <name val="Arial"/>
      <scheme val="minor"/>
    </font>
    <font>
      <color rgb="FFFFFFFF"/>
      <name val="Arial"/>
      <scheme val="minor"/>
    </font>
    <font>
      <sz val="10.0"/>
      <color theme="1"/>
      <name val="Century Gothic"/>
    </font>
    <font>
      <sz val="10.0"/>
      <color rgb="FF000000"/>
      <name val="Century Gothic"/>
    </font>
    <font>
      <color theme="1"/>
      <name val="Arial"/>
    </font>
    <font>
      <sz val="10.0"/>
      <color theme="5"/>
      <name val="Century Gothic"/>
    </font>
    <font>
      <sz val="10.0"/>
      <color rgb="FF34A853"/>
      <name val="Century Gothic"/>
    </font>
    <font>
      <sz val="10.0"/>
      <color theme="7"/>
      <name val="Century Gothic"/>
    </font>
    <font>
      <sz val="10.0"/>
      <color theme="1"/>
      <name val="Arial"/>
      <scheme val="minor"/>
    </font>
    <font>
      <u/>
      <sz val="10.0"/>
      <color theme="1"/>
      <name val="Century Gothic"/>
    </font>
    <font>
      <u/>
      <sz val="10.0"/>
      <color theme="1"/>
      <name val="Century Gothic"/>
    </font>
    <font>
      <b/>
      <sz val="10.0"/>
      <color rgb="FF333333"/>
      <name val="Century Gothic"/>
    </font>
    <font>
      <sz val="10.0"/>
      <color rgb="FF1F1F1F"/>
      <name val="Century Gothic"/>
    </font>
    <font>
      <sz val="10.0"/>
      <color theme="1"/>
      <name val="Arial"/>
    </font>
    <font>
      <sz val="10.0"/>
      <color rgb="FF222222"/>
      <name val="Century Gothic"/>
    </font>
    <font>
      <u/>
      <sz val="10.0"/>
      <color theme="1"/>
      <name val="Century Gothic"/>
    </font>
    <font>
      <sz val="10.0"/>
      <color rgb="FF333333"/>
      <name val="Century Gothic"/>
    </font>
    <font>
      <sz val="10.0"/>
      <color rgb="FF363B44"/>
      <name val="Century Gothic"/>
    </font>
    <font>
      <color rgb="FF34A853"/>
      <name val="Arial"/>
    </font>
    <font>
      <sz val="10.0"/>
      <color rgb="FF333333"/>
      <name val="Arial"/>
      <scheme val="minor"/>
    </font>
    <font>
      <sz val="10.0"/>
      <color rgb="FF222222"/>
      <name val="Arial"/>
      <scheme val="minor"/>
    </font>
    <font>
      <color rgb="FF000000"/>
      <name val="Arial"/>
      <scheme val="minor"/>
    </font>
    <font>
      <color rgb="FF000000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color theme="1"/>
      <name val="Calibri"/>
    </font>
    <font>
      <color rgb="FFFF0000"/>
      <name val="Arial"/>
    </font>
    <font>
      <sz val="10.0"/>
      <color rgb="FF333333"/>
      <name val="Arial"/>
    </font>
    <font>
      <u/>
      <color theme="1"/>
      <name val="Arial"/>
    </font>
    <font>
      <sz val="10.0"/>
      <color rgb="FF000000"/>
      <name val="Arial"/>
    </font>
    <font>
      <color rgb="FF222222"/>
      <name val="Arial"/>
    </font>
    <font>
      <sz val="10.0"/>
      <color rgb="FF1F1F1F"/>
      <name val="Arial"/>
      <scheme val="minor"/>
    </font>
    <font>
      <u/>
      <sz val="10.0"/>
      <color rgb="FF000000"/>
    </font>
    <font>
      <color rgb="FF333333"/>
      <name val="Arial"/>
    </font>
    <font>
      <u/>
      <color rgb="FF0000FF"/>
      <name val="Arial"/>
    </font>
    <font>
      <sz val="11.0"/>
      <color rgb="FF1F1F1F"/>
      <name val="Roboto"/>
    </font>
    <font>
      <color theme="1"/>
      <name val="&quot;Aptos Narrow&quot;"/>
    </font>
    <font>
      <color theme="1"/>
      <name val="&quot;Arial&quot;"/>
    </font>
    <font>
      <sz val="10.0"/>
      <color theme="8"/>
      <name val="Arial"/>
      <scheme val="minor"/>
    </font>
    <font>
      <sz val="10.0"/>
      <color theme="8"/>
      <name val="Arial"/>
    </font>
    <font>
      <sz val="10.0"/>
      <color rgb="FFFF6D01"/>
      <name val="Arial"/>
    </font>
    <font>
      <b/>
      <sz val="10.0"/>
      <color rgb="FFFF6D01"/>
      <name val="Arial"/>
    </font>
    <font>
      <b/>
      <sz val="10.0"/>
      <color rgb="FFFF6D01"/>
      <name val="Arial"/>
      <scheme val="minor"/>
    </font>
    <font>
      <color rgb="FF444444"/>
      <name val="Arial"/>
    </font>
    <font>
      <u/>
      <color rgb="FF1155CC"/>
      <name val="Arial"/>
    </font>
    <font>
      <color rgb="FF1F1F1F"/>
      <name val="Arial"/>
    </font>
    <font>
      <u/>
      <color rgb="FF0097A7"/>
      <name val="Arial"/>
    </font>
    <font>
      <u/>
      <color rgb="FF0097A7"/>
      <name val="Arial"/>
    </font>
    <font>
      <u/>
      <color theme="1"/>
      <name val="Arial"/>
    </font>
    <font>
      <u/>
      <color rgb="FF0097A7"/>
      <name val="Arial"/>
    </font>
    <font>
      <u/>
      <color rgb="FF0097A7"/>
      <name val="Arial"/>
    </font>
    <font>
      <color theme="1"/>
      <name val="Roboto"/>
    </font>
    <font>
      <u/>
      <color rgb="FF0000FF"/>
      <name val="Arial"/>
    </font>
    <font>
      <color rgb="FF1F1F1F"/>
      <name val="Roboto"/>
    </font>
    <font>
      <sz val="12.0"/>
      <color theme="1"/>
      <name val="Calibri"/>
    </font>
    <font>
      <u/>
      <color rgb="FF0097A7"/>
      <name val="Arial"/>
    </font>
    <font>
      <sz val="11.0"/>
      <color rgb="FF000000"/>
      <name val="Roboto"/>
    </font>
    <font>
      <color rgb="FFFF0000"/>
      <name val="Arial"/>
      <scheme val="minor"/>
    </font>
    <font>
      <sz val="10.0"/>
      <color rgb="FF444444"/>
      <name val="Arial"/>
      <scheme val="minor"/>
    </font>
    <font>
      <u/>
      <color theme="1"/>
      <name val="Arial"/>
    </font>
    <font>
      <u/>
      <color rgb="FF0000FF"/>
      <name val="&quot;Arial&quot;"/>
    </font>
    <font>
      <u/>
      <color rgb="FF0000FF"/>
    </font>
    <font>
      <u/>
      <color theme="1"/>
      <name val="Arial"/>
      <scheme val="minor"/>
    </font>
    <font>
      <sz val="10.0"/>
      <color rgb="FFFF0000"/>
      <name val="Arial"/>
    </font>
    <font>
      <color rgb="FF0000FF"/>
      <name val="Arial"/>
      <scheme val="minor"/>
    </font>
    <font>
      <u/>
      <color rgb="FF000000"/>
      <name val="Arial"/>
    </font>
    <font>
      <color rgb="FF000000"/>
      <name val="&quot;Arial&quot;"/>
    </font>
    <font>
      <color rgb="FF434343"/>
      <name val="Arial"/>
      <scheme val="minor"/>
    </font>
    <font>
      <u/>
      <color rgb="FF000000"/>
      <name val="Arial"/>
      <scheme val="minor"/>
    </font>
    <font>
      <color rgb="FF0000FF"/>
      <name val="Arial"/>
    </font>
    <font>
      <sz val="11.0"/>
      <color theme="1"/>
      <name val="Arial"/>
    </font>
    <font>
      <sz val="10.0"/>
      <color rgb="FF434343"/>
      <name val="Arial"/>
      <scheme val="minor"/>
    </font>
    <font>
      <color rgb="FF434343"/>
      <name val="Arial"/>
    </font>
    <font>
      <sz val="10.0"/>
      <color rgb="FF434343"/>
      <name val="Arial"/>
    </font>
    <font>
      <sz val="10.0"/>
      <color rgb="FF222222"/>
      <name val="Arial"/>
    </font>
    <font>
      <u/>
      <sz val="10.0"/>
      <color rgb="FF0000FF"/>
    </font>
    <font>
      <u/>
      <color rgb="FF000000"/>
      <name val="Arial"/>
      <scheme val="minor"/>
    </font>
    <font>
      <sz val="10.0"/>
      <color rgb="FF0000FF"/>
      <name val="Arial"/>
    </font>
    <font>
      <sz val="10.0"/>
      <color rgb="FFFF0000"/>
      <name val="Arial"/>
      <scheme val="minor"/>
    </font>
    <font>
      <u/>
      <color rgb="FF000000"/>
      <name val="Arial"/>
      <scheme val="minor"/>
    </font>
    <font>
      <u/>
      <sz val="10.0"/>
      <color rgb="FF000000"/>
    </font>
    <font>
      <u/>
      <sz val="10.0"/>
      <color theme="1"/>
      <name val="Arial"/>
      <scheme val="minor"/>
    </font>
    <font>
      <u/>
      <sz val="10.0"/>
      <color rgb="FF000000"/>
      <name val="&quot;Google Sans&quot;"/>
    </font>
    <font>
      <u/>
      <sz val="10.0"/>
      <color rgb="FF000000"/>
    </font>
    <font>
      <b/>
      <color theme="1"/>
      <name val="Arial"/>
    </font>
    <font>
      <b/>
      <color rgb="FF000000"/>
      <name val="Arial"/>
      <scheme val="minor"/>
    </font>
    <font>
      <color rgb="FF222222"/>
      <name val="&quot;Arial&quot;"/>
    </font>
    <font>
      <sz val="12.0"/>
      <color rgb="FF000000"/>
      <name val="&quot;Arial&quot;"/>
    </font>
    <font>
      <sz val="10.0"/>
      <color rgb="FF0000FF"/>
      <name val="Arial"/>
      <scheme val="minor"/>
    </font>
    <font>
      <u/>
      <color rgb="FF000000"/>
      <name val="Arial"/>
    </font>
    <font>
      <b/>
      <color theme="1"/>
      <name val="Arial"/>
      <scheme val="minor"/>
    </font>
    <font>
      <u/>
      <color rgb="FF434343"/>
      <name val="Arial"/>
      <scheme val="minor"/>
    </font>
    <font>
      <sz val="9.0"/>
      <color rgb="FF000000"/>
      <name val="Arial"/>
      <scheme val="minor"/>
    </font>
    <font>
      <u/>
      <sz val="10.0"/>
      <color rgb="FF000000"/>
      <name val="Arial"/>
      <scheme val="minor"/>
    </font>
    <font>
      <b/>
      <sz val="8.0"/>
      <color rgb="FF333333"/>
      <name val="Arial"/>
    </font>
    <font>
      <color rgb="FF434343"/>
      <name val="&quot;Arial&quot;"/>
    </font>
    <font>
      <sz val="8.0"/>
      <color theme="1"/>
      <name val="Arial"/>
      <scheme val="minor"/>
    </font>
    <font>
      <sz val="11.0"/>
      <color rgb="FF222222"/>
      <name val="&quot;Google Sans&quot;"/>
    </font>
    <font>
      <sz val="9.0"/>
      <color theme="1"/>
      <name val="Arial"/>
    </font>
    <font>
      <sz val="9.0"/>
      <color theme="1"/>
      <name val="Arial"/>
      <scheme val="minor"/>
    </font>
    <font>
      <u/>
      <sz val="10.0"/>
      <color rgb="FF000000"/>
      <name val="Arial"/>
    </font>
    <font>
      <u/>
      <color rgb="FF000000"/>
    </font>
    <font>
      <sz val="10.0"/>
      <color rgb="FF000000"/>
      <name val="-apple-system"/>
    </font>
    <font>
      <u/>
      <sz val="10.0"/>
      <color rgb="FF000000"/>
      <name val="Arial"/>
    </font>
    <font>
      <u/>
      <sz val="10.0"/>
      <color rgb="FF000000"/>
      <name val="-apple-system"/>
    </font>
    <font>
      <sz val="10.0"/>
      <color rgb="FF1F1F1F"/>
      <name val="Arial"/>
    </font>
    <font>
      <sz val="11.0"/>
      <color rgb="FF000000"/>
      <name val="Arial"/>
      <scheme val="minor"/>
    </font>
    <font>
      <b/>
      <sz val="8.0"/>
      <color rgb="FF000000"/>
      <name val="Arial"/>
      <scheme val="minor"/>
    </font>
    <font>
      <u/>
      <sz val="11.0"/>
      <color rgb="FF000000"/>
    </font>
    <font>
      <sz val="10.0"/>
      <color rgb="FF000000"/>
      <name val="Helvetica"/>
    </font>
    <font>
      <sz val="11.0"/>
      <color rgb="FF5E5E5E"/>
      <name val="&quot;Google Sans&quot;"/>
    </font>
    <font>
      <u/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u/>
      <sz val="10.0"/>
      <color rgb="FF000000"/>
    </font>
    <font>
      <u/>
      <sz val="10.0"/>
      <color rgb="FF000000"/>
      <name val="Arial"/>
    </font>
    <font>
      <sz val="10.0"/>
      <color theme="1"/>
      <name val="&quot;Arial&quot;"/>
    </font>
    <font>
      <u/>
      <sz val="10.0"/>
      <color rgb="FF000000"/>
      <name val="&quot;Arial&quot;"/>
    </font>
    <font>
      <u/>
      <sz val="10.0"/>
      <color rgb="FF000000"/>
      <name val="Arial"/>
      <scheme val="minor"/>
    </font>
    <font>
      <u/>
      <color rgb="FF000000"/>
      <name val="Roboto"/>
    </font>
    <font>
      <sz val="10.0"/>
      <color rgb="FF1E293B"/>
      <name val="Arial"/>
      <scheme val="minor"/>
    </font>
    <font>
      <u/>
      <sz val="10.0"/>
      <color rgb="FF000000"/>
    </font>
    <font>
      <u/>
      <sz val="10.0"/>
      <color rgb="FF1F1F1F"/>
    </font>
    <font>
      <u/>
      <sz val="10.0"/>
      <color rgb="FF1155CC"/>
      <name val="Arial"/>
      <scheme val="minor"/>
    </font>
    <font>
      <sz val="10.0"/>
      <color rgb="FFFFCFC9"/>
      <name val="Arial"/>
      <scheme val="minor"/>
    </font>
    <font>
      <sz val="10.0"/>
      <color rgb="FF0A53A8"/>
      <name val="Arial"/>
      <scheme val="minor"/>
    </font>
    <font>
      <sz val="8.0"/>
      <color theme="1"/>
      <name val="Calibri"/>
    </font>
    <font>
      <b/>
      <sz val="10.0"/>
      <color theme="1"/>
      <name val="Arial"/>
      <scheme val="minor"/>
    </font>
    <font>
      <b/>
      <sz val="10.0"/>
      <color rgb="FF1F1F1F"/>
      <name val="Arial"/>
      <scheme val="minor"/>
    </font>
    <font>
      <u/>
      <sz val="10.0"/>
      <color theme="1"/>
      <name val="Arial"/>
    </font>
    <font>
      <sz val="10.0"/>
      <color rgb="FF000000"/>
      <name val="&quot;Segoe UI&quot;"/>
    </font>
    <font>
      <b/>
      <i/>
      <sz val="10.0"/>
      <color rgb="FF888888"/>
      <name val="Arial"/>
      <scheme val="minor"/>
    </font>
    <font>
      <u/>
      <sz val="10.0"/>
      <color theme="1"/>
      <name val="Arial"/>
      <scheme val="minor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sz val="10.0"/>
      <color rgb="FF1E293B"/>
      <name val="Arial"/>
    </font>
    <font>
      <sz val="10.0"/>
      <color rgb="FF1E293B"/>
      <name val="&quot;Segoe UI&quot;"/>
    </font>
    <font>
      <u/>
      <sz val="10.0"/>
      <color theme="1"/>
      <name val="&quot;Segoe UI&quot;"/>
    </font>
    <font>
      <sz val="10.0"/>
      <color rgb="FFFF0000"/>
      <name val="&quot;Arial&quot;"/>
    </font>
    <font>
      <sz val="10.0"/>
      <color rgb="FF222222"/>
      <name val="&quot;Google Sans&quot;"/>
    </font>
    <font>
      <u/>
      <sz val="10.0"/>
      <color rgb="FF0000FF"/>
      <name val="Arial"/>
    </font>
    <font>
      <sz val="10.0"/>
      <color rgb="FF000000"/>
      <name val="&quot;Arial&quot;"/>
    </font>
    <font>
      <u/>
      <sz val="10.0"/>
      <color rgb="FF0000FF"/>
    </font>
    <font>
      <sz val="9.0"/>
      <color theme="1"/>
      <name val="&quot;Arial&quot;"/>
    </font>
    <font>
      <b/>
      <sz val="10.0"/>
      <color rgb="FFFF0000"/>
      <name val="Arial"/>
      <scheme val="minor"/>
    </font>
    <font>
      <b/>
      <sz val="10.0"/>
      <color rgb="FFFF0000"/>
      <name val="Arial"/>
    </font>
    <font>
      <b/>
      <color rgb="FFFF0000"/>
      <name val="Arial"/>
    </font>
    <font>
      <sz val="11.0"/>
      <color theme="1"/>
      <name val="Arial"/>
      <scheme val="minor"/>
    </font>
    <font>
      <u/>
      <sz val="10.0"/>
      <color rgb="FF1F1F1F"/>
    </font>
    <font>
      <color rgb="FF000000"/>
      <name val="&quot;Helvetica Neue&quot;"/>
    </font>
    <font>
      <u/>
      <color rgb="FF222222"/>
      <name val="Arial"/>
    </font>
    <font>
      <u/>
      <sz val="10.0"/>
      <color rgb="FF000000"/>
    </font>
    <font>
      <sz val="10.0"/>
      <color rgb="FF1F1F1F"/>
      <name val="Roboto"/>
    </font>
    <font>
      <u/>
      <color rgb="FF0000FF"/>
    </font>
    <font>
      <sz val="10.0"/>
      <color rgb="FF000000"/>
      <name val="Calibri"/>
    </font>
    <font>
      <u/>
      <sz val="10.0"/>
      <color rgb="FF000000"/>
      <name val="&quot;Segoe UI&quot;"/>
    </font>
  </fonts>
  <fills count="17">
    <fill>
      <patternFill patternType="none"/>
    </fill>
    <fill>
      <patternFill patternType="lightGray"/>
    </fill>
    <fill>
      <patternFill patternType="solid">
        <fgColor rgb="FF85200C"/>
        <bgColor rgb="FF85200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3F4F6"/>
        <bgColor rgb="FFF3F4F6"/>
      </patternFill>
    </fill>
    <fill>
      <patternFill patternType="solid">
        <fgColor rgb="FFE9EEF6"/>
        <bgColor rgb="FFE9EEF6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8FAFC"/>
        <bgColor rgb="FFF8FAFC"/>
      </patternFill>
    </fill>
    <fill>
      <patternFill patternType="solid">
        <fgColor rgb="FFEAD1DC"/>
        <bgColor rgb="FFEAD1D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19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2" fontId="1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1" fillId="3" fontId="1" numFmtId="164" xfId="0" applyAlignment="1" applyBorder="1" applyFont="1" applyNumberFormat="1">
      <alignment horizontal="center" vertical="bottom"/>
    </xf>
    <xf borderId="2" fillId="3" fontId="1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1" fillId="0" fontId="4" numFmtId="164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/>
    </xf>
    <xf borderId="0" fillId="0" fontId="10" numFmtId="0" xfId="0" applyAlignment="1" applyFont="1">
      <alignment horizontal="center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bottom"/>
    </xf>
    <xf borderId="1" fillId="0" fontId="4" numFmtId="166" xfId="0" applyAlignment="1" applyBorder="1" applyFont="1" applyNumberFormat="1">
      <alignment horizontal="center" vertical="bottom"/>
    </xf>
    <xf borderId="1" fillId="4" fontId="1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0" fontId="5" numFmtId="165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 vertical="bottom"/>
    </xf>
    <xf borderId="0" fillId="0" fontId="0" numFmtId="0" xfId="0" applyAlignment="1" applyFont="1">
      <alignment horizontal="center"/>
    </xf>
    <xf borderId="1" fillId="0" fontId="4" numFmtId="165" xfId="0" applyAlignment="1" applyBorder="1" applyFont="1" applyNumberFormat="1">
      <alignment horizontal="center" readingOrder="0" vertical="bottom"/>
    </xf>
    <xf borderId="1" fillId="4" fontId="1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1" fillId="0" fontId="4" numFmtId="0" xfId="0" applyAlignment="1" applyBorder="1" applyFont="1">
      <alignment horizontal="left" readingOrder="0"/>
    </xf>
    <xf borderId="1" fillId="4" fontId="16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vertical="bottom"/>
    </xf>
    <xf borderId="0" fillId="0" fontId="10" numFmtId="0" xfId="0" applyAlignment="1" applyFont="1">
      <alignment horizontal="center" vertical="bottom"/>
    </xf>
    <xf borderId="1" fillId="0" fontId="17" numFmtId="0" xfId="0" applyAlignment="1" applyBorder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readingOrder="0" shrinkToFit="0" vertical="center" wrapText="1"/>
    </xf>
    <xf borderId="0" fillId="4" fontId="18" numFmtId="0" xfId="0" applyAlignment="1" applyFont="1">
      <alignment horizontal="center" readingOrder="0" shrinkToFit="0" vertical="center" wrapText="1"/>
    </xf>
    <xf borderId="0" fillId="4" fontId="16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4" fontId="18" numFmtId="164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0" fontId="4" numFmtId="166" xfId="0" applyAlignment="1" applyBorder="1" applyFont="1" applyNumberFormat="1">
      <alignment horizontal="center" readingOrder="0"/>
    </xf>
    <xf borderId="1" fillId="4" fontId="16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1" fillId="0" fontId="5" numFmtId="165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center"/>
    </xf>
    <xf borderId="1" fillId="4" fontId="19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1" fillId="0" fontId="6" numFmtId="0" xfId="0" applyAlignment="1" applyBorder="1" applyFont="1">
      <alignment horizontal="center" vertical="bottom"/>
    </xf>
    <xf borderId="1" fillId="0" fontId="6" numFmtId="165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vertical="bottom"/>
    </xf>
    <xf borderId="1" fillId="0" fontId="6" numFmtId="164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4" fontId="6" numFmtId="164" xfId="0" applyAlignment="1" applyFont="1" applyNumberFormat="1">
      <alignment vertical="bottom"/>
    </xf>
    <xf borderId="1" fillId="0" fontId="20" numFmtId="0" xfId="0" applyAlignment="1" applyBorder="1" applyFont="1">
      <alignment horizontal="center" vertical="bottom"/>
    </xf>
    <xf borderId="0" fillId="0" fontId="6" numFmtId="164" xfId="0" applyAlignment="1" applyFont="1" applyNumberFormat="1">
      <alignment vertical="bottom"/>
    </xf>
    <xf borderId="1" fillId="0" fontId="10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1" fillId="0" fontId="10" numFmtId="165" xfId="0" applyAlignment="1" applyBorder="1" applyFont="1" applyNumberFormat="1">
      <alignment horizontal="center" readingOrder="0"/>
    </xf>
    <xf borderId="1" fillId="0" fontId="10" numFmtId="165" xfId="0" applyAlignment="1" applyBorder="1" applyFont="1" applyNumberFormat="1">
      <alignment horizontal="center"/>
    </xf>
    <xf borderId="1" fillId="0" fontId="10" numFmtId="164" xfId="0" applyAlignment="1" applyBorder="1" applyFont="1" applyNumberFormat="1">
      <alignment horizontal="center" readingOrder="0"/>
    </xf>
    <xf borderId="1" fillId="0" fontId="0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center"/>
    </xf>
    <xf borderId="1" fillId="0" fontId="10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vertical="bottom"/>
    </xf>
    <xf borderId="1" fillId="0" fontId="6" numFmtId="166" xfId="0" applyAlignment="1" applyBorder="1" applyFont="1" applyNumberFormat="1">
      <alignment horizontal="center" vertical="bottom"/>
    </xf>
    <xf borderId="1" fillId="0" fontId="6" numFmtId="166" xfId="0" applyAlignment="1" applyBorder="1" applyFont="1" applyNumberFormat="1">
      <alignment vertical="bottom"/>
    </xf>
    <xf borderId="1" fillId="4" fontId="6" numFmtId="0" xfId="0" applyAlignment="1" applyBorder="1" applyFont="1">
      <alignment horizontal="center" vertical="bottom"/>
    </xf>
    <xf borderId="1" fillId="0" fontId="10" numFmtId="164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 readingOrder="0" vertical="bottom"/>
    </xf>
    <xf borderId="1" fillId="0" fontId="0" numFmtId="0" xfId="0" applyAlignment="1" applyBorder="1" applyFont="1">
      <alignment horizontal="center" readingOrder="0"/>
    </xf>
    <xf borderId="1" fillId="0" fontId="0" numFmtId="165" xfId="0" applyAlignment="1" applyBorder="1" applyFont="1" applyNumberFormat="1">
      <alignment horizontal="center" readingOrder="0" vertical="bottom"/>
    </xf>
    <xf borderId="1" fillId="0" fontId="10" numFmtId="0" xfId="0" applyAlignment="1" applyBorder="1" applyFont="1">
      <alignment horizontal="left"/>
    </xf>
    <xf borderId="1" fillId="0" fontId="6" numFmtId="0" xfId="0" applyAlignment="1" applyBorder="1" applyFont="1">
      <alignment horizontal="left" vertical="bottom"/>
    </xf>
    <xf borderId="1" fillId="4" fontId="21" numFmtId="0" xfId="0" applyAlignment="1" applyBorder="1" applyFont="1">
      <alignment horizontal="center" readingOrder="0"/>
    </xf>
    <xf borderId="1" fillId="4" fontId="22" numFmtId="0" xfId="0" applyAlignment="1" applyBorder="1" applyFont="1">
      <alignment horizontal="center" readingOrder="0"/>
    </xf>
    <xf borderId="1" fillId="4" fontId="21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 vertical="bottom"/>
    </xf>
    <xf borderId="0" fillId="0" fontId="6" numFmtId="166" xfId="0" applyAlignment="1" applyFont="1" applyNumberFormat="1">
      <alignment horizontal="center" vertical="bottom"/>
    </xf>
    <xf borderId="1" fillId="0" fontId="20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6" numFmtId="164" xfId="0" applyAlignment="1" applyBorder="1" applyFont="1" applyNumberFormat="1">
      <alignment horizontal="center" readingOrder="0" vertical="bottom"/>
    </xf>
    <xf borderId="1" fillId="0" fontId="23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horizontal="left" readingOrder="0" shrinkToFit="0" wrapText="0"/>
    </xf>
    <xf borderId="1" fillId="0" fontId="24" numFmtId="164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left" readingOrder="0" vertical="bottom"/>
    </xf>
    <xf borderId="0" fillId="0" fontId="10" numFmtId="0" xfId="0" applyAlignment="1" applyFont="1">
      <alignment vertical="bottom"/>
    </xf>
    <xf borderId="1" fillId="0" fontId="6" numFmtId="167" xfId="0" applyAlignment="1" applyBorder="1" applyFont="1" applyNumberFormat="1">
      <alignment horizontal="center" vertical="bottom"/>
    </xf>
    <xf borderId="1" fillId="0" fontId="24" numFmtId="164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left" vertical="bottom"/>
    </xf>
    <xf borderId="1" fillId="0" fontId="25" numFmtId="0" xfId="0" applyAlignment="1" applyBorder="1" applyFont="1">
      <alignment horizontal="center" vertical="bottom"/>
    </xf>
    <xf borderId="1" fillId="0" fontId="26" numFmtId="0" xfId="0" applyAlignment="1" applyBorder="1" applyFont="1">
      <alignment vertical="bottom"/>
    </xf>
    <xf borderId="1" fillId="4" fontId="0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center" readingOrder="0" vertical="bottom"/>
    </xf>
    <xf borderId="1" fillId="0" fontId="0" numFmtId="164" xfId="0" applyAlignment="1" applyBorder="1" applyFont="1" applyNumberFormat="1">
      <alignment horizontal="center" readingOrder="0" vertical="bottom"/>
    </xf>
    <xf borderId="1" fillId="0" fontId="0" numFmtId="0" xfId="0" applyAlignment="1" applyBorder="1" applyFont="1">
      <alignment horizontal="left" vertical="bottom"/>
    </xf>
    <xf borderId="1" fillId="0" fontId="10" numFmtId="165" xfId="0" applyAlignment="1" applyBorder="1" applyFont="1" applyNumberFormat="1">
      <alignment horizontal="center" readingOrder="0" vertical="bottom"/>
    </xf>
    <xf borderId="1" fillId="0" fontId="10" numFmtId="165" xfId="0" applyAlignment="1" applyBorder="1" applyFont="1" applyNumberFormat="1">
      <alignment horizontal="center" vertical="bottom"/>
    </xf>
    <xf borderId="1" fillId="0" fontId="10" numFmtId="164" xfId="0" applyAlignment="1" applyBorder="1" applyFont="1" applyNumberFormat="1">
      <alignment horizontal="center" readingOrder="0" vertical="bottom"/>
    </xf>
    <xf borderId="1" fillId="0" fontId="10" numFmtId="164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horizontal="center" vertical="bottom"/>
    </xf>
    <xf borderId="0" fillId="0" fontId="0" numFmtId="0" xfId="0" applyAlignment="1" applyFont="1">
      <alignment horizontal="center" vertical="bottom"/>
    </xf>
    <xf borderId="1" fillId="0" fontId="23" numFmtId="0" xfId="0" applyAlignment="1" applyBorder="1" applyFont="1">
      <alignment horizontal="center" readingOrder="0"/>
    </xf>
    <xf borderId="0" fillId="0" fontId="27" numFmtId="0" xfId="0" applyAlignment="1" applyFont="1">
      <alignment horizontal="center" vertical="bottom"/>
    </xf>
    <xf borderId="1" fillId="4" fontId="10" numFmtId="0" xfId="0" applyAlignment="1" applyBorder="1" applyFont="1">
      <alignment horizontal="center" readingOrder="0" vertical="bottom"/>
    </xf>
    <xf borderId="1" fillId="0" fontId="28" numFmtId="0" xfId="0" applyAlignment="1" applyBorder="1" applyFont="1">
      <alignment horizontal="center" vertical="bottom"/>
    </xf>
    <xf borderId="1" fillId="0" fontId="6" numFmtId="164" xfId="0" applyAlignment="1" applyBorder="1" applyFont="1" applyNumberFormat="1">
      <alignment vertical="bottom"/>
    </xf>
    <xf borderId="1" fillId="0" fontId="29" numFmtId="0" xfId="0" applyAlignment="1" applyBorder="1" applyFont="1">
      <alignment vertical="bottom"/>
    </xf>
    <xf borderId="1" fillId="6" fontId="6" numFmtId="0" xfId="0" applyAlignment="1" applyBorder="1" applyFill="1" applyFont="1">
      <alignment horizontal="center" vertical="bottom"/>
    </xf>
    <xf borderId="1" fillId="6" fontId="6" numFmtId="165" xfId="0" applyAlignment="1" applyBorder="1" applyFont="1" applyNumberFormat="1">
      <alignment horizontal="center" vertical="bottom"/>
    </xf>
    <xf borderId="1" fillId="6" fontId="6" numFmtId="165" xfId="0" applyAlignment="1" applyBorder="1" applyFont="1" applyNumberFormat="1">
      <alignment vertical="bottom"/>
    </xf>
    <xf borderId="1" fillId="6" fontId="6" numFmtId="164" xfId="0" applyAlignment="1" applyBorder="1" applyFont="1" applyNumberFormat="1">
      <alignment horizontal="center" vertical="bottom"/>
    </xf>
    <xf borderId="1" fillId="6" fontId="6" numFmtId="0" xfId="0" applyAlignment="1" applyBorder="1" applyFont="1">
      <alignment horizontal="center" readingOrder="0" vertical="bottom"/>
    </xf>
    <xf borderId="1" fillId="6" fontId="6" numFmtId="0" xfId="0" applyAlignment="1" applyBorder="1" applyFont="1">
      <alignment vertical="bottom"/>
    </xf>
    <xf borderId="1" fillId="6" fontId="6" numFmtId="0" xfId="0" applyAlignment="1" applyBorder="1" applyFont="1">
      <alignment horizontal="left" vertical="bottom"/>
    </xf>
    <xf borderId="1" fillId="0" fontId="29" numFmtId="0" xfId="0" applyAlignment="1" applyBorder="1" applyFont="1">
      <alignment horizontal="center" vertical="bottom"/>
    </xf>
    <xf borderId="1" fillId="4" fontId="30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 vertical="bottom"/>
    </xf>
    <xf borderId="1" fillId="0" fontId="15" numFmtId="165" xfId="0" applyAlignment="1" applyBorder="1" applyFont="1" applyNumberFormat="1">
      <alignment horizontal="center" readingOrder="0" vertical="bottom"/>
    </xf>
    <xf borderId="1" fillId="0" fontId="15" numFmtId="165" xfId="0" applyAlignment="1" applyBorder="1" applyFont="1" applyNumberFormat="1">
      <alignment horizontal="center" vertical="bottom"/>
    </xf>
    <xf borderId="1" fillId="0" fontId="15" numFmtId="164" xfId="0" applyAlignment="1" applyBorder="1" applyFont="1" applyNumberFormat="1">
      <alignment horizontal="center" readingOrder="0" vertical="bottom"/>
    </xf>
    <xf borderId="1" fillId="0" fontId="15" numFmtId="164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readingOrder="0" vertical="bottom"/>
    </xf>
    <xf borderId="1" fillId="0" fontId="6" numFmtId="165" xfId="0" applyAlignment="1" applyBorder="1" applyFont="1" applyNumberFormat="1">
      <alignment horizontal="center" readingOrder="0" vertical="bottom"/>
    </xf>
    <xf borderId="1" fillId="0" fontId="0" numFmtId="165" xfId="0" applyAlignment="1" applyBorder="1" applyFont="1" applyNumberFormat="1">
      <alignment horizontal="center" vertical="bottom"/>
    </xf>
    <xf borderId="1" fillId="0" fontId="0" numFmtId="164" xfId="0" applyAlignment="1" applyBorder="1" applyFont="1" applyNumberFormat="1">
      <alignment horizontal="center" vertical="bottom"/>
    </xf>
    <xf borderId="1" fillId="0" fontId="0" numFmtId="0" xfId="0" applyAlignment="1" applyBorder="1" applyFont="1">
      <alignment horizontal="center" vertical="bottom"/>
    </xf>
    <xf borderId="1" fillId="0" fontId="0" numFmtId="0" xfId="0" applyAlignment="1" applyBorder="1" applyFont="1">
      <alignment horizontal="center" vertical="bottom"/>
    </xf>
    <xf borderId="1" fillId="0" fontId="31" numFmtId="0" xfId="0" applyAlignment="1" applyBorder="1" applyFont="1">
      <alignment horizontal="center" vertical="bottom"/>
    </xf>
    <xf borderId="1" fillId="0" fontId="0" numFmtId="166" xfId="0" applyAlignment="1" applyBorder="1" applyFont="1" applyNumberFormat="1">
      <alignment horizontal="center" readingOrder="0"/>
    </xf>
    <xf borderId="1" fillId="0" fontId="0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 vertical="bottom"/>
    </xf>
    <xf borderId="1" fillId="0" fontId="2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15" numFmtId="0" xfId="0" applyAlignment="1" applyBorder="1" applyFont="1">
      <alignment horizontal="center" readingOrder="0"/>
    </xf>
    <xf borderId="1" fillId="0" fontId="32" numFmtId="0" xfId="0" applyAlignment="1" applyBorder="1" applyFont="1">
      <alignment horizontal="center" readingOrder="0"/>
    </xf>
    <xf borderId="1" fillId="0" fontId="15" numFmtId="166" xfId="0" applyAlignment="1" applyBorder="1" applyFont="1" applyNumberFormat="1">
      <alignment horizontal="center" readingOrder="0"/>
    </xf>
    <xf borderId="1" fillId="0" fontId="15" numFmtId="164" xfId="0" applyAlignment="1" applyBorder="1" applyFont="1" applyNumberFormat="1">
      <alignment horizontal="center" readingOrder="0"/>
    </xf>
    <xf borderId="1" fillId="0" fontId="32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left"/>
    </xf>
    <xf borderId="0" fillId="0" fontId="15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1" fillId="4" fontId="33" numFmtId="0" xfId="0" applyAlignment="1" applyBorder="1" applyFont="1">
      <alignment horizontal="center" vertical="bottom"/>
    </xf>
    <xf borderId="1" fillId="4" fontId="34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" fillId="0" fontId="35" numFmtId="0" xfId="0" applyAlignment="1" applyBorder="1" applyFont="1">
      <alignment horizontal="center" readingOrder="0"/>
    </xf>
    <xf borderId="1" fillId="0" fontId="0" numFmtId="164" xfId="0" applyAlignment="1" applyBorder="1" applyFont="1" applyNumberFormat="1">
      <alignment horizontal="center" readingOrder="0"/>
    </xf>
    <xf borderId="1" fillId="0" fontId="0" numFmtId="0" xfId="0" applyAlignment="1" applyBorder="1" applyFont="1">
      <alignment horizontal="left"/>
    </xf>
    <xf borderId="0" fillId="4" fontId="33" numFmtId="0" xfId="0" applyAlignment="1" applyFont="1">
      <alignment horizontal="center" vertical="bottom"/>
    </xf>
    <xf borderId="1" fillId="4" fontId="34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vertical="bottom"/>
    </xf>
    <xf borderId="1" fillId="4" fontId="0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4" fontId="33" numFmtId="0" xfId="0" applyAlignment="1" applyBorder="1" applyFont="1">
      <alignment horizontal="center" vertical="bottom"/>
    </xf>
    <xf borderId="1" fillId="4" fontId="36" numFmtId="0" xfId="0" applyAlignment="1" applyBorder="1" applyFont="1">
      <alignment horizontal="center" vertical="bottom"/>
    </xf>
    <xf borderId="1" fillId="0" fontId="37" numFmtId="0" xfId="0" applyAlignment="1" applyBorder="1" applyFont="1">
      <alignment horizontal="center" vertical="bottom"/>
    </xf>
    <xf borderId="1" fillId="4" fontId="38" numFmtId="0" xfId="0" applyAlignment="1" applyBorder="1" applyFont="1">
      <alignment horizontal="center" readingOrder="0"/>
    </xf>
    <xf borderId="1" fillId="0" fontId="23" numFmtId="164" xfId="0" applyAlignment="1" applyBorder="1" applyFont="1" applyNumberFormat="1">
      <alignment horizontal="center"/>
    </xf>
    <xf borderId="0" fillId="0" fontId="39" numFmtId="0" xfId="0" applyAlignment="1" applyFont="1">
      <alignment horizontal="left" readingOrder="0" shrinkToFit="0" wrapText="0"/>
    </xf>
    <xf borderId="1" fillId="0" fontId="23" numFmtId="0" xfId="0" applyAlignment="1" applyBorder="1" applyFont="1">
      <alignment horizontal="center" readingOrder="0"/>
    </xf>
    <xf borderId="1" fillId="0" fontId="40" numFmtId="0" xfId="0" applyAlignment="1" applyBorder="1" applyFont="1">
      <alignment horizontal="center" readingOrder="0"/>
    </xf>
    <xf borderId="3" fillId="0" fontId="6" numFmtId="0" xfId="0" applyAlignment="1" applyBorder="1" applyFont="1">
      <alignment vertical="bottom"/>
    </xf>
    <xf borderId="1" fillId="4" fontId="33" numFmtId="0" xfId="0" applyAlignment="1" applyBorder="1" applyFont="1">
      <alignment vertical="bottom"/>
    </xf>
    <xf borderId="1" fillId="4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4" fontId="33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3" fontId="41" numFmtId="0" xfId="0" applyAlignment="1" applyFont="1">
      <alignment horizontal="center" vertical="bottom"/>
    </xf>
    <xf borderId="1" fillId="3" fontId="41" numFmtId="0" xfId="0" applyAlignment="1" applyBorder="1" applyFont="1">
      <alignment horizontal="center" vertical="bottom"/>
    </xf>
    <xf borderId="1" fillId="3" fontId="42" numFmtId="0" xfId="0" applyAlignment="1" applyBorder="1" applyFont="1">
      <alignment horizontal="center" vertical="bottom"/>
    </xf>
    <xf borderId="1" fillId="3" fontId="42" numFmtId="165" xfId="0" applyAlignment="1" applyBorder="1" applyFont="1" applyNumberFormat="1">
      <alignment horizontal="center" vertical="bottom"/>
    </xf>
    <xf borderId="1" fillId="3" fontId="42" numFmtId="164" xfId="0" applyAlignment="1" applyBorder="1" applyFont="1" applyNumberFormat="1">
      <alignment horizontal="center" vertical="bottom"/>
    </xf>
    <xf borderId="1" fillId="3" fontId="42" numFmtId="0" xfId="0" applyAlignment="1" applyBorder="1" applyFont="1">
      <alignment horizontal="center" vertical="bottom"/>
    </xf>
    <xf borderId="1" fillId="3" fontId="43" numFmtId="0" xfId="0" applyAlignment="1" applyBorder="1" applyFont="1">
      <alignment horizontal="center" readingOrder="0" vertical="bottom"/>
    </xf>
    <xf borderId="2" fillId="3" fontId="44" numFmtId="0" xfId="0" applyAlignment="1" applyBorder="1" applyFont="1">
      <alignment horizontal="center" readingOrder="0" vertical="bottom"/>
    </xf>
    <xf borderId="4" fillId="3" fontId="45" numFmtId="0" xfId="0" applyAlignment="1" applyBorder="1" applyFont="1">
      <alignment horizontal="left" readingOrder="0" vertical="center"/>
    </xf>
    <xf borderId="1" fillId="4" fontId="36" numFmtId="0" xfId="0" applyAlignment="1" applyBorder="1" applyFont="1">
      <alignment horizontal="center" vertical="bottom"/>
    </xf>
    <xf borderId="1" fillId="4" fontId="36" numFmtId="164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7" fontId="6" numFmtId="166" xfId="0" applyAlignment="1" applyBorder="1" applyFill="1" applyFont="1" applyNumberFormat="1">
      <alignment horizontal="center" vertical="bottom"/>
    </xf>
    <xf borderId="1" fillId="4" fontId="6" numFmtId="164" xfId="0" applyAlignment="1" applyBorder="1" applyFont="1" applyNumberFormat="1">
      <alignment horizontal="center" vertical="bottom"/>
    </xf>
    <xf borderId="1" fillId="4" fontId="46" numFmtId="0" xfId="0" applyAlignment="1" applyBorder="1" applyFont="1">
      <alignment horizontal="center" vertical="bottom"/>
    </xf>
    <xf borderId="1" fillId="4" fontId="38" numFmtId="0" xfId="0" applyAlignment="1" applyBorder="1" applyFont="1">
      <alignment horizontal="center" vertical="bottom"/>
    </xf>
    <xf borderId="1" fillId="0" fontId="47" numFmtId="0" xfId="0" applyAlignment="1" applyBorder="1" applyFont="1">
      <alignment horizontal="center" vertical="bottom"/>
    </xf>
    <xf borderId="1" fillId="4" fontId="48" numFmtId="0" xfId="0" applyAlignment="1" applyBorder="1" applyFont="1">
      <alignment horizontal="center" vertical="bottom"/>
    </xf>
    <xf borderId="1" fillId="0" fontId="6" numFmtId="164" xfId="0" applyAlignment="1" applyBorder="1" applyFont="1" applyNumberFormat="1">
      <alignment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1" fillId="4" fontId="6" numFmtId="0" xfId="0" applyAlignment="1" applyBorder="1" applyFont="1">
      <alignment vertical="bottom"/>
    </xf>
    <xf borderId="1" fillId="4" fontId="6" numFmtId="166" xfId="0" applyAlignment="1" applyBorder="1" applyFont="1" applyNumberFormat="1">
      <alignment horizontal="center" vertical="bottom"/>
    </xf>
    <xf borderId="1" fillId="4" fontId="6" numFmtId="166" xfId="0" applyAlignment="1" applyBorder="1" applyFont="1" applyNumberFormat="1">
      <alignment vertical="bottom"/>
    </xf>
    <xf borderId="1" fillId="4" fontId="6" numFmtId="164" xfId="0" applyAlignment="1" applyBorder="1" applyFont="1" applyNumberFormat="1">
      <alignment vertical="bottom"/>
    </xf>
    <xf borderId="1" fillId="4" fontId="6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vertical="bottom"/>
    </xf>
    <xf borderId="1" fillId="0" fontId="49" numFmtId="0" xfId="0" applyAlignment="1" applyBorder="1" applyFont="1">
      <alignment horizontal="center" vertical="bottom"/>
    </xf>
    <xf borderId="0" fillId="0" fontId="50" numFmtId="0" xfId="0" applyAlignment="1" applyFont="1">
      <alignment horizontal="center" vertical="bottom"/>
    </xf>
    <xf borderId="1" fillId="0" fontId="6" numFmtId="49" xfId="0" applyAlignment="1" applyBorder="1" applyFont="1" applyNumberFormat="1">
      <alignment horizontal="center" vertical="bottom"/>
    </xf>
    <xf borderId="1" fillId="4" fontId="6" numFmtId="165" xfId="0" applyAlignment="1" applyBorder="1" applyFont="1" applyNumberFormat="1">
      <alignment horizontal="center" vertical="bottom"/>
    </xf>
    <xf borderId="1" fillId="4" fontId="6" numFmtId="165" xfId="0" applyAlignment="1" applyBorder="1" applyFont="1" applyNumberFormat="1">
      <alignment vertical="bottom"/>
    </xf>
    <xf borderId="1" fillId="4" fontId="6" numFmtId="49" xfId="0" applyAlignment="1" applyBorder="1" applyFont="1" applyNumberFormat="1">
      <alignment horizontal="center" vertical="bottom"/>
    </xf>
    <xf borderId="1" fillId="4" fontId="6" numFmtId="0" xfId="0" applyAlignment="1" applyBorder="1" applyFont="1">
      <alignment shrinkToFit="0" vertical="bottom" wrapText="1"/>
    </xf>
    <xf borderId="1" fillId="4" fontId="51" numFmtId="0" xfId="0" applyAlignment="1" applyBorder="1" applyFont="1">
      <alignment horizontal="center" vertical="bottom"/>
    </xf>
    <xf borderId="0" fillId="4" fontId="6" numFmtId="0" xfId="0" applyAlignment="1" applyFont="1">
      <alignment horizontal="center" vertical="bottom"/>
    </xf>
    <xf borderId="1" fillId="4" fontId="52" numFmtId="0" xfId="0" applyAlignment="1" applyBorder="1" applyFont="1">
      <alignment horizontal="center" vertical="bottom"/>
    </xf>
    <xf borderId="1" fillId="0" fontId="53" numFmtId="0" xfId="0" applyAlignment="1" applyBorder="1" applyFont="1">
      <alignment horizontal="center" vertical="bottom"/>
    </xf>
    <xf borderId="1" fillId="4" fontId="54" numFmtId="0" xfId="0" applyAlignment="1" applyBorder="1" applyFont="1">
      <alignment horizontal="center" vertical="bottom"/>
    </xf>
    <xf borderId="1" fillId="0" fontId="55" numFmtId="0" xfId="0" applyAlignment="1" applyBorder="1" applyFon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1" fillId="4" fontId="6" numFmtId="0" xfId="0" applyAlignment="1" applyBorder="1" applyFont="1">
      <alignment horizontal="center" shrinkToFit="0" vertical="bottom" wrapText="1"/>
    </xf>
    <xf borderId="1" fillId="4" fontId="56" numFmtId="0" xfId="0" applyAlignment="1" applyBorder="1" applyFont="1">
      <alignment horizontal="center" vertical="bottom"/>
    </xf>
    <xf borderId="4" fillId="0" fontId="6" numFmtId="49" xfId="0" applyAlignment="1" applyBorder="1" applyFont="1" applyNumberFormat="1">
      <alignment horizontal="center" vertical="bottom"/>
    </xf>
    <xf borderId="1" fillId="0" fontId="57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1" fillId="8" fontId="6" numFmtId="166" xfId="0" applyAlignment="1" applyBorder="1" applyFill="1" applyFont="1" applyNumberFormat="1">
      <alignment horizontal="center" vertical="bottom"/>
    </xf>
    <xf borderId="1" fillId="0" fontId="28" numFmtId="0" xfId="0" applyAlignment="1" applyBorder="1" applyFont="1">
      <alignment horizontal="center" vertical="bottom"/>
    </xf>
    <xf borderId="1" fillId="4" fontId="38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center" shrinkToFit="0" vertical="bottom" wrapText="1"/>
    </xf>
    <xf borderId="0" fillId="0" fontId="6" numFmtId="166" xfId="0" applyAlignment="1" applyFont="1" applyNumberFormat="1">
      <alignment vertical="bottom"/>
    </xf>
    <xf borderId="0" fillId="4" fontId="38" numFmtId="0" xfId="0" applyAlignment="1" applyFont="1">
      <alignment vertical="bottom"/>
    </xf>
    <xf borderId="0" fillId="0" fontId="58" numFmtId="0" xfId="0" applyAlignment="1" applyFont="1">
      <alignment vertical="bottom"/>
    </xf>
    <xf borderId="1" fillId="8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0" fillId="0" fontId="2" numFmtId="0" xfId="0" applyAlignment="1" applyFont="1">
      <alignment shrinkToFit="0" wrapText="1"/>
    </xf>
    <xf borderId="1" fillId="0" fontId="10" numFmtId="0" xfId="0" applyAlignment="1" applyBorder="1" applyFont="1">
      <alignment horizontal="left" readingOrder="0"/>
    </xf>
    <xf borderId="1" fillId="4" fontId="59" numFmtId="0" xfId="0" applyAlignment="1" applyBorder="1" applyFont="1">
      <alignment horizontal="center" vertical="bottom"/>
    </xf>
    <xf borderId="1" fillId="4" fontId="24" numFmtId="0" xfId="0" applyAlignment="1" applyBorder="1" applyFont="1">
      <alignment horizontal="center" vertical="bottom"/>
    </xf>
    <xf borderId="0" fillId="4" fontId="24" numFmtId="0" xfId="0" applyAlignment="1" applyFont="1">
      <alignment horizontal="center" readingOrder="0" vertical="bottom"/>
    </xf>
    <xf borderId="1" fillId="4" fontId="24" numFmtId="0" xfId="0" applyAlignment="1" applyBorder="1" applyFont="1">
      <alignment horizontal="center" readingOrder="0" vertical="bottom"/>
    </xf>
    <xf borderId="0" fillId="4" fontId="24" numFmtId="0" xfId="0" applyAlignment="1" applyFont="1">
      <alignment horizontal="center" vertical="bottom"/>
    </xf>
    <xf borderId="1" fillId="4" fontId="24" numFmtId="166" xfId="0" applyAlignment="1" applyBorder="1" applyFont="1" applyNumberFormat="1">
      <alignment horizontal="center" readingOrder="0" vertical="bottom"/>
    </xf>
    <xf borderId="1" fillId="4" fontId="24" numFmtId="165" xfId="0" applyAlignment="1" applyBorder="1" applyFont="1" applyNumberFormat="1">
      <alignment horizontal="center" readingOrder="0" vertical="bottom"/>
    </xf>
    <xf borderId="1" fillId="4" fontId="24" numFmtId="164" xfId="0" applyAlignment="1" applyBorder="1" applyFont="1" applyNumberFormat="1">
      <alignment horizontal="center" readingOrder="0" vertical="bottom"/>
    </xf>
    <xf borderId="1" fillId="4" fontId="29" numFmtId="0" xfId="0" applyAlignment="1" applyBorder="1" applyFont="1">
      <alignment horizontal="center" readingOrder="0" vertical="bottom"/>
    </xf>
    <xf borderId="1" fillId="4" fontId="29" numFmtId="0" xfId="0" applyAlignment="1" applyBorder="1" applyFont="1">
      <alignment horizontal="center" vertical="bottom"/>
    </xf>
    <xf borderId="1" fillId="4" fontId="23" numFmtId="0" xfId="0" applyAlignment="1" applyBorder="1" applyFont="1">
      <alignment horizontal="center"/>
    </xf>
    <xf borderId="1" fillId="4" fontId="29" numFmtId="0" xfId="0" applyAlignment="1" applyBorder="1" applyFont="1">
      <alignment horizontal="left" readingOrder="0" vertical="bottom"/>
    </xf>
    <xf borderId="1" fillId="4" fontId="23" numFmtId="0" xfId="0" applyAlignment="1" applyBorder="1" applyFont="1">
      <alignment horizontal="center" readingOrder="0"/>
    </xf>
    <xf borderId="0" fillId="4" fontId="60" numFmtId="0" xfId="0" applyAlignment="1" applyFont="1">
      <alignment horizontal="center"/>
    </xf>
    <xf borderId="1" fillId="4" fontId="61" numFmtId="0" xfId="0" applyAlignment="1" applyBorder="1" applyFont="1">
      <alignment horizontal="center" readingOrder="0"/>
    </xf>
    <xf borderId="1" fillId="0" fontId="10" numFmtId="166" xfId="0" applyAlignment="1" applyBorder="1" applyFont="1" applyNumberFormat="1">
      <alignment horizontal="center" readingOrder="0"/>
    </xf>
    <xf borderId="1" fillId="4" fontId="6" numFmtId="0" xfId="0" applyAlignment="1" applyBorder="1" applyFont="1">
      <alignment horizontal="left" readingOrder="0" vertical="bottom"/>
    </xf>
    <xf borderId="1" fillId="4" fontId="2" numFmtId="0" xfId="0" applyAlignment="1" applyBorder="1" applyFont="1">
      <alignment horizontal="center"/>
    </xf>
    <xf borderId="1" fillId="0" fontId="62" numFmtId="0" xfId="0" applyAlignment="1" applyBorder="1" applyFont="1">
      <alignment horizontal="center" readingOrder="0" vertical="bottom"/>
    </xf>
    <xf borderId="4" fillId="0" fontId="6" numFmtId="49" xfId="0" applyAlignment="1" applyBorder="1" applyFont="1" applyNumberFormat="1">
      <alignment horizontal="center" readingOrder="0" vertical="bottom"/>
    </xf>
    <xf borderId="1" fillId="0" fontId="24" numFmtId="0" xfId="0" applyAlignment="1" applyBorder="1" applyFont="1">
      <alignment horizontal="center" vertical="bottom"/>
    </xf>
    <xf borderId="1" fillId="0" fontId="24" numFmtId="0" xfId="0" applyAlignment="1" applyBorder="1" applyFont="1">
      <alignment horizontal="center" readingOrder="0" vertical="bottom"/>
    </xf>
    <xf borderId="1" fillId="0" fontId="24" numFmtId="166" xfId="0" applyAlignment="1" applyBorder="1" applyFont="1" applyNumberFormat="1">
      <alignment horizontal="center" vertical="bottom"/>
    </xf>
    <xf borderId="1" fillId="0" fontId="24" numFmtId="165" xfId="0" applyAlignment="1" applyBorder="1" applyFont="1" applyNumberFormat="1">
      <alignment horizontal="center" readingOrder="0" vertical="bottom"/>
    </xf>
    <xf borderId="4" fillId="0" fontId="24" numFmtId="0" xfId="0" applyAlignment="1" applyBorder="1" applyFont="1">
      <alignment horizontal="center" vertical="bottom"/>
    </xf>
    <xf borderId="1" fillId="4" fontId="24" numFmtId="164" xfId="0" applyAlignment="1" applyBorder="1" applyFont="1" applyNumberFormat="1">
      <alignment horizontal="center" vertical="bottom"/>
    </xf>
    <xf borderId="1" fillId="0" fontId="24" numFmtId="0" xfId="0" applyAlignment="1" applyBorder="1" applyFont="1">
      <alignment horizontal="left" readingOrder="0" vertical="bottom"/>
    </xf>
    <xf borderId="0" fillId="0" fontId="24" numFmtId="0" xfId="0" applyAlignment="1" applyFont="1">
      <alignment horizontal="center" vertical="bottom"/>
    </xf>
    <xf borderId="1" fillId="4" fontId="24" numFmtId="3" xfId="0" applyAlignment="1" applyBorder="1" applyFont="1" applyNumberFormat="1">
      <alignment horizontal="center" vertical="bottom"/>
    </xf>
    <xf borderId="1" fillId="0" fontId="23" numFmtId="0" xfId="0" applyAlignment="1" applyBorder="1" applyFont="1">
      <alignment horizontal="center"/>
    </xf>
    <xf borderId="1" fillId="0" fontId="23" numFmtId="0" xfId="0" applyAlignment="1" applyBorder="1" applyFont="1">
      <alignment horizontal="left"/>
    </xf>
    <xf borderId="0" fillId="0" fontId="23" numFmtId="0" xfId="0" applyAlignment="1" applyFont="1">
      <alignment horizontal="center"/>
    </xf>
    <xf borderId="1" fillId="0" fontId="2" numFmtId="0" xfId="0" applyAlignment="1" applyBorder="1" applyFont="1">
      <alignment horizontal="left" readingOrder="0"/>
    </xf>
    <xf borderId="1" fillId="0" fontId="40" numFmtId="0" xfId="0" applyAlignment="1" applyBorder="1" applyFont="1">
      <alignment readingOrder="0"/>
    </xf>
    <xf borderId="1" fillId="0" fontId="6" numFmtId="166" xfId="0" applyAlignment="1" applyBorder="1" applyFont="1" applyNumberFormat="1">
      <alignment horizontal="center" readingOrder="0" vertical="bottom"/>
    </xf>
    <xf borderId="1" fillId="9" fontId="2" numFmtId="164" xfId="0" applyAlignment="1" applyBorder="1" applyFill="1" applyFont="1" applyNumberFormat="1">
      <alignment horizontal="center" readingOrder="0"/>
    </xf>
    <xf borderId="1" fillId="0" fontId="63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/>
    </xf>
    <xf borderId="1" fillId="0" fontId="23" numFmtId="166" xfId="0" applyAlignment="1" applyBorder="1" applyFont="1" applyNumberFormat="1">
      <alignment horizontal="center" readingOrder="0"/>
    </xf>
    <xf borderId="1" fillId="9" fontId="23" numFmtId="164" xfId="0" applyAlignment="1" applyBorder="1" applyFont="1" applyNumberFormat="1">
      <alignment horizontal="center" readingOrder="0"/>
    </xf>
    <xf borderId="1" fillId="0" fontId="23" numFmtId="0" xfId="0" applyAlignment="1" applyBorder="1" applyFont="1">
      <alignment horizontal="left" readingOrder="0"/>
    </xf>
    <xf borderId="1" fillId="7" fontId="6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64" numFmtId="0" xfId="0" applyAlignment="1" applyBorder="1" applyFont="1">
      <alignment horizontal="center" readingOrder="0"/>
    </xf>
    <xf borderId="1" fillId="7" fontId="24" numFmtId="0" xfId="0" applyAlignment="1" applyBorder="1" applyFont="1">
      <alignment horizontal="center" readingOrder="0"/>
    </xf>
    <xf borderId="1" fillId="7" fontId="23" numFmtId="0" xfId="0" applyAlignment="1" applyBorder="1" applyFont="1">
      <alignment horizontal="center" readingOrder="0"/>
    </xf>
    <xf borderId="1" fillId="7" fontId="23" numFmtId="166" xfId="0" applyAlignment="1" applyBorder="1" applyFont="1" applyNumberFormat="1">
      <alignment horizontal="center" readingOrder="0"/>
    </xf>
    <xf borderId="1" fillId="7" fontId="23" numFmtId="164" xfId="0" applyAlignment="1" applyBorder="1" applyFont="1" applyNumberFormat="1">
      <alignment horizontal="center" readingOrder="0"/>
    </xf>
    <xf borderId="1" fillId="7" fontId="24" numFmtId="0" xfId="0" applyAlignment="1" applyBorder="1" applyFont="1">
      <alignment horizontal="center" readingOrder="0" vertical="bottom"/>
    </xf>
    <xf borderId="1" fillId="7" fontId="32" numFmtId="0" xfId="0" applyAlignment="1" applyBorder="1" applyFont="1">
      <alignment horizontal="center" readingOrder="0" vertical="bottom"/>
    </xf>
    <xf borderId="1" fillId="7" fontId="23" numFmtId="0" xfId="0" applyAlignment="1" applyBorder="1" applyFont="1">
      <alignment horizontal="left"/>
    </xf>
    <xf borderId="0" fillId="7" fontId="23" numFmtId="0" xfId="0" applyAlignment="1" applyFont="1">
      <alignment horizontal="center"/>
    </xf>
    <xf borderId="1" fillId="0" fontId="40" numFmtId="0" xfId="0" applyAlignment="1" applyBorder="1" applyFont="1">
      <alignment horizontal="center" readingOrder="0"/>
    </xf>
    <xf borderId="1" fillId="4" fontId="2" numFmtId="166" xfId="0" applyAlignment="1" applyBorder="1" applyFont="1" applyNumberFormat="1">
      <alignment horizontal="center" readingOrder="0"/>
    </xf>
    <xf borderId="1" fillId="0" fontId="65" numFmtId="0" xfId="0" applyAlignment="1" applyBorder="1" applyFont="1">
      <alignment horizontal="center" readingOrder="0"/>
    </xf>
    <xf borderId="1" fillId="0" fontId="24" numFmtId="166" xfId="0" applyAlignment="1" applyBorder="1" applyFont="1" applyNumberFormat="1">
      <alignment horizontal="center" readingOrder="0" vertical="bottom"/>
    </xf>
    <xf borderId="1" fillId="0" fontId="24" numFmtId="49" xfId="0" applyAlignment="1" applyBorder="1" applyFont="1" applyNumberFormat="1">
      <alignment horizontal="center" vertical="bottom"/>
    </xf>
    <xf borderId="1" fillId="0" fontId="24" numFmtId="0" xfId="0" applyAlignment="1" applyBorder="1" applyFont="1">
      <alignment horizontal="left" vertical="bottom"/>
    </xf>
    <xf borderId="1" fillId="4" fontId="23" numFmtId="0" xfId="0" applyAlignment="1" applyBorder="1" applyFont="1">
      <alignment horizontal="left" readingOrder="0"/>
    </xf>
    <xf borderId="1" fillId="4" fontId="32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left" readingOrder="0"/>
    </xf>
    <xf borderId="0" fillId="0" fontId="23" numFmtId="0" xfId="0" applyFont="1"/>
    <xf borderId="1" fillId="0" fontId="23" numFmtId="0" xfId="0" applyAlignment="1" applyBorder="1" applyFont="1">
      <alignment readingOrder="0"/>
    </xf>
    <xf borderId="1" fillId="0" fontId="66" numFmtId="0" xfId="0" applyAlignment="1" applyBorder="1" applyFont="1">
      <alignment horizontal="center" readingOrder="0" vertical="bottom"/>
    </xf>
    <xf borderId="1" fillId="0" fontId="60" numFmtId="0" xfId="0" applyAlignment="1" applyBorder="1" applyFont="1">
      <alignment horizontal="left"/>
    </xf>
    <xf borderId="0" fillId="0" fontId="60" numFmtId="0" xfId="0" applyAlignment="1" applyFont="1">
      <alignment horizontal="center"/>
    </xf>
    <xf borderId="1" fillId="0" fontId="24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readingOrder="0"/>
    </xf>
    <xf borderId="1" fillId="4" fontId="40" numFmtId="0" xfId="0" applyAlignment="1" applyBorder="1" applyFont="1">
      <alignment readingOrder="0"/>
    </xf>
    <xf borderId="1" fillId="4" fontId="2" numFmtId="164" xfId="0" applyAlignment="1" applyBorder="1" applyFont="1" applyNumberFormat="1">
      <alignment horizontal="center"/>
    </xf>
    <xf borderId="1" fillId="4" fontId="3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left"/>
    </xf>
    <xf borderId="0" fillId="4" fontId="2" numFmtId="0" xfId="0" applyAlignment="1" applyFont="1">
      <alignment horizontal="center"/>
    </xf>
    <xf borderId="0" fillId="4" fontId="0" numFmtId="0" xfId="0" applyAlignment="1" applyFont="1">
      <alignment horizontal="center"/>
    </xf>
    <xf borderId="1" fillId="4" fontId="24" numFmtId="0" xfId="0" applyAlignment="1" applyBorder="1" applyFont="1">
      <alignment horizontal="center" readingOrder="0"/>
    </xf>
    <xf borderId="1" fillId="4" fontId="24" numFmtId="0" xfId="0" applyAlignment="1" applyBorder="1" applyFont="1">
      <alignment readingOrder="0"/>
    </xf>
    <xf borderId="1" fillId="4" fontId="32" numFmtId="0" xfId="0" applyAlignment="1" applyBorder="1" applyFont="1">
      <alignment horizontal="center" readingOrder="0"/>
    </xf>
    <xf borderId="1" fillId="7" fontId="32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vertical="bottom"/>
    </xf>
    <xf borderId="0" fillId="0" fontId="67" numFmtId="0" xfId="0" applyAlignment="1" applyFont="1">
      <alignment horizontal="center"/>
    </xf>
    <xf borderId="0" fillId="0" fontId="23" numFmtId="0" xfId="0" applyAlignment="1" applyFont="1">
      <alignment readingOrder="0"/>
    </xf>
    <xf borderId="1" fillId="0" fontId="68" numFmtId="0" xfId="0" applyAlignment="1" applyBorder="1" applyFont="1">
      <alignment horizontal="center" vertical="bottom"/>
    </xf>
    <xf borderId="1" fillId="0" fontId="69" numFmtId="0" xfId="0" applyAlignment="1" applyBorder="1" applyFont="1">
      <alignment horizontal="center" readingOrder="0"/>
    </xf>
    <xf borderId="0" fillId="0" fontId="70" numFmtId="0" xfId="0" applyAlignment="1" applyFont="1">
      <alignment horizontal="center"/>
    </xf>
    <xf borderId="1" fillId="0" fontId="71" numFmtId="0" xfId="0" applyAlignment="1" applyBorder="1" applyFont="1">
      <alignment horizontal="center" readingOrder="0"/>
    </xf>
    <xf borderId="1" fillId="4" fontId="23" numFmtId="166" xfId="0" applyAlignment="1" applyBorder="1" applyFont="1" applyNumberFormat="1">
      <alignment horizontal="center" readingOrder="0"/>
    </xf>
    <xf borderId="0" fillId="0" fontId="72" numFmtId="0" xfId="0" applyAlignment="1" applyFont="1">
      <alignment vertical="bottom"/>
    </xf>
    <xf borderId="1" fillId="10" fontId="6" numFmtId="0" xfId="0" applyAlignment="1" applyBorder="1" applyFill="1" applyFont="1">
      <alignment horizontal="center" vertical="bottom"/>
    </xf>
    <xf borderId="1" fillId="0" fontId="69" numFmtId="0" xfId="0" applyAlignment="1" applyBorder="1" applyFont="1">
      <alignment readingOrder="0"/>
    </xf>
    <xf borderId="1" fillId="4" fontId="23" numFmtId="164" xfId="0" applyAlignment="1" applyBorder="1" applyFont="1" applyNumberFormat="1">
      <alignment horizontal="center" readingOrder="0"/>
    </xf>
    <xf borderId="1" fillId="4" fontId="73" numFmtId="0" xfId="0" applyAlignment="1" applyBorder="1" applyFont="1">
      <alignment horizontal="center" vertical="bottom"/>
    </xf>
    <xf borderId="0" fillId="4" fontId="67" numFmtId="0" xfId="0" applyAlignment="1" applyFont="1">
      <alignment horizontal="center"/>
    </xf>
    <xf borderId="0" fillId="4" fontId="70" numFmtId="0" xfId="0" applyAlignment="1" applyFont="1">
      <alignment horizontal="center" readingOrder="0"/>
    </xf>
    <xf borderId="4" fillId="4" fontId="70" numFmtId="0" xfId="0" applyAlignment="1" applyBorder="1" applyFont="1">
      <alignment horizontal="center" readingOrder="0"/>
    </xf>
    <xf borderId="1" fillId="0" fontId="70" numFmtId="0" xfId="0" applyAlignment="1" applyBorder="1" applyFont="1">
      <alignment horizontal="center" readingOrder="0"/>
    </xf>
    <xf borderId="1" fillId="0" fontId="74" numFmtId="0" xfId="0" applyAlignment="1" applyBorder="1" applyFont="1">
      <alignment horizontal="center" readingOrder="0"/>
    </xf>
    <xf borderId="1" fillId="0" fontId="70" numFmtId="166" xfId="0" applyAlignment="1" applyBorder="1" applyFont="1" applyNumberFormat="1">
      <alignment horizontal="center" readingOrder="0"/>
    </xf>
    <xf borderId="1" fillId="0" fontId="75" numFmtId="166" xfId="0" applyAlignment="1" applyBorder="1" applyFont="1" applyNumberFormat="1">
      <alignment horizontal="center" readingOrder="0" vertical="bottom"/>
    </xf>
    <xf borderId="6" fillId="4" fontId="23" numFmtId="164" xfId="0" applyAlignment="1" applyBorder="1" applyFont="1" applyNumberFormat="1">
      <alignment horizontal="center" readingOrder="0"/>
    </xf>
    <xf borderId="1" fillId="0" fontId="70" numFmtId="164" xfId="0" applyAlignment="1" applyBorder="1" applyFont="1" applyNumberFormat="1">
      <alignment horizontal="center" readingOrder="0"/>
    </xf>
    <xf borderId="1" fillId="0" fontId="76" numFmtId="0" xfId="0" applyAlignment="1" applyBorder="1" applyFont="1">
      <alignment horizontal="center" readingOrder="0" vertical="bottom"/>
    </xf>
    <xf borderId="1" fillId="0" fontId="70" numFmtId="0" xfId="0" applyAlignment="1" applyBorder="1" applyFont="1">
      <alignment horizontal="left" readingOrder="0"/>
    </xf>
    <xf borderId="1" fillId="11" fontId="77" numFmtId="0" xfId="0" applyAlignment="1" applyBorder="1" applyFill="1" applyFont="1">
      <alignment horizontal="center" readingOrder="0"/>
    </xf>
    <xf borderId="1" fillId="0" fontId="78" numFmtId="0" xfId="0" applyAlignment="1" applyBorder="1" applyFont="1">
      <alignment horizontal="center" readingOrder="0"/>
    </xf>
    <xf borderId="6" fillId="4" fontId="23" numFmtId="0" xfId="0" applyAlignment="1" applyBorder="1" applyFont="1">
      <alignment horizontal="center" readingOrder="0"/>
    </xf>
    <xf borderId="6" fillId="4" fontId="32" numFmtId="0" xfId="0" applyAlignment="1" applyBorder="1" applyFont="1">
      <alignment horizontal="center" readingOrder="0"/>
    </xf>
    <xf borderId="6" fillId="4" fontId="79" numFmtId="0" xfId="0" applyAlignment="1" applyBorder="1" applyFont="1">
      <alignment horizontal="center" readingOrder="0"/>
    </xf>
    <xf borderId="6" fillId="4" fontId="23" numFmtId="166" xfId="0" applyAlignment="1" applyBorder="1" applyFont="1" applyNumberFormat="1">
      <alignment horizontal="center" readingOrder="0"/>
    </xf>
    <xf borderId="6" fillId="4" fontId="32" numFmtId="0" xfId="0" applyAlignment="1" applyBorder="1" applyFont="1">
      <alignment horizontal="center" readingOrder="0" vertical="bottom"/>
    </xf>
    <xf borderId="6" fillId="4" fontId="23" numFmtId="0" xfId="0" applyAlignment="1" applyBorder="1" applyFont="1">
      <alignment horizontal="left" readingOrder="0"/>
    </xf>
    <xf borderId="0" fillId="4" fontId="23" numFmtId="0" xfId="0" applyAlignment="1" applyFont="1">
      <alignment horizontal="center"/>
    </xf>
    <xf borderId="1" fillId="0" fontId="80" numFmtId="0" xfId="0" applyAlignment="1" applyBorder="1" applyFont="1">
      <alignment horizontal="center" readingOrder="0" vertical="bottom"/>
    </xf>
    <xf borderId="1" fillId="0" fontId="67" numFmtId="0" xfId="0" applyAlignment="1" applyBorder="1" applyFont="1">
      <alignment horizontal="center" readingOrder="0"/>
    </xf>
    <xf borderId="1" fillId="0" fontId="67" numFmtId="0" xfId="0" applyAlignment="1" applyBorder="1" applyFont="1">
      <alignment horizontal="left" readingOrder="0"/>
    </xf>
    <xf borderId="1" fillId="4" fontId="33" numFmtId="0" xfId="0" applyAlignment="1" applyBorder="1" applyFont="1">
      <alignment readingOrder="0"/>
    </xf>
    <xf borderId="1" fillId="11" fontId="33" numFmtId="0" xfId="0" applyAlignment="1" applyBorder="1" applyFont="1">
      <alignment readingOrder="0"/>
    </xf>
    <xf borderId="0" fillId="4" fontId="66" numFmtId="0" xfId="0" applyAlignment="1" applyFont="1">
      <alignment horizontal="center" readingOrder="0" vertical="bottom"/>
    </xf>
    <xf borderId="1" fillId="0" fontId="81" numFmtId="0" xfId="0" applyAlignment="1" applyBorder="1" applyFont="1">
      <alignment horizontal="center" readingOrder="0" vertical="bottom"/>
    </xf>
    <xf borderId="1" fillId="4" fontId="23" numFmtId="0" xfId="0" applyAlignment="1" applyBorder="1" applyFont="1">
      <alignment horizontal="left"/>
    </xf>
    <xf borderId="0" fillId="0" fontId="81" numFmtId="0" xfId="0" applyAlignment="1" applyFont="1">
      <alignment horizontal="center"/>
    </xf>
    <xf borderId="0" fillId="4" fontId="23" numFmtId="0" xfId="0" applyAlignment="1" applyFont="1">
      <alignment horizontal="center" readingOrder="0"/>
    </xf>
    <xf borderId="1" fillId="4" fontId="69" numFmtId="0" xfId="0" applyAlignment="1" applyBorder="1" applyFont="1">
      <alignment horizontal="center" readingOrder="0"/>
    </xf>
    <xf borderId="1" fillId="4" fontId="82" numFmtId="0" xfId="0" applyAlignment="1" applyBorder="1" applyFont="1">
      <alignment horizontal="center" readingOrder="0"/>
    </xf>
    <xf borderId="1" fillId="4" fontId="0" numFmtId="0" xfId="0" applyAlignment="1" applyBorder="1" applyFont="1">
      <alignment horizontal="center" readingOrder="0" vertical="bottom"/>
    </xf>
    <xf borderId="1" fillId="4" fontId="83" numFmtId="0" xfId="0" applyAlignment="1" applyBorder="1" applyFont="1">
      <alignment horizontal="center" readingOrder="0"/>
    </xf>
    <xf borderId="1" fillId="4" fontId="0" numFmtId="166" xfId="0" applyAlignment="1" applyBorder="1" applyFont="1" applyNumberFormat="1">
      <alignment horizontal="center" readingOrder="0"/>
    </xf>
    <xf borderId="1" fillId="4" fontId="0" numFmtId="164" xfId="0" applyAlignment="1" applyBorder="1" applyFont="1" applyNumberFormat="1">
      <alignment horizontal="center" readingOrder="0"/>
    </xf>
    <xf borderId="1" fillId="4" fontId="0" numFmtId="164" xfId="0" applyAlignment="1" applyBorder="1" applyFont="1" applyNumberFormat="1">
      <alignment horizontal="center"/>
    </xf>
    <xf borderId="1" fillId="4" fontId="0" numFmtId="0" xfId="0" applyAlignment="1" applyBorder="1" applyFont="1">
      <alignment horizontal="left" readingOrder="0"/>
    </xf>
    <xf borderId="0" fillId="4" fontId="10" numFmtId="0" xfId="0" applyAlignment="1" applyFont="1">
      <alignment horizontal="center"/>
    </xf>
    <xf borderId="1" fillId="0" fontId="84" numFmtId="0" xfId="0" applyAlignment="1" applyBorder="1" applyFont="1">
      <alignment horizontal="center" readingOrder="0"/>
    </xf>
    <xf borderId="1" fillId="11" fontId="0" numFmtId="0" xfId="0" applyAlignment="1" applyBorder="1" applyFont="1">
      <alignment horizontal="center" readingOrder="0"/>
    </xf>
    <xf borderId="1" fillId="4" fontId="33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12" fontId="85" numFmtId="0" xfId="0" applyAlignment="1" applyBorder="1" applyFill="1" applyFont="1">
      <alignment horizontal="center" readingOrder="0"/>
    </xf>
    <xf borderId="1" fillId="0" fontId="81" numFmtId="0" xfId="0" applyAlignment="1" applyBorder="1" applyFont="1">
      <alignment horizontal="left"/>
    </xf>
    <xf borderId="1" fillId="8" fontId="2" numFmtId="0" xfId="0" applyAlignment="1" applyBorder="1" applyFont="1">
      <alignment readingOrder="0"/>
    </xf>
    <xf borderId="1" fillId="0" fontId="23" numFmtId="3" xfId="0" applyAlignment="1" applyBorder="1" applyFont="1" applyNumberFormat="1">
      <alignment horizontal="center" readingOrder="0"/>
    </xf>
    <xf borderId="1" fillId="13" fontId="23" numFmtId="0" xfId="0" applyAlignment="1" applyBorder="1" applyFill="1" applyFont="1">
      <alignment horizontal="center" readingOrder="0"/>
    </xf>
    <xf borderId="1" fillId="13" fontId="86" numFmtId="0" xfId="0" applyAlignment="1" applyBorder="1" applyFont="1">
      <alignment horizontal="center" readingOrder="0"/>
    </xf>
    <xf borderId="1" fillId="13" fontId="87" numFmtId="0" xfId="0" applyAlignment="1" applyBorder="1" applyFont="1">
      <alignment horizontal="center" vertical="bottom"/>
    </xf>
    <xf borderId="1" fillId="13" fontId="23" numFmtId="166" xfId="0" applyAlignment="1" applyBorder="1" applyFont="1" applyNumberFormat="1">
      <alignment horizontal="center" readingOrder="0"/>
    </xf>
    <xf borderId="1" fillId="13" fontId="88" numFmtId="164" xfId="0" applyAlignment="1" applyBorder="1" applyFont="1" applyNumberFormat="1">
      <alignment horizontal="center" readingOrder="0"/>
    </xf>
    <xf borderId="1" fillId="13" fontId="87" numFmtId="164" xfId="0" applyAlignment="1" applyBorder="1" applyFont="1" applyNumberFormat="1">
      <alignment horizontal="center" readingOrder="0" vertical="bottom"/>
    </xf>
    <xf borderId="1" fillId="13" fontId="32" numFmtId="0" xfId="0" applyAlignment="1" applyBorder="1" applyFont="1">
      <alignment horizontal="center" readingOrder="0" vertical="bottom"/>
    </xf>
    <xf borderId="1" fillId="13" fontId="23" numFmtId="0" xfId="0" applyAlignment="1" applyBorder="1" applyFont="1">
      <alignment horizontal="center"/>
    </xf>
    <xf borderId="1" fillId="13" fontId="23" numFmtId="0" xfId="0" applyAlignment="1" applyBorder="1" applyFont="1">
      <alignment horizontal="left" readingOrder="0"/>
    </xf>
    <xf borderId="1" fillId="13" fontId="88" numFmtId="0" xfId="0" applyAlignment="1" applyBorder="1" applyFont="1">
      <alignment horizontal="center" readingOrder="0"/>
    </xf>
    <xf borderId="1" fillId="8" fontId="23" numFmtId="0" xfId="0" applyAlignment="1" applyBorder="1" applyFont="1">
      <alignment horizontal="center" readingOrder="0"/>
    </xf>
    <xf borderId="1" fillId="0" fontId="60" numFmtId="0" xfId="0" applyAlignment="1" applyBorder="1" applyFont="1">
      <alignment horizontal="left" readingOrder="0"/>
    </xf>
    <xf borderId="1" fillId="4" fontId="2" numFmtId="0" xfId="0" applyAlignment="1" applyBorder="1" applyFont="1">
      <alignment readingOrder="0"/>
    </xf>
    <xf borderId="1" fillId="4" fontId="10" numFmtId="0" xfId="0" applyAlignment="1" applyBorder="1" applyFont="1">
      <alignment horizontal="center" readingOrder="0"/>
    </xf>
    <xf borderId="1" fillId="4" fontId="10" numFmtId="166" xfId="0" applyAlignment="1" applyBorder="1" applyFont="1" applyNumberFormat="1">
      <alignment horizontal="center" readingOrder="0"/>
    </xf>
    <xf borderId="1" fillId="4" fontId="10" numFmtId="164" xfId="0" applyAlignment="1" applyBorder="1" applyFont="1" applyNumberFormat="1">
      <alignment horizontal="center" readingOrder="0"/>
    </xf>
    <xf borderId="1" fillId="4" fontId="81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left" readingOrder="0"/>
    </xf>
    <xf borderId="1" fillId="4" fontId="40" numFmtId="0" xfId="0" applyAlignment="1" applyBorder="1" applyFont="1">
      <alignment horizontal="center" readingOrder="0"/>
    </xf>
    <xf borderId="1" fillId="4" fontId="66" numFmtId="0" xfId="0" applyAlignment="1" applyBorder="1" applyFont="1">
      <alignment horizontal="center" readingOrder="0" vertical="bottom"/>
    </xf>
    <xf borderId="1" fillId="4" fontId="60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  <xf borderId="1" fillId="4" fontId="2" numFmtId="0" xfId="0" applyAlignment="1" applyBorder="1" applyFont="1">
      <alignment horizontal="left" readingOrder="0"/>
    </xf>
    <xf borderId="1" fillId="4" fontId="89" numFmtId="0" xfId="0" applyAlignment="1" applyBorder="1" applyFont="1">
      <alignment horizontal="center" readingOrder="0"/>
    </xf>
    <xf borderId="1" fillId="4" fontId="90" numFmtId="0" xfId="0" applyAlignment="1" applyBorder="1" applyFont="1">
      <alignment horizontal="center" readingOrder="0"/>
    </xf>
    <xf borderId="1" fillId="8" fontId="2" numFmtId="0" xfId="0" applyAlignment="1" applyBorder="1" applyFont="1">
      <alignment horizontal="center" readingOrder="0"/>
    </xf>
    <xf borderId="1" fillId="4" fontId="40" numFmtId="0" xfId="0" applyAlignment="1" applyBorder="1" applyFont="1">
      <alignment horizontal="center" readingOrder="0"/>
    </xf>
    <xf borderId="0" fillId="0" fontId="40" numFmtId="0" xfId="0" applyAlignment="1" applyFont="1">
      <alignment readingOrder="0"/>
    </xf>
    <xf borderId="1" fillId="4" fontId="24" numFmtId="166" xfId="0" applyAlignment="1" applyBorder="1" applyFont="1" applyNumberFormat="1">
      <alignment horizontal="center" vertical="bottom"/>
    </xf>
    <xf borderId="1" fillId="4" fontId="24" numFmtId="0" xfId="0" applyAlignment="1" applyBorder="1" applyFont="1">
      <alignment vertical="bottom"/>
    </xf>
    <xf borderId="1" fillId="4" fontId="24" numFmtId="0" xfId="0" applyAlignment="1" applyBorder="1" applyFont="1">
      <alignment readingOrder="0" vertical="bottom"/>
    </xf>
    <xf borderId="0" fillId="0" fontId="23" numFmtId="0" xfId="0" applyAlignment="1" applyFont="1">
      <alignment horizontal="center" readingOrder="0"/>
    </xf>
    <xf borderId="1" fillId="4" fontId="24" numFmtId="49" xfId="0" applyAlignment="1" applyBorder="1" applyFont="1" applyNumberFormat="1">
      <alignment horizontal="center" readingOrder="0" vertical="bottom"/>
    </xf>
    <xf borderId="1" fillId="4" fontId="40" numFmtId="0" xfId="0" applyAlignment="1" applyBorder="1" applyFont="1">
      <alignment horizontal="center" readingOrder="0"/>
    </xf>
    <xf borderId="0" fillId="0" fontId="40" numFmtId="0" xfId="0" applyAlignment="1" applyFont="1">
      <alignment horizontal="center" readingOrder="0"/>
    </xf>
    <xf borderId="1" fillId="0" fontId="6" numFmtId="49" xfId="0" applyAlignment="1" applyBorder="1" applyFont="1" applyNumberFormat="1">
      <alignment horizontal="center" readingOrder="0" vertical="bottom"/>
    </xf>
    <xf borderId="1" fillId="4" fontId="6" numFmtId="166" xfId="0" applyAlignment="1" applyBorder="1" applyFont="1" applyNumberFormat="1">
      <alignment horizontal="center" readingOrder="0" vertical="bottom"/>
    </xf>
    <xf borderId="1" fillId="4" fontId="6" numFmtId="164" xfId="0" applyAlignment="1" applyBorder="1" applyFont="1" applyNumberFormat="1">
      <alignment horizontal="center" readingOrder="0" vertical="bottom"/>
    </xf>
    <xf borderId="1" fillId="4" fontId="6" numFmtId="49" xfId="0" applyAlignment="1" applyBorder="1" applyFont="1" applyNumberFormat="1">
      <alignment horizontal="center" readingOrder="0" vertical="bottom"/>
    </xf>
    <xf quotePrefix="1" borderId="1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6" fillId="0" fontId="6" numFmtId="166" xfId="0" applyAlignment="1" applyBorder="1" applyFont="1" applyNumberFormat="1">
      <alignment horizontal="center" readingOrder="0" vertical="bottom"/>
    </xf>
    <xf borderId="6" fillId="0" fontId="2" numFmtId="166" xfId="0" applyAlignment="1" applyBorder="1" applyFont="1" applyNumberFormat="1">
      <alignment horizontal="center" readingOrder="0"/>
    </xf>
    <xf borderId="6" fillId="0" fontId="6" numFmtId="164" xfId="0" applyAlignment="1" applyBorder="1" applyFont="1" applyNumberFormat="1">
      <alignment horizontal="center" readingOrder="0" vertical="bottom"/>
    </xf>
    <xf borderId="6" fillId="4" fontId="24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readingOrder="0" vertical="bottom"/>
    </xf>
    <xf borderId="1" fillId="0" fontId="6" numFmtId="1" xfId="0" applyAlignment="1" applyBorder="1" applyFont="1" applyNumberFormat="1">
      <alignment horizontal="center" vertical="bottom"/>
    </xf>
    <xf borderId="1" fillId="0" fontId="91" numFmtId="0" xfId="0" applyAlignment="1" applyBorder="1" applyFont="1">
      <alignment horizontal="center" readingOrder="0"/>
    </xf>
    <xf borderId="1" fillId="0" fontId="91" numFmtId="164" xfId="0" applyAlignment="1" applyBorder="1" applyFont="1" applyNumberFormat="1">
      <alignment horizontal="center"/>
    </xf>
    <xf borderId="1" fillId="0" fontId="15" numFmtId="0" xfId="0" applyAlignment="1" applyBorder="1" applyFont="1">
      <alignment horizontal="center"/>
    </xf>
    <xf borderId="1" fillId="0" fontId="2" numFmtId="1" xfId="0" applyAlignment="1" applyBorder="1" applyFont="1" applyNumberFormat="1">
      <alignment horizontal="center" readingOrder="0"/>
    </xf>
    <xf borderId="1" fillId="0" fontId="60" numFmtId="0" xfId="0" applyAlignment="1" applyBorder="1" applyFont="1">
      <alignment horizontal="center" readingOrder="0"/>
    </xf>
    <xf borderId="1" fillId="0" fontId="60" numFmtId="0" xfId="0" applyAlignment="1" applyBorder="1" applyFont="1">
      <alignment horizontal="center"/>
    </xf>
    <xf borderId="0" fillId="0" fontId="60" numFmtId="9" xfId="0" applyAlignment="1" applyFont="1" applyNumberFormat="1">
      <alignment horizontal="center" readingOrder="0"/>
    </xf>
    <xf borderId="1" fillId="0" fontId="32" numFmtId="0" xfId="0" applyAlignment="1" applyBorder="1" applyFont="1">
      <alignment horizontal="center" vertical="bottom"/>
    </xf>
    <xf borderId="1" fillId="0" fontId="92" numFmtId="0" xfId="0" applyAlignment="1" applyBorder="1" applyFont="1">
      <alignment horizontal="center" readingOrder="0" vertical="bottom"/>
    </xf>
    <xf borderId="1" fillId="0" fontId="24" numFmtId="165" xfId="0" applyAlignment="1" applyBorder="1" applyFont="1" applyNumberFormat="1">
      <alignment horizontal="center" vertical="bottom"/>
    </xf>
    <xf borderId="1" fillId="0" fontId="24" numFmtId="1" xfId="0" applyAlignment="1" applyBorder="1" applyFont="1" applyNumberFormat="1">
      <alignment horizontal="center" readingOrder="0" vertical="bottom"/>
    </xf>
    <xf borderId="1" fillId="0" fontId="10" numFmtId="1" xfId="0" applyAlignment="1" applyBorder="1" applyFont="1" applyNumberFormat="1">
      <alignment horizontal="center" readingOrder="0"/>
    </xf>
    <xf borderId="1" fillId="0" fontId="0" numFmtId="1" xfId="0" applyAlignment="1" applyBorder="1" applyFont="1" applyNumberFormat="1">
      <alignment horizontal="center" readingOrder="0"/>
    </xf>
    <xf borderId="1" fillId="0" fontId="15" numFmtId="0" xfId="0" applyAlignment="1" applyBorder="1" applyFont="1">
      <alignment horizontal="center" vertical="bottom"/>
    </xf>
    <xf borderId="0" fillId="0" fontId="2" numFmtId="10" xfId="0" applyAlignment="1" applyFont="1" applyNumberFormat="1">
      <alignment horizontal="center"/>
    </xf>
    <xf borderId="1" fillId="0" fontId="33" numFmtId="0" xfId="0" applyAlignment="1" applyBorder="1" applyFont="1">
      <alignment horizontal="center" readingOrder="0"/>
    </xf>
    <xf borderId="0" fillId="0" fontId="93" numFmtId="10" xfId="0" applyAlignment="1" applyFont="1" applyNumberFormat="1">
      <alignment horizontal="center"/>
    </xf>
    <xf borderId="0" fillId="0" fontId="2" numFmtId="9" xfId="0" applyAlignment="1" applyFont="1" applyNumberFormat="1">
      <alignment horizontal="center" readingOrder="0"/>
    </xf>
    <xf borderId="1" fillId="0" fontId="33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center" readingOrder="0"/>
    </xf>
    <xf borderId="1" fillId="0" fontId="22" numFmtId="0" xfId="0" applyAlignment="1" applyBorder="1" applyFont="1">
      <alignment horizontal="center" readingOrder="0"/>
    </xf>
    <xf borderId="1" fillId="0" fontId="77" numFmtId="0" xfId="0" applyAlignment="1" applyBorder="1" applyFont="1">
      <alignment horizontal="center" readingOrder="0"/>
    </xf>
    <xf borderId="1" fillId="0" fontId="76" numFmtId="0" xfId="0" applyAlignment="1" applyBorder="1" applyFont="1">
      <alignment horizontal="center" readingOrder="0"/>
    </xf>
    <xf borderId="1" fillId="0" fontId="94" numFmtId="0" xfId="0" applyAlignment="1" applyBorder="1" applyFont="1">
      <alignment horizontal="center" readingOrder="0"/>
    </xf>
    <xf borderId="1" fillId="0" fontId="75" numFmtId="0" xfId="0" applyAlignment="1" applyBorder="1" applyFont="1">
      <alignment horizontal="center" readingOrder="0" vertical="bottom"/>
    </xf>
    <xf borderId="1" fillId="0" fontId="70" numFmtId="1" xfId="0" applyAlignment="1" applyBorder="1" applyFont="1" applyNumberFormat="1">
      <alignment horizontal="center" readingOrder="0"/>
    </xf>
    <xf borderId="1" fillId="0" fontId="75" numFmtId="164" xfId="0" applyAlignment="1" applyBorder="1" applyFont="1" applyNumberFormat="1">
      <alignment horizontal="center" readingOrder="0" vertical="bottom"/>
    </xf>
    <xf borderId="1" fillId="0" fontId="70" numFmtId="0" xfId="0" applyAlignment="1" applyBorder="1" applyFont="1">
      <alignment horizontal="left"/>
    </xf>
    <xf borderId="1" fillId="0" fontId="75" numFmtId="0" xfId="0" applyAlignment="1" applyBorder="1" applyFont="1">
      <alignment horizontal="center" vertical="bottom"/>
    </xf>
    <xf borderId="1" fillId="0" fontId="23" numFmtId="1" xfId="0" applyAlignment="1" applyBorder="1" applyFont="1" applyNumberFormat="1">
      <alignment horizontal="center" readingOrder="0"/>
    </xf>
    <xf borderId="1" fillId="0" fontId="95" numFmtId="0" xfId="0" applyAlignment="1" applyBorder="1" applyFont="1">
      <alignment horizontal="left" readingOrder="0"/>
    </xf>
    <xf borderId="0" fillId="0" fontId="0" numFmtId="10" xfId="0" applyAlignment="1" applyFont="1" applyNumberFormat="1">
      <alignment horizontal="center"/>
    </xf>
    <xf borderId="1" fillId="0" fontId="96" numFmtId="0" xfId="0" applyAlignment="1" applyBorder="1" applyFont="1">
      <alignment horizontal="center" readingOrder="0"/>
    </xf>
    <xf borderId="1" fillId="0" fontId="95" numFmtId="0" xfId="0" applyAlignment="1" applyBorder="1" applyFont="1">
      <alignment horizontal="left"/>
    </xf>
    <xf borderId="1" fillId="0" fontId="97" numFmtId="0" xfId="0" applyAlignment="1" applyBorder="1" applyFont="1">
      <alignment horizontal="center" readingOrder="0"/>
    </xf>
    <xf borderId="0" fillId="0" fontId="60" numFmtId="0" xfId="0" applyAlignment="1" applyFont="1">
      <alignment horizontal="center" readingOrder="0"/>
    </xf>
    <xf borderId="1" fillId="0" fontId="98" numFmtId="0" xfId="0" applyAlignment="1" applyBorder="1" applyFont="1">
      <alignment horizontal="center" readingOrder="0"/>
    </xf>
    <xf borderId="1" fillId="0" fontId="70" numFmtId="164" xfId="0" applyAlignment="1" applyBorder="1" applyFont="1" applyNumberFormat="1">
      <alignment horizontal="center"/>
    </xf>
    <xf borderId="1" fillId="0" fontId="74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center"/>
    </xf>
    <xf borderId="1" fillId="0" fontId="40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2" numFmtId="1" xfId="0" applyAlignment="1" applyBorder="1" applyFont="1" applyNumberFormat="1">
      <alignment horizontal="center" readingOrder="0" vertical="center"/>
    </xf>
    <xf borderId="1" fillId="0" fontId="6" numFmtId="164" xfId="0" applyAlignment="1" applyBorder="1" applyFont="1" applyNumberFormat="1">
      <alignment horizontal="center" vertical="center"/>
    </xf>
    <xf borderId="1" fillId="0" fontId="0" numFmtId="0" xfId="0" applyAlignment="1" applyBorder="1" applyFont="1">
      <alignment horizontal="center" readingOrder="0" vertical="center"/>
    </xf>
    <xf borderId="1" fillId="0" fontId="99" numFmtId="0" xfId="0" applyAlignment="1" applyBorder="1" applyFont="1">
      <alignment horizontal="left" readingOrder="0" shrinkToFit="0" wrapText="1"/>
    </xf>
    <xf borderId="1" fillId="0" fontId="100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3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1" fillId="0" fontId="100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center" readingOrder="0"/>
    </xf>
    <xf borderId="0" fillId="0" fontId="0" numFmtId="164" xfId="0" applyAlignment="1" applyFont="1" applyNumberFormat="1">
      <alignment horizontal="center" readingOrder="0"/>
    </xf>
    <xf borderId="1" fillId="0" fontId="6" numFmtId="168" xfId="0" applyAlignment="1" applyBorder="1" applyFont="1" applyNumberFormat="1">
      <alignment horizontal="left" vertical="bottom"/>
    </xf>
    <xf borderId="1" fillId="0" fontId="101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readingOrder="0" vertical="center"/>
    </xf>
    <xf borderId="1" fillId="4" fontId="15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vertical="center"/>
    </xf>
    <xf borderId="1" fillId="4" fontId="2" numFmtId="166" xfId="0" applyAlignment="1" applyBorder="1" applyFont="1" applyNumberFormat="1">
      <alignment horizontal="center" readingOrder="0" vertical="center"/>
    </xf>
    <xf borderId="1" fillId="4" fontId="2" numFmtId="164" xfId="0" applyAlignment="1" applyBorder="1" applyFont="1" applyNumberFormat="1">
      <alignment horizontal="center" readingOrder="0" vertical="center"/>
    </xf>
    <xf borderId="1" fillId="4" fontId="24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4" fontId="32" numFmtId="0" xfId="0" applyAlignment="1" applyBorder="1" applyFont="1">
      <alignment horizontal="center" readingOrder="0" vertical="center"/>
    </xf>
    <xf borderId="1" fillId="4" fontId="99" numFmtId="0" xfId="0" applyAlignment="1" applyBorder="1" applyFont="1">
      <alignment horizontal="left" readingOrder="0" shrinkToFit="0" wrapText="1"/>
    </xf>
    <xf borderId="1" fillId="14" fontId="60" numFmtId="0" xfId="0" applyAlignment="1" applyBorder="1" applyFill="1" applyFont="1">
      <alignment horizontal="left"/>
    </xf>
    <xf borderId="1" fillId="14" fontId="23" numFmtId="0" xfId="0" applyAlignment="1" applyBorder="1" applyFont="1">
      <alignment horizontal="center" readingOrder="0"/>
    </xf>
    <xf borderId="1" fillId="14" fontId="70" numFmtId="0" xfId="0" applyAlignment="1" applyBorder="1" applyFont="1">
      <alignment horizontal="center" readingOrder="0"/>
    </xf>
    <xf borderId="1" fillId="14" fontId="2" numFmtId="0" xfId="0" applyAlignment="1" applyBorder="1" applyFont="1">
      <alignment horizontal="center" readingOrder="0"/>
    </xf>
    <xf borderId="1" fillId="0" fontId="24" numFmtId="0" xfId="0" applyAlignment="1" applyBorder="1" applyFont="1">
      <alignment horizontal="center" readingOrder="0"/>
    </xf>
    <xf borderId="1" fillId="0" fontId="99" numFmtId="0" xfId="0" applyAlignment="1" applyBorder="1" applyFont="1">
      <alignment horizontal="center" readingOrder="0"/>
    </xf>
    <xf borderId="1" fillId="0" fontId="99" numFmtId="0" xfId="0" applyAlignment="1" applyBorder="1" applyFont="1">
      <alignment horizontal="left" readingOrder="0"/>
    </xf>
    <xf borderId="1" fillId="4" fontId="15" numFmtId="0" xfId="0" applyAlignment="1" applyBorder="1" applyFont="1">
      <alignment horizontal="center" vertical="bottom"/>
    </xf>
    <xf borderId="1" fillId="4" fontId="15" numFmtId="0" xfId="0" applyAlignment="1" applyBorder="1" applyFont="1">
      <alignment horizontal="center" readingOrder="0" vertical="bottom"/>
    </xf>
    <xf borderId="1" fillId="0" fontId="6" numFmtId="1" xfId="0" applyAlignment="1" applyBorder="1" applyFont="1" applyNumberFormat="1">
      <alignment horizontal="center" readingOrder="0" vertical="bottom"/>
    </xf>
    <xf borderId="1" fillId="0" fontId="6" numFmtId="3" xfId="0" applyAlignment="1" applyBorder="1" applyFont="1" applyNumberFormat="1">
      <alignment horizontal="center" vertical="bottom"/>
    </xf>
    <xf borderId="1" fillId="0" fontId="24" numFmtId="0" xfId="0" applyAlignment="1" applyBorder="1" applyFont="1">
      <alignment horizontal="center" vertical="bottom"/>
    </xf>
    <xf borderId="1" fillId="0" fontId="24" numFmtId="49" xfId="0" applyAlignment="1" applyBorder="1" applyFont="1" applyNumberFormat="1">
      <alignment horizontal="center" readingOrder="0" vertical="bottom"/>
    </xf>
    <xf borderId="1" fillId="0" fontId="102" numFmtId="0" xfId="0" applyAlignment="1" applyBorder="1" applyFont="1">
      <alignment horizontal="left" readingOrder="0"/>
    </xf>
    <xf borderId="1" fillId="0" fontId="103" numFmtId="0" xfId="0" applyAlignment="1" applyBorder="1" applyFont="1">
      <alignment horizontal="center" vertical="bottom"/>
    </xf>
    <xf borderId="1" fillId="0" fontId="32" numFmtId="166" xfId="0" applyAlignment="1" applyBorder="1" applyFont="1" applyNumberFormat="1">
      <alignment horizontal="center" vertical="bottom"/>
    </xf>
    <xf borderId="1" fillId="0" fontId="32" numFmtId="166" xfId="0" applyAlignment="1" applyBorder="1" applyFont="1" applyNumberFormat="1">
      <alignment horizontal="center" readingOrder="0" vertical="bottom"/>
    </xf>
    <xf borderId="1" fillId="0" fontId="32" numFmtId="164" xfId="0" applyAlignment="1" applyBorder="1" applyFont="1" applyNumberFormat="1">
      <alignment horizontal="center" vertical="bottom"/>
    </xf>
    <xf borderId="1" fillId="0" fontId="32" numFmtId="1" xfId="0" applyAlignment="1" applyBorder="1" applyFont="1" applyNumberFormat="1">
      <alignment horizontal="center" vertical="bottom"/>
    </xf>
    <xf borderId="1" fillId="4" fontId="6" numFmtId="1" xfId="0" applyAlignment="1" applyBorder="1" applyFont="1" applyNumberFormat="1">
      <alignment horizontal="center" vertical="bottom"/>
    </xf>
    <xf borderId="1" fillId="15" fontId="6" numFmtId="0" xfId="0" applyAlignment="1" applyBorder="1" applyFill="1" applyFont="1">
      <alignment horizontal="center" vertical="bottom"/>
    </xf>
    <xf borderId="1" fillId="15" fontId="15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left" vertical="bottom"/>
    </xf>
    <xf borderId="1" fillId="0" fontId="104" numFmtId="0" xfId="0" applyAlignment="1" applyBorder="1" applyFont="1">
      <alignment horizontal="center" readingOrder="0"/>
    </xf>
    <xf borderId="1" fillId="0" fontId="24" numFmtId="1" xfId="0" applyAlignment="1" applyBorder="1" applyFont="1" applyNumberFormat="1">
      <alignment horizontal="center" vertical="bottom"/>
    </xf>
    <xf borderId="1" fillId="15" fontId="105" numFmtId="0" xfId="0" applyAlignment="1" applyBorder="1" applyFont="1">
      <alignment horizontal="center" readingOrder="0"/>
    </xf>
    <xf borderId="1" fillId="0" fontId="106" numFmtId="0" xfId="0" applyAlignment="1" applyBorder="1" applyFont="1">
      <alignment horizontal="center" readingOrder="0"/>
    </xf>
    <xf borderId="1" fillId="0" fontId="107" numFmtId="0" xfId="0" applyAlignment="1" applyBorder="1" applyFont="1">
      <alignment horizontal="center" readingOrder="0"/>
    </xf>
    <xf borderId="1" fillId="4" fontId="32" numFmtId="0" xfId="0" applyAlignment="1" applyBorder="1" applyFont="1">
      <alignment horizontal="center" vertical="bottom"/>
    </xf>
    <xf borderId="1" fillId="4" fontId="108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1" fillId="0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center" readingOrder="0" vertical="bottom"/>
    </xf>
    <xf borderId="1" fillId="0" fontId="23" numFmtId="166" xfId="0" applyAlignment="1" applyBorder="1" applyFont="1" applyNumberFormat="1">
      <alignment horizontal="center" readingOrder="0" vertical="bottom"/>
    </xf>
    <xf borderId="1" fillId="0" fontId="23" numFmtId="166" xfId="0" applyAlignment="1" applyBorder="1" applyFont="1" applyNumberFormat="1">
      <alignment horizontal="center" vertical="bottom"/>
    </xf>
    <xf borderId="1" fillId="0" fontId="23" numFmtId="164" xfId="0" applyAlignment="1" applyBorder="1" applyFont="1" applyNumberFormat="1">
      <alignment horizontal="center" readingOrder="0" vertical="bottom"/>
    </xf>
    <xf borderId="1" fillId="0" fontId="23" numFmtId="1" xfId="0" applyAlignment="1" applyBorder="1" applyFont="1" applyNumberFormat="1">
      <alignment horizontal="center" readingOrder="0" vertical="bottom"/>
    </xf>
    <xf borderId="1" fillId="0" fontId="23" numFmtId="0" xfId="0" applyAlignment="1" applyBorder="1" applyFont="1">
      <alignment horizontal="left" vertical="bottom"/>
    </xf>
    <xf borderId="1" fillId="15" fontId="23" numFmtId="0" xfId="0" applyAlignment="1" applyBorder="1" applyFont="1">
      <alignment horizontal="center" readingOrder="0"/>
    </xf>
    <xf borderId="1" fillId="4" fontId="109" numFmtId="0" xfId="0" applyAlignment="1" applyBorder="1" applyFont="1">
      <alignment horizontal="center" readingOrder="0"/>
    </xf>
    <xf borderId="1" fillId="4" fontId="110" numFmtId="0" xfId="0" applyAlignment="1" applyBorder="1" applyFont="1">
      <alignment horizontal="center" readingOrder="0"/>
    </xf>
    <xf borderId="1" fillId="0" fontId="111" numFmtId="0" xfId="0" applyAlignment="1" applyBorder="1" applyFont="1">
      <alignment horizontal="center" readingOrder="0"/>
    </xf>
    <xf borderId="1" fillId="0" fontId="23" numFmtId="164" xfId="0" applyAlignment="1" applyBorder="1" applyFont="1" applyNumberFormat="1">
      <alignment horizontal="center" vertical="bottom"/>
    </xf>
    <xf borderId="1" fillId="4" fontId="112" numFmtId="0" xfId="0" applyAlignment="1" applyBorder="1" applyFont="1">
      <alignment horizontal="center" readingOrder="0"/>
    </xf>
    <xf borderId="1" fillId="4" fontId="113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24" numFmtId="0" xfId="0" applyAlignment="1" applyBorder="1" applyFont="1">
      <alignment horizontal="center" vertical="bottom"/>
    </xf>
    <xf borderId="6" fillId="0" fontId="24" numFmtId="0" xfId="0" applyAlignment="1" applyBorder="1" applyFont="1">
      <alignment horizontal="center" readingOrder="0" vertical="bottom"/>
    </xf>
    <xf borderId="6" fillId="0" fontId="24" numFmtId="166" xfId="0" applyAlignment="1" applyBorder="1" applyFont="1" applyNumberFormat="1">
      <alignment horizontal="center" vertical="bottom"/>
    </xf>
    <xf borderId="6" fillId="0" fontId="24" numFmtId="165" xfId="0" applyAlignment="1" applyBorder="1" applyFont="1" applyNumberFormat="1">
      <alignment horizontal="center" readingOrder="0" vertical="bottom"/>
    </xf>
    <xf borderId="6" fillId="0" fontId="24" numFmtId="164" xfId="0" applyAlignment="1" applyBorder="1" applyFont="1" applyNumberFormat="1">
      <alignment horizontal="center" vertical="bottom"/>
    </xf>
    <xf borderId="5" fillId="0" fontId="24" numFmtId="0" xfId="0" applyAlignment="1" applyBorder="1" applyFont="1">
      <alignment horizontal="center" vertical="bottom"/>
    </xf>
    <xf borderId="6" fillId="4" fontId="24" numFmtId="164" xfId="0" applyAlignment="1" applyBorder="1" applyFont="1" applyNumberFormat="1">
      <alignment horizontal="center" vertical="bottom"/>
    </xf>
    <xf borderId="6" fillId="0" fontId="24" numFmtId="0" xfId="0" applyAlignment="1" applyBorder="1" applyFont="1">
      <alignment horizontal="left" readingOrder="0" vertical="bottom"/>
    </xf>
    <xf borderId="6" fillId="0" fontId="23" numFmtId="0" xfId="0" applyAlignment="1" applyBorder="1" applyFont="1">
      <alignment horizontal="center" readingOrder="0"/>
    </xf>
    <xf borderId="0" fillId="0" fontId="24" numFmtId="0" xfId="0" applyAlignment="1" applyFont="1">
      <alignment horizontal="center" readingOrder="0" vertical="bottom"/>
    </xf>
    <xf borderId="0" fillId="0" fontId="24" numFmtId="166" xfId="0" applyAlignment="1" applyFont="1" applyNumberFormat="1">
      <alignment horizontal="center" vertical="bottom"/>
    </xf>
    <xf borderId="0" fillId="0" fontId="24" numFmtId="165" xfId="0" applyAlignment="1" applyFont="1" applyNumberFormat="1">
      <alignment horizontal="center" readingOrder="0" vertical="bottom"/>
    </xf>
    <xf borderId="0" fillId="0" fontId="24" numFmtId="164" xfId="0" applyAlignment="1" applyFont="1" applyNumberFormat="1">
      <alignment horizontal="center" vertical="bottom"/>
    </xf>
    <xf borderId="0" fillId="0" fontId="24" numFmtId="0" xfId="0" applyAlignment="1" applyFont="1">
      <alignment horizontal="center" vertical="bottom"/>
    </xf>
    <xf borderId="0" fillId="4" fontId="24" numFmtId="164" xfId="0" applyAlignment="1" applyFont="1" applyNumberFormat="1">
      <alignment horizontal="center" vertical="bottom"/>
    </xf>
    <xf borderId="0" fillId="0" fontId="24" numFmtId="0" xfId="0" applyAlignment="1" applyFont="1">
      <alignment horizontal="left" readingOrder="0" vertical="bottom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1" fillId="3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1" numFmtId="164" xfId="0" applyAlignment="1" applyBorder="1" applyFont="1" applyNumberFormat="1">
      <alignment horizontal="center" shrinkToFit="0" vertical="bottom" wrapText="1"/>
    </xf>
    <xf borderId="2" fillId="3" fontId="1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wrapText="1"/>
    </xf>
    <xf borderId="0" fillId="4" fontId="2" numFmtId="0" xfId="0" applyAlignment="1" applyFont="1">
      <alignment horizontal="center" shrinkToFit="0" wrapText="1"/>
    </xf>
    <xf borderId="1" fillId="0" fontId="10" numFmtId="0" xfId="0" applyAlignment="1" applyBorder="1" applyFont="1">
      <alignment horizontal="left" shrinkToFit="0" wrapText="1"/>
    </xf>
    <xf borderId="1" fillId="0" fontId="114" numFmtId="0" xfId="0" applyAlignment="1" applyBorder="1" applyFont="1">
      <alignment horizontal="center" vertical="bottom"/>
    </xf>
    <xf borderId="1" fillId="0" fontId="0" numFmtId="166" xfId="0" applyAlignment="1" applyBorder="1" applyFont="1" applyNumberFormat="1">
      <alignment horizontal="center" vertical="bottom"/>
    </xf>
    <xf borderId="1" fillId="0" fontId="0" numFmtId="1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shrinkToFit="0" vertical="bottom" wrapText="1"/>
    </xf>
    <xf borderId="1" fillId="4" fontId="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shrinkToFit="0" wrapText="1"/>
    </xf>
    <xf borderId="1" fillId="4" fontId="10" numFmtId="0" xfId="0" applyAlignment="1" applyBorder="1" applyFont="1">
      <alignment horizontal="left" readingOrder="0" shrinkToFit="0" wrapText="1"/>
    </xf>
    <xf borderId="1" fillId="0" fontId="115" numFmtId="0" xfId="0" applyAlignment="1" applyBorder="1" applyFont="1">
      <alignment horizontal="center" readingOrder="0"/>
    </xf>
    <xf borderId="1" fillId="9" fontId="0" numFmtId="164" xfId="0" applyAlignment="1" applyBorder="1" applyFont="1" applyNumberFormat="1">
      <alignment horizontal="center" readingOrder="0"/>
    </xf>
    <xf borderId="1" fillId="0" fontId="116" numFmtId="0" xfId="0" applyAlignment="1" applyBorder="1" applyFont="1">
      <alignment horizontal="center" vertical="bottom"/>
    </xf>
    <xf borderId="1" fillId="0" fontId="0" numFmtId="166" xfId="0" applyAlignment="1" applyBorder="1" applyFont="1" applyNumberFormat="1">
      <alignment horizontal="center" readingOrder="0" vertical="bottom"/>
    </xf>
    <xf borderId="1" fillId="0" fontId="0" numFmtId="1" xfId="0" applyAlignment="1" applyBorder="1" applyFont="1" applyNumberFormat="1">
      <alignment horizontal="center" readingOrder="0" vertical="bottom"/>
    </xf>
    <xf borderId="1" fillId="0" fontId="15" numFmtId="0" xfId="0" applyAlignment="1" applyBorder="1" applyFont="1">
      <alignment horizontal="left" shrinkToFit="0" vertical="bottom" wrapText="1"/>
    </xf>
    <xf borderId="1" fillId="0" fontId="117" numFmtId="0" xfId="0" applyAlignment="1" applyBorder="1" applyFont="1">
      <alignment horizontal="center" vertical="bottom"/>
    </xf>
    <xf borderId="1" fillId="0" fontId="15" numFmtId="166" xfId="0" applyAlignment="1" applyBorder="1" applyFont="1" applyNumberFormat="1">
      <alignment horizontal="center" vertical="bottom"/>
    </xf>
    <xf borderId="1" fillId="0" fontId="15" numFmtId="1" xfId="0" applyAlignment="1" applyBorder="1" applyFont="1" applyNumberFormat="1">
      <alignment horizontal="center" vertical="bottom"/>
    </xf>
    <xf borderId="1" fillId="4" fontId="15" numFmtId="166" xfId="0" applyAlignment="1" applyBorder="1" applyFont="1" applyNumberFormat="1">
      <alignment horizontal="center" shrinkToFit="0" vertical="bottom" wrapText="1"/>
    </xf>
    <xf borderId="1" fillId="0" fontId="0" numFmtId="0" xfId="0" applyAlignment="1" applyBorder="1" applyFont="1">
      <alignment horizontal="left" readingOrder="0" shrinkToFit="0" wrapText="1"/>
    </xf>
    <xf borderId="1" fillId="0" fontId="15" numFmtId="0" xfId="0" applyAlignment="1" applyBorder="1" applyFont="1">
      <alignment horizontal="center" shrinkToFit="0" vertical="bottom" wrapText="1"/>
    </xf>
    <xf borderId="1" fillId="4" fontId="0" numFmtId="0" xfId="0" applyAlignment="1" applyBorder="1" applyFont="1">
      <alignment horizontal="center"/>
    </xf>
    <xf borderId="1" fillId="4" fontId="0" numFmtId="164" xfId="0" applyAlignment="1" applyBorder="1" applyFont="1" applyNumberFormat="1">
      <alignment horizontal="center" readingOrder="0" vertical="bottom"/>
    </xf>
    <xf borderId="1" fillId="4" fontId="0" numFmtId="1" xfId="0" applyAlignment="1" applyBorder="1" applyFont="1" applyNumberFormat="1">
      <alignment horizontal="center" readingOrder="0"/>
    </xf>
    <xf borderId="1" fillId="4" fontId="0" numFmtId="164" xfId="0" applyAlignment="1" applyBorder="1" applyFont="1" applyNumberFormat="1">
      <alignment horizontal="center" vertical="bottom"/>
    </xf>
    <xf borderId="1" fillId="4" fontId="6" numFmtId="0" xfId="0" applyAlignment="1" applyBorder="1" applyFont="1">
      <alignment horizontal="left" shrinkToFit="0" vertical="bottom" wrapText="1"/>
    </xf>
    <xf borderId="0" fillId="4" fontId="81" numFmtId="0" xfId="0" applyAlignment="1" applyFont="1">
      <alignment horizontal="center"/>
    </xf>
    <xf borderId="1" fillId="0" fontId="0" numFmtId="49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horizontal="left" readingOrder="0" shrinkToFit="0" vertical="bottom" wrapText="1"/>
    </xf>
    <xf borderId="1" fillId="0" fontId="32" numFmtId="0" xfId="0" applyAlignment="1" applyBorder="1" applyFont="1">
      <alignment horizontal="center" vertical="bottom"/>
    </xf>
    <xf borderId="1" fillId="0" fontId="15" numFmtId="166" xfId="0" applyAlignment="1" applyBorder="1" applyFont="1" applyNumberFormat="1">
      <alignment horizontal="center" shrinkToFit="0" vertical="bottom" wrapText="1"/>
    </xf>
    <xf borderId="1" fillId="0" fontId="118" numFmtId="0" xfId="0" applyAlignment="1" applyBorder="1" applyFont="1">
      <alignment horizontal="center" readingOrder="0"/>
    </xf>
    <xf borderId="1" fillId="4" fontId="119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center" readingOrder="0" shrinkToFit="0" wrapText="1"/>
    </xf>
    <xf borderId="1" fillId="4" fontId="15" numFmtId="0" xfId="0" applyAlignment="1" applyBorder="1" applyFont="1">
      <alignment horizontal="center" vertical="bottom"/>
    </xf>
    <xf borderId="1" fillId="4" fontId="15" numFmtId="166" xfId="0" applyAlignment="1" applyBorder="1" applyFont="1" applyNumberFormat="1">
      <alignment horizontal="center" vertical="bottom"/>
    </xf>
    <xf borderId="1" fillId="4" fontId="15" numFmtId="164" xfId="0" applyAlignment="1" applyBorder="1" applyFont="1" applyNumberFormat="1">
      <alignment horizontal="center" vertical="bottom"/>
    </xf>
    <xf borderId="1" fillId="4" fontId="15" numFmtId="1" xfId="0" applyAlignment="1" applyBorder="1" applyFont="1" applyNumberFormat="1">
      <alignment horizontal="center" vertical="bottom"/>
    </xf>
    <xf borderId="1" fillId="4" fontId="15" numFmtId="0" xfId="0" applyAlignment="1" applyBorder="1" applyFont="1">
      <alignment horizontal="center" readingOrder="0" shrinkToFit="0" vertical="bottom" wrapText="1"/>
    </xf>
    <xf borderId="1" fillId="4" fontId="0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horizontal="center" shrinkToFit="0" vertical="bottom" wrapText="1"/>
    </xf>
    <xf borderId="1" fillId="0" fontId="120" numFmtId="0" xfId="0" applyAlignment="1" applyBorder="1" applyFont="1">
      <alignment horizontal="center" vertical="bottom"/>
    </xf>
    <xf borderId="1" fillId="0" fontId="101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left" shrinkToFit="0" vertical="bottom" wrapText="1"/>
    </xf>
    <xf borderId="1" fillId="0" fontId="121" numFmtId="0" xfId="0" applyAlignment="1" applyBorder="1" applyFont="1">
      <alignment horizontal="center" shrinkToFit="0" vertical="bottom" wrapText="0"/>
    </xf>
    <xf borderId="1" fillId="0" fontId="0" numFmtId="166" xfId="0" applyAlignment="1" applyBorder="1" applyFont="1" applyNumberFormat="1">
      <alignment horizontal="center" vertical="center"/>
    </xf>
    <xf borderId="1" fillId="0" fontId="0" numFmtId="0" xfId="0" applyAlignment="1" applyBorder="1" applyFont="1">
      <alignment horizontal="center" vertical="center"/>
    </xf>
    <xf borderId="1" fillId="0" fontId="0" numFmtId="164" xfId="0" applyAlignment="1" applyBorder="1" applyFont="1" applyNumberFormat="1">
      <alignment horizontal="center" readingOrder="0" vertical="center"/>
    </xf>
    <xf borderId="1" fillId="0" fontId="0" numFmtId="1" xfId="0" applyAlignment="1" applyBorder="1" applyFont="1" applyNumberFormat="1">
      <alignment horizontal="center" readingOrder="0" vertical="center"/>
    </xf>
    <xf borderId="1" fillId="4" fontId="0" numFmtId="164" xfId="0" applyAlignment="1" applyBorder="1" applyFont="1" applyNumberFormat="1">
      <alignment horizontal="center" vertical="center"/>
    </xf>
    <xf borderId="1" fillId="4" fontId="0" numFmtId="0" xfId="0" applyAlignment="1" applyBorder="1" applyFont="1">
      <alignment horizontal="center" readingOrder="0" vertical="center"/>
    </xf>
    <xf borderId="1" fillId="0" fontId="66" numFmtId="0" xfId="0" applyAlignment="1" applyBorder="1" applyFont="1">
      <alignment horizontal="left" readingOrder="0" shrinkToFit="0" vertical="center" wrapText="1"/>
    </xf>
    <xf borderId="0" fillId="0" fontId="0" numFmtId="0" xfId="0" applyAlignment="1" applyFont="1">
      <alignment horizontal="center" vertical="center"/>
    </xf>
    <xf borderId="1" fillId="15" fontId="122" numFmtId="0" xfId="0" applyAlignment="1" applyBorder="1" applyFont="1">
      <alignment horizontal="center" readingOrder="0"/>
    </xf>
    <xf borderId="1" fillId="4" fontId="10" numFmtId="0" xfId="0" applyAlignment="1" applyBorder="1" applyFont="1">
      <alignment horizontal="left" shrinkToFit="0" vertical="bottom" wrapText="1"/>
    </xf>
    <xf borderId="1" fillId="15" fontId="0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left" shrinkToFit="0" wrapText="1"/>
    </xf>
    <xf borderId="1" fillId="0" fontId="0" numFmtId="0" xfId="0" applyAlignment="1" applyBorder="1" applyFont="1">
      <alignment horizontal="left" shrinkToFit="0" vertical="bottom" wrapText="1"/>
    </xf>
    <xf borderId="1" fillId="4" fontId="0" numFmtId="166" xfId="0" applyAlignment="1" applyBorder="1" applyFont="1" applyNumberFormat="1">
      <alignment horizontal="center" readingOrder="0" vertical="bottom"/>
    </xf>
    <xf borderId="1" fillId="4" fontId="0" numFmtId="166" xfId="0" applyAlignment="1" applyBorder="1" applyFont="1" applyNumberFormat="1">
      <alignment horizontal="center" vertical="bottom"/>
    </xf>
    <xf borderId="1" fillId="4" fontId="0" numFmtId="1" xfId="0" applyAlignment="1" applyBorder="1" applyFont="1" applyNumberFormat="1">
      <alignment horizontal="center" readingOrder="0" vertical="bottom"/>
    </xf>
    <xf borderId="1" fillId="4" fontId="77" numFmtId="0" xfId="0" applyAlignment="1" applyBorder="1" applyFont="1">
      <alignment horizontal="center" readingOrder="0"/>
    </xf>
    <xf borderId="1" fillId="4" fontId="15" numFmtId="0" xfId="0" applyAlignment="1" applyBorder="1" applyFont="1">
      <alignment horizontal="left" shrinkToFit="0" vertical="bottom" wrapText="1"/>
    </xf>
    <xf borderId="1" fillId="0" fontId="123" numFmtId="0" xfId="0" applyAlignment="1" applyBorder="1" applyFont="1">
      <alignment horizontal="center" readingOrder="0" vertical="bottom"/>
    </xf>
    <xf borderId="1" fillId="4" fontId="15" numFmtId="0" xfId="0" applyAlignment="1" applyBorder="1" applyFont="1">
      <alignment horizontal="left" readingOrder="0" shrinkToFit="0" vertical="bottom" wrapText="1"/>
    </xf>
    <xf borderId="1" fillId="4" fontId="124" numFmtId="0" xfId="0" applyAlignment="1" applyBorder="1" applyFont="1">
      <alignment horizontal="center" readingOrder="0"/>
    </xf>
    <xf borderId="1" fillId="0" fontId="125" numFmtId="0" xfId="0" applyAlignment="1" applyBorder="1" applyFont="1">
      <alignment horizontal="center" readingOrder="0" vertical="bottom"/>
    </xf>
    <xf borderId="1" fillId="0" fontId="10" numFmtId="166" xfId="0" applyAlignment="1" applyBorder="1" applyFont="1" applyNumberFormat="1">
      <alignment horizontal="center" readingOrder="0" vertical="bottom"/>
    </xf>
    <xf borderId="1" fillId="0" fontId="10" numFmtId="166" xfId="0" applyAlignment="1" applyBorder="1" applyFont="1" applyNumberFormat="1">
      <alignment horizontal="center" vertical="bottom"/>
    </xf>
    <xf borderId="1" fillId="0" fontId="10" numFmtId="1" xfId="0" applyAlignment="1" applyBorder="1" applyFont="1" applyNumberFormat="1">
      <alignment horizontal="center" readingOrder="0" vertical="bottom"/>
    </xf>
    <xf borderId="1" fillId="0" fontId="126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vertical="bottom"/>
    </xf>
    <xf borderId="1" fillId="0" fontId="127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left" readingOrder="0" shrinkToFit="0" vertical="bottom" wrapText="1"/>
    </xf>
    <xf borderId="1" fillId="9" fontId="10" numFmtId="0" xfId="0" applyAlignment="1" applyBorder="1" applyFont="1">
      <alignment horizontal="center" readingOrder="0"/>
    </xf>
    <xf borderId="1" fillId="9" fontId="15" numFmtId="0" xfId="0" applyAlignment="1" applyBorder="1" applyFont="1">
      <alignment horizontal="center" readingOrder="0"/>
    </xf>
    <xf borderId="1" fillId="9" fontId="6" numFmtId="0" xfId="0" applyAlignment="1" applyBorder="1" applyFont="1">
      <alignment horizontal="center" vertical="bottom"/>
    </xf>
    <xf borderId="1" fillId="9" fontId="10" numFmtId="166" xfId="0" applyAlignment="1" applyBorder="1" applyFont="1" applyNumberFormat="1">
      <alignment horizontal="center" readingOrder="0"/>
    </xf>
    <xf borderId="1" fillId="9" fontId="10" numFmtId="164" xfId="0" applyAlignment="1" applyBorder="1" applyFont="1" applyNumberFormat="1">
      <alignment horizontal="center" readingOrder="0"/>
    </xf>
    <xf borderId="1" fillId="9" fontId="10" numFmtId="1" xfId="0" applyAlignment="1" applyBorder="1" applyFont="1" applyNumberFormat="1">
      <alignment horizontal="center" readingOrder="0"/>
    </xf>
    <xf borderId="1" fillId="9" fontId="15" numFmtId="0" xfId="0" applyAlignment="1" applyBorder="1" applyFont="1">
      <alignment horizontal="center" readingOrder="0" vertical="bottom"/>
    </xf>
    <xf borderId="1" fillId="0" fontId="128" numFmtId="0" xfId="0" applyAlignment="1" applyBorder="1" applyFont="1">
      <alignment readingOrder="0" shrinkToFit="0" wrapText="1"/>
    </xf>
    <xf borderId="0" fillId="9" fontId="10" numFmtId="0" xfId="0" applyAlignment="1" applyFont="1">
      <alignment horizontal="center"/>
    </xf>
    <xf borderId="1" fillId="4" fontId="129" numFmtId="0" xfId="0" applyAlignment="1" applyBorder="1" applyFont="1">
      <alignment horizontal="center" readingOrder="0"/>
    </xf>
    <xf borderId="1" fillId="4" fontId="130" numFmtId="0" xfId="0" applyAlignment="1" applyBorder="1" applyFont="1">
      <alignment horizontal="center" readingOrder="0"/>
    </xf>
    <xf borderId="1" fillId="4" fontId="129" numFmtId="166" xfId="0" applyAlignment="1" applyBorder="1" applyFont="1" applyNumberFormat="1">
      <alignment horizontal="center" readingOrder="0"/>
    </xf>
    <xf borderId="1" fillId="4" fontId="129" numFmtId="164" xfId="0" applyAlignment="1" applyBorder="1" applyFont="1" applyNumberFormat="1">
      <alignment horizontal="center" readingOrder="0"/>
    </xf>
    <xf borderId="1" fillId="4" fontId="129" numFmtId="1" xfId="0" applyAlignment="1" applyBorder="1" applyFont="1" applyNumberFormat="1">
      <alignment horizontal="center" readingOrder="0"/>
    </xf>
    <xf borderId="1" fillId="4" fontId="115" numFmtId="0" xfId="0" applyAlignment="1" applyBorder="1" applyFont="1">
      <alignment horizontal="center" readingOrder="0" vertical="bottom"/>
    </xf>
    <xf borderId="1" fillId="4" fontId="129" numFmtId="0" xfId="0" applyAlignment="1" applyBorder="1" applyFont="1">
      <alignment horizontal="center"/>
    </xf>
    <xf borderId="1" fillId="4" fontId="129" numFmtId="0" xfId="0" applyAlignment="1" applyBorder="1" applyFont="1">
      <alignment horizontal="left" shrinkToFit="0" wrapText="1"/>
    </xf>
    <xf borderId="0" fillId="4" fontId="129" numFmtId="0" xfId="0" applyAlignment="1" applyFont="1">
      <alignment horizontal="center"/>
    </xf>
    <xf borderId="1" fillId="0" fontId="131" numFmtId="0" xfId="0" applyAlignment="1" applyBorder="1" applyFont="1">
      <alignment horizontal="center" vertical="bottom"/>
    </xf>
    <xf borderId="1" fillId="4" fontId="10" numFmtId="1" xfId="0" applyAlignment="1" applyBorder="1" applyFont="1" applyNumberFormat="1">
      <alignment horizontal="center" readingOrder="0"/>
    </xf>
    <xf borderId="1" fillId="4" fontId="132" numFmtId="0" xfId="0" applyAlignment="1" applyBorder="1" applyFont="1">
      <alignment horizontal="center" readingOrder="0"/>
    </xf>
    <xf borderId="1" fillId="4" fontId="133" numFmtId="0" xfId="0" applyAlignment="1" applyBorder="1" applyFont="1">
      <alignment horizontal="center" readingOrder="0"/>
    </xf>
    <xf borderId="1" fillId="4" fontId="134" numFmtId="0" xfId="0" applyAlignment="1" applyBorder="1" applyFont="1">
      <alignment horizontal="center" readingOrder="0"/>
    </xf>
    <xf borderId="0" fillId="4" fontId="10" numFmtId="166" xfId="0" applyAlignment="1" applyFont="1" applyNumberFormat="1">
      <alignment horizontal="center" readingOrder="0"/>
    </xf>
    <xf borderId="0" fillId="4" fontId="10" numFmtId="164" xfId="0" applyAlignment="1" applyFont="1" applyNumberFormat="1">
      <alignment horizontal="center" readingOrder="0"/>
    </xf>
    <xf borderId="0" fillId="4" fontId="10" numFmtId="1" xfId="0" applyAlignment="1" applyFont="1" applyNumberFormat="1">
      <alignment horizontal="center" readingOrder="0"/>
    </xf>
    <xf borderId="0" fillId="4" fontId="10" numFmtId="0" xfId="0" applyAlignment="1" applyFont="1">
      <alignment horizontal="center" readingOrder="0"/>
    </xf>
    <xf borderId="1" fillId="0" fontId="15" numFmtId="166" xfId="0" applyAlignment="1" applyBorder="1" applyFont="1" applyNumberFormat="1">
      <alignment horizontal="center" readingOrder="0" vertical="bottom"/>
    </xf>
    <xf borderId="1" fillId="0" fontId="15" numFmtId="1" xfId="0" applyAlignment="1" applyBorder="1" applyFont="1" applyNumberFormat="1">
      <alignment horizontal="center" readingOrder="0" vertical="bottom"/>
    </xf>
    <xf borderId="1" fillId="4" fontId="135" numFmtId="0" xfId="0" applyAlignment="1" applyBorder="1" applyFont="1">
      <alignment horizontal="center" readingOrder="0"/>
    </xf>
    <xf borderId="1" fillId="4" fontId="0" numFmtId="0" xfId="0" applyAlignment="1" applyBorder="1" applyFont="1">
      <alignment horizontal="left" readingOrder="0" shrinkToFit="0" wrapText="1"/>
    </xf>
    <xf borderId="1" fillId="0" fontId="136" numFmtId="0" xfId="0" applyAlignment="1" applyBorder="1" applyFont="1">
      <alignment horizontal="center" readingOrder="0" vertical="bottom"/>
    </xf>
    <xf borderId="1" fillId="4" fontId="137" numFmtId="0" xfId="0" applyAlignment="1" applyBorder="1" applyFont="1">
      <alignment horizontal="center" readingOrder="0"/>
    </xf>
    <xf borderId="1" fillId="4" fontId="138" numFmtId="0" xfId="0" applyAlignment="1" applyBorder="1" applyFont="1">
      <alignment horizontal="center" readingOrder="0"/>
    </xf>
    <xf borderId="1" fillId="0" fontId="139" numFmtId="0" xfId="0" applyAlignment="1" applyBorder="1" applyFont="1">
      <alignment horizontal="center" readingOrder="0"/>
    </xf>
    <xf borderId="1" fillId="0" fontId="140" numFmtId="0" xfId="0" applyAlignment="1" applyBorder="1" applyFont="1">
      <alignment horizontal="center" readingOrder="0"/>
    </xf>
    <xf borderId="1" fillId="4" fontId="10" numFmtId="0" xfId="0" applyAlignment="1" applyBorder="1" applyFont="1">
      <alignment horizontal="center"/>
    </xf>
    <xf borderId="1" fillId="4" fontId="141" numFmtId="0" xfId="0" applyAlignment="1" applyBorder="1" applyFont="1">
      <alignment horizontal="center" readingOrder="0"/>
    </xf>
    <xf borderId="1" fillId="4" fontId="0" numFmtId="0" xfId="0" applyAlignment="1" applyBorder="1" applyFont="1">
      <alignment horizontal="center" vertical="bottom"/>
    </xf>
    <xf borderId="1" fillId="4" fontId="10" numFmtId="0" xfId="0" applyAlignment="1" applyBorder="1" applyFont="1">
      <alignment horizontal="center" readingOrder="0" shrinkToFit="0" wrapText="1"/>
    </xf>
    <xf borderId="1" fillId="4" fontId="77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shrinkToFit="0" vertical="bottom" wrapText="1"/>
    </xf>
    <xf borderId="1" fillId="0" fontId="10" numFmtId="0" xfId="0" applyAlignment="1" applyBorder="1" applyFont="1">
      <alignment horizontal="center" readingOrder="0" shrinkToFit="0" wrapText="1"/>
    </xf>
    <xf borderId="1" fillId="0" fontId="142" numFmtId="0" xfId="0" applyAlignment="1" applyBorder="1" applyFont="1">
      <alignment horizontal="center" readingOrder="0" vertical="bottom"/>
    </xf>
    <xf borderId="1" fillId="0" fontId="143" numFmtId="0" xfId="0" applyAlignment="1" applyBorder="1" applyFont="1">
      <alignment horizontal="center" readingOrder="0"/>
    </xf>
    <xf borderId="1" fillId="16" fontId="6" numFmtId="0" xfId="0" applyAlignment="1" applyBorder="1" applyFill="1" applyFont="1">
      <alignment horizontal="center" vertical="bottom"/>
    </xf>
    <xf borderId="1" fillId="0" fontId="144" numFmtId="0" xfId="0" applyAlignment="1" applyBorder="1" applyFont="1">
      <alignment horizontal="center" readingOrder="0"/>
    </xf>
    <xf borderId="0" fillId="4" fontId="2" numFmtId="0" xfId="0" applyAlignment="1" applyFont="1">
      <alignment horizontal="center" readingOrder="0"/>
    </xf>
    <xf borderId="1" fillId="4" fontId="129" numFmtId="0" xfId="0" applyAlignment="1" applyBorder="1" applyFont="1">
      <alignment horizontal="left" readingOrder="0" shrinkToFit="0" wrapText="1"/>
    </xf>
    <xf borderId="1" fillId="7" fontId="10" numFmtId="0" xfId="0" applyAlignment="1" applyBorder="1" applyFont="1">
      <alignment horizontal="center" readingOrder="0"/>
    </xf>
    <xf borderId="1" fillId="7" fontId="15" numFmtId="0" xfId="0" applyAlignment="1" applyBorder="1" applyFont="1">
      <alignment horizontal="center" readingOrder="0"/>
    </xf>
    <xf borderId="1" fillId="7" fontId="15" numFmtId="0" xfId="0" applyAlignment="1" applyBorder="1" applyFont="1">
      <alignment horizontal="center" readingOrder="0" vertical="bottom"/>
    </xf>
    <xf borderId="1" fillId="7" fontId="15" numFmtId="166" xfId="0" applyAlignment="1" applyBorder="1" applyFont="1" applyNumberFormat="1">
      <alignment horizontal="center" readingOrder="0" vertical="bottom"/>
    </xf>
    <xf borderId="1" fillId="7" fontId="15" numFmtId="166" xfId="0" applyAlignment="1" applyBorder="1" applyFont="1" applyNumberFormat="1">
      <alignment horizontal="center" vertical="bottom"/>
    </xf>
    <xf borderId="1" fillId="7" fontId="15" numFmtId="164" xfId="0" applyAlignment="1" applyBorder="1" applyFont="1" applyNumberFormat="1">
      <alignment horizontal="center" readingOrder="0" vertical="bottom"/>
    </xf>
    <xf borderId="1" fillId="7" fontId="15" numFmtId="1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readingOrder="0"/>
    </xf>
    <xf borderId="0" fillId="0" fontId="145" numFmtId="0" xfId="0" applyAlignment="1" applyFont="1">
      <alignment readingOrder="0"/>
    </xf>
    <xf borderId="1" fillId="4" fontId="6" numFmtId="0" xfId="0" applyAlignment="1" applyBorder="1" applyFont="1">
      <alignment horizontal="left" readingOrder="0" shrinkToFit="0" vertical="bottom" wrapText="1"/>
    </xf>
    <xf borderId="1" fillId="4" fontId="87" numFmtId="0" xfId="0" applyAlignment="1" applyBorder="1" applyFont="1">
      <alignment horizontal="left" readingOrder="0" shrinkToFit="0" vertical="bottom" wrapText="1"/>
    </xf>
    <xf borderId="1" fillId="9" fontId="87" numFmtId="0" xfId="0" applyAlignment="1" applyBorder="1" applyFont="1">
      <alignment horizontal="left" readingOrder="0" shrinkToFit="0" vertical="bottom" wrapText="1"/>
    </xf>
    <xf borderId="1" fillId="4" fontId="15" numFmtId="0" xfId="0" applyAlignment="1" applyBorder="1" applyFont="1">
      <alignment horizontal="center" readingOrder="0"/>
    </xf>
    <xf borderId="1" fillId="0" fontId="146" numFmtId="0" xfId="0" applyAlignment="1" applyBorder="1" applyFont="1">
      <alignment horizontal="center" readingOrder="0"/>
    </xf>
    <xf borderId="1" fillId="0" fontId="147" numFmtId="0" xfId="0" applyAlignment="1" applyBorder="1" applyFont="1">
      <alignment horizontal="center" readingOrder="0"/>
    </xf>
    <xf borderId="1" fillId="0" fontId="146" numFmtId="166" xfId="0" applyAlignment="1" applyBorder="1" applyFont="1" applyNumberFormat="1">
      <alignment horizontal="center" readingOrder="0"/>
    </xf>
    <xf borderId="1" fillId="0" fontId="146" numFmtId="0" xfId="0" applyAlignment="1" applyBorder="1" applyFont="1">
      <alignment horizontal="center"/>
    </xf>
    <xf borderId="1" fillId="0" fontId="148" numFmtId="164" xfId="0" applyAlignment="1" applyBorder="1" applyFont="1" applyNumberFormat="1">
      <alignment horizontal="center" readingOrder="0" vertical="bottom"/>
    </xf>
    <xf borderId="1" fillId="0" fontId="148" numFmtId="1" xfId="0" applyAlignment="1" applyBorder="1" applyFont="1" applyNumberFormat="1">
      <alignment horizontal="center" vertical="bottom"/>
    </xf>
    <xf borderId="1" fillId="0" fontId="148" numFmtId="164" xfId="0" applyAlignment="1" applyBorder="1" applyFont="1" applyNumberFormat="1">
      <alignment horizontal="center" vertical="bottom"/>
    </xf>
    <xf borderId="1" fillId="0" fontId="147" numFmtId="0" xfId="0" applyAlignment="1" applyBorder="1" applyFont="1">
      <alignment horizontal="center" readingOrder="0" vertical="bottom"/>
    </xf>
    <xf borderId="1" fillId="0" fontId="147" numFmtId="0" xfId="0" applyAlignment="1" applyBorder="1" applyFont="1">
      <alignment horizontal="center" vertical="bottom"/>
    </xf>
    <xf borderId="1" fillId="0" fontId="148" numFmtId="0" xfId="0" applyAlignment="1" applyBorder="1" applyFont="1">
      <alignment horizontal="center" vertical="bottom"/>
    </xf>
    <xf borderId="1" fillId="0" fontId="146" numFmtId="0" xfId="0" applyAlignment="1" applyBorder="1" applyFont="1">
      <alignment horizontal="left" readingOrder="0" shrinkToFit="0" wrapText="1"/>
    </xf>
    <xf borderId="0" fillId="0" fontId="146" numFmtId="0" xfId="0" applyAlignment="1" applyFont="1">
      <alignment horizontal="center"/>
    </xf>
    <xf borderId="1" fillId="4" fontId="10" numFmtId="10" xfId="0" applyAlignment="1" applyBorder="1" applyFont="1" applyNumberFormat="1">
      <alignment horizontal="center" readingOrder="0"/>
    </xf>
    <xf borderId="1" fillId="0" fontId="32" numFmtId="164" xfId="0" applyAlignment="1" applyBorder="1" applyFont="1" applyNumberFormat="1">
      <alignment horizontal="center" readingOrder="0" vertical="bottom"/>
    </xf>
    <xf borderId="1" fillId="0" fontId="128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left" readingOrder="0"/>
    </xf>
    <xf borderId="1" fillId="0" fontId="149" numFmtId="0" xfId="0" applyAlignment="1" applyBorder="1" applyFont="1">
      <alignment horizontal="center" readingOrder="0"/>
    </xf>
    <xf borderId="0" fillId="0" fontId="10" numFmtId="164" xfId="0" applyAlignment="1" applyFont="1" applyNumberFormat="1">
      <alignment horizontal="center"/>
    </xf>
    <xf borderId="0" fillId="0" fontId="10" numFmtId="1" xfId="0" applyAlignment="1" applyFont="1" applyNumberFormat="1">
      <alignment horizontal="center"/>
    </xf>
    <xf borderId="0" fillId="0" fontId="10" numFmtId="0" xfId="0" applyAlignment="1" applyFont="1">
      <alignment horizontal="left" shrinkToFit="0" wrapText="1"/>
    </xf>
    <xf borderId="0" fillId="4" fontId="6" numFmtId="0" xfId="0" applyAlignment="1" applyFont="1">
      <alignment vertical="center"/>
    </xf>
    <xf borderId="1" fillId="0" fontId="24" numFmtId="0" xfId="0" applyAlignment="1" applyBorder="1" applyFont="1">
      <alignment horizontal="center" vertical="center"/>
    </xf>
    <xf borderId="1" fillId="0" fontId="24" numFmtId="166" xfId="0" applyAlignment="1" applyBorder="1" applyFont="1" applyNumberFormat="1">
      <alignment horizontal="center" vertical="center"/>
    </xf>
    <xf borderId="1" fillId="0" fontId="24" numFmtId="0" xfId="0" applyAlignment="1" applyBorder="1" applyFont="1">
      <alignment horizontal="center" vertical="center"/>
    </xf>
    <xf borderId="1" fillId="0" fontId="24" numFmtId="164" xfId="0" applyAlignment="1" applyBorder="1" applyFont="1" applyNumberFormat="1">
      <alignment horizontal="center" vertical="center"/>
    </xf>
    <xf borderId="1" fillId="0" fontId="24" numFmtId="1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left" shrinkToFit="0" vertical="center" wrapText="1"/>
    </xf>
    <xf borderId="0" fillId="0" fontId="24" numFmtId="0" xfId="0" applyAlignment="1" applyFont="1">
      <alignment horizontal="center" vertical="center"/>
    </xf>
    <xf borderId="1" fillId="0" fontId="122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left" shrinkToFit="0" vertical="bottom" wrapText="1"/>
    </xf>
    <xf borderId="1" fillId="0" fontId="77" numFmtId="0" xfId="0" applyAlignment="1" applyBorder="1" applyFont="1">
      <alignment horizontal="center" readingOrder="0"/>
    </xf>
    <xf borderId="1" fillId="0" fontId="34" numFmtId="0" xfId="0" applyAlignment="1" applyBorder="1" applyFont="1">
      <alignment horizontal="center" readingOrder="0"/>
    </xf>
    <xf borderId="1" fillId="0" fontId="15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left" readingOrder="0" shrinkToFit="0" vertical="bottom" wrapText="1"/>
    </xf>
    <xf borderId="1" fillId="0" fontId="6" numFmtId="0" xfId="0" applyAlignment="1" applyBorder="1" applyFont="1">
      <alignment horizontal="left" readingOrder="0" shrinkToFit="0" vertical="bottom" wrapText="1"/>
    </xf>
    <xf borderId="1" fillId="0" fontId="24" numFmtId="0" xfId="0" applyAlignment="1" applyBorder="1" applyFont="1">
      <alignment vertical="bottom"/>
    </xf>
    <xf borderId="1" fillId="0" fontId="24" numFmtId="0" xfId="0" applyAlignment="1" applyBorder="1" applyFont="1">
      <alignment vertical="bottom"/>
    </xf>
    <xf borderId="0" fillId="0" fontId="24" numFmtId="0" xfId="0" applyAlignment="1" applyFont="1">
      <alignment vertical="bottom"/>
    </xf>
    <xf borderId="1" fillId="0" fontId="6" numFmtId="166" xfId="0" applyAlignment="1" applyBorder="1" applyFont="1" applyNumberFormat="1">
      <alignment readingOrder="0" vertical="bottom"/>
    </xf>
    <xf borderId="1" fillId="0" fontId="24" numFmtId="0" xfId="0" applyAlignment="1" applyBorder="1" applyFont="1">
      <alignment shrinkToFit="0" vertical="bottom" wrapText="1"/>
    </xf>
    <xf borderId="1" fillId="0" fontId="24" numFmtId="0" xfId="0" applyAlignment="1" applyBorder="1" applyFont="1">
      <alignment readingOrder="0" vertical="bottom"/>
    </xf>
    <xf borderId="1" fillId="0" fontId="29" numFmtId="0" xfId="0" applyAlignment="1" applyBorder="1" applyFont="1">
      <alignment horizontal="left" readingOrder="0" shrinkToFit="0" vertical="bottom" wrapText="1"/>
    </xf>
    <xf borderId="1" fillId="0" fontId="32" numFmtId="49" xfId="0" applyAlignment="1" applyBorder="1" applyFont="1" applyNumberFormat="1">
      <alignment horizontal="center" vertical="bottom"/>
    </xf>
    <xf borderId="1" fillId="0" fontId="66" numFmtId="0" xfId="0" applyAlignment="1" applyBorder="1" applyFont="1">
      <alignment horizontal="left" readingOrder="0" shrinkToFit="0" vertical="bottom" wrapText="1"/>
    </xf>
    <xf borderId="1" fillId="0" fontId="32" numFmtId="0" xfId="0" applyAlignment="1" applyBorder="1" applyFont="1">
      <alignment horizontal="center" readingOrder="0"/>
    </xf>
    <xf borderId="1" fillId="0" fontId="151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 shrinkToFit="0" vertical="bottom" wrapText="1"/>
    </xf>
    <xf borderId="1" fillId="0" fontId="32" numFmtId="0" xfId="0" applyAlignment="1" applyBorder="1" applyFont="1">
      <alignment horizontal="center" readingOrder="0" shrinkToFit="0" vertical="bottom" wrapText="1"/>
    </xf>
    <xf borderId="1" fillId="0" fontId="87" numFmtId="0" xfId="0" applyAlignment="1" applyBorder="1" applyFont="1">
      <alignment horizontal="left" readingOrder="0" shrinkToFit="0" vertical="bottom" wrapText="1"/>
    </xf>
    <xf borderId="1" fillId="0" fontId="0" numFmtId="0" xfId="0" applyAlignment="1" applyBorder="1" applyFont="1">
      <alignment horizontal="center" shrinkToFit="0" wrapText="1"/>
    </xf>
    <xf borderId="1" fillId="0" fontId="38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/>
    </xf>
    <xf borderId="1" fillId="0" fontId="33" numFmtId="0" xfId="0" applyAlignment="1" applyBorder="1" applyFont="1">
      <alignment horizontal="center" readingOrder="0"/>
    </xf>
    <xf borderId="1" fillId="0" fontId="152" numFmtId="0" xfId="0" applyAlignment="1" applyBorder="1" applyFont="1">
      <alignment horizontal="center" readingOrder="0"/>
    </xf>
    <xf borderId="1" fillId="0" fontId="33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0" fillId="0" fontId="32" numFmtId="0" xfId="0" applyAlignment="1" applyFont="1">
      <alignment horizontal="center" readingOrder="0"/>
    </xf>
    <xf borderId="0" fillId="0" fontId="153" numFmtId="0" xfId="0" applyAlignment="1" applyFont="1">
      <alignment horizontal="center" readingOrder="0"/>
    </xf>
    <xf borderId="1" fillId="0" fontId="32" numFmtId="49" xfId="0" applyAlignment="1" applyBorder="1" applyFont="1" applyNumberFormat="1">
      <alignment horizontal="center" readingOrder="0" vertical="bottom"/>
    </xf>
    <xf borderId="1" fillId="0" fontId="32" numFmtId="0" xfId="0" applyAlignment="1" applyBorder="1" applyFont="1">
      <alignment horizontal="center" shrinkToFit="0" vertical="bottom" wrapText="1"/>
    </xf>
    <xf borderId="0" fillId="0" fontId="38" numFmtId="0" xfId="0" applyAlignment="1" applyFont="1">
      <alignment horizontal="center" readingOrder="0"/>
    </xf>
    <xf borderId="1" fillId="0" fontId="154" numFmtId="0" xfId="0" applyAlignment="1" applyBorder="1" applyFont="1">
      <alignment horizontal="center" readingOrder="0"/>
    </xf>
    <xf borderId="0" fillId="0" fontId="155" numFmtId="0" xfId="0" applyAlignment="1" applyFont="1">
      <alignment horizontal="center" readingOrder="0"/>
    </xf>
    <xf borderId="1" fillId="0" fontId="156" numFmtId="0" xfId="0" applyAlignment="1" applyBorder="1" applyFont="1">
      <alignment horizontal="center" readingOrder="0"/>
    </xf>
    <xf borderId="0" fillId="0" fontId="132" numFmtId="0" xfId="0" applyAlignment="1" applyFont="1">
      <alignment horizontal="center" readingOrder="0"/>
    </xf>
    <xf borderId="0" fillId="0" fontId="157" numFmtId="0" xfId="0" applyAlignment="1" applyFont="1">
      <alignment horizontal="center" readingOrder="0"/>
    </xf>
    <xf borderId="6" fillId="0" fontId="10" numFmtId="0" xfId="0" applyAlignment="1" applyBorder="1" applyFont="1">
      <alignment horizontal="center" readingOrder="0"/>
    </xf>
    <xf borderId="6" fillId="0" fontId="15" numFmtId="0" xfId="0" applyAlignment="1" applyBorder="1" applyFont="1">
      <alignment horizontal="center" readingOrder="0"/>
    </xf>
    <xf borderId="6" fillId="0" fontId="0" numFmtId="166" xfId="0" applyAlignment="1" applyBorder="1" applyFont="1" applyNumberFormat="1">
      <alignment horizontal="center" readingOrder="0"/>
    </xf>
    <xf borderId="6" fillId="0" fontId="10" numFmtId="166" xfId="0" applyAlignment="1" applyBorder="1" applyFont="1" applyNumberFormat="1">
      <alignment horizontal="center" readingOrder="0"/>
    </xf>
    <xf borderId="6" fillId="0" fontId="0" numFmtId="164" xfId="0" applyAlignment="1" applyBorder="1" applyFont="1" applyNumberFormat="1">
      <alignment horizontal="center" readingOrder="0"/>
    </xf>
    <xf borderId="6" fillId="0" fontId="0" numFmtId="1" xfId="0" applyAlignment="1" applyBorder="1" applyFont="1" applyNumberFormat="1">
      <alignment horizontal="center" readingOrder="0"/>
    </xf>
    <xf borderId="6" fillId="0" fontId="15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vertical="bottom"/>
    </xf>
    <xf borderId="6" fillId="0" fontId="10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rilda@novaerafacilities.com.br" TargetMode="External"/><Relationship Id="rId2" Type="http://schemas.openxmlformats.org/officeDocument/2006/relationships/hyperlink" Target="mailto:daniele.santos@foursys.com.br" TargetMode="External"/><Relationship Id="rId3" Type="http://schemas.openxmlformats.org/officeDocument/2006/relationships/hyperlink" Target="mailto:fernanda.canha@casabossa.com.br" TargetMode="External"/><Relationship Id="rId4" Type="http://schemas.openxmlformats.org/officeDocument/2006/relationships/hyperlink" Target="mailto:fernanda.dantas@sidel.com" TargetMode="External"/><Relationship Id="rId5" Type="http://schemas.openxmlformats.org/officeDocument/2006/relationships/hyperlink" Target="mailto:jurandir@radarsaopaulo.com.br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felipewsilva.fs@gmail.com" TargetMode="External"/><Relationship Id="rId10" Type="http://schemas.openxmlformats.org/officeDocument/2006/relationships/hyperlink" Target="mailto:fernanda.canha@casabossa.com.br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mailto:cribeiro2000@gmail.com" TargetMode="External"/><Relationship Id="rId1" Type="http://schemas.openxmlformats.org/officeDocument/2006/relationships/hyperlink" Target="mailto:fgomespinturas005@gmail.com" TargetMode="External"/><Relationship Id="rId2" Type="http://schemas.openxmlformats.org/officeDocument/2006/relationships/hyperlink" Target="mailto:rmrepresentacoes.comercial2@gmail.com" TargetMode="External"/><Relationship Id="rId3" Type="http://schemas.openxmlformats.org/officeDocument/2006/relationships/hyperlink" Target="mailto:gabriel.oliveira@toten.org" TargetMode="External"/><Relationship Id="rId4" Type="http://schemas.openxmlformats.org/officeDocument/2006/relationships/hyperlink" Target="mailto:estudiolumedesign@gmail.com" TargetMode="External"/><Relationship Id="rId9" Type="http://schemas.openxmlformats.org/officeDocument/2006/relationships/hyperlink" Target="https://qualilog.zapplataforma.chat/tickets/ADMIN@VERALUIZA.COM.BR" TargetMode="External"/><Relationship Id="rId5" Type="http://schemas.openxmlformats.org/officeDocument/2006/relationships/hyperlink" Target="mailto:estudiolumedesign@gmail.com" TargetMode="External"/><Relationship Id="rId6" Type="http://schemas.openxmlformats.org/officeDocument/2006/relationships/hyperlink" Target="https://qualilog.zapplataforma.chat/tickets/Solar1000volts@gmail.com" TargetMode="External"/><Relationship Id="rId7" Type="http://schemas.openxmlformats.org/officeDocument/2006/relationships/hyperlink" Target="mailto:paulorenato.rvs@gmail.com" TargetMode="External"/><Relationship Id="rId8" Type="http://schemas.openxmlformats.org/officeDocument/2006/relationships/hyperlink" Target="https://qualilog.zapplataforma.chat/tickets/marisamagno29@gmail.com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pessoal@alcancejeans.com" TargetMode="External"/><Relationship Id="rId22" Type="http://schemas.openxmlformats.org/officeDocument/2006/relationships/hyperlink" Target="mailto:adriana.kovacs@midland-quimica.com.br" TargetMode="External"/><Relationship Id="rId21" Type="http://schemas.openxmlformats.org/officeDocument/2006/relationships/hyperlink" Target="mailto:mauricio@nsoperacoes.com" TargetMode="External"/><Relationship Id="rId24" Type="http://schemas.openxmlformats.org/officeDocument/2006/relationships/hyperlink" Target="https://qualilog.zapplataforma.chat/tickets/financeiro@malivorgroup.com.br" TargetMode="External"/><Relationship Id="rId23" Type="http://schemas.openxmlformats.org/officeDocument/2006/relationships/hyperlink" Target="mailto:in9ve.serralheria@hotmail.com" TargetMode="External"/><Relationship Id="rId1" Type="http://schemas.openxmlformats.org/officeDocument/2006/relationships/hyperlink" Target="https://qualilog.zapplataforma.chat/tickets/ADMIN@VERALUIZA.COM.BR" TargetMode="External"/><Relationship Id="rId2" Type="http://schemas.openxmlformats.org/officeDocument/2006/relationships/hyperlink" Target="https://qualilog.zapplataforma.chat/tickets/osvaldo.barboza@mkn.com.br" TargetMode="External"/><Relationship Id="rId3" Type="http://schemas.openxmlformats.org/officeDocument/2006/relationships/hyperlink" Target="https://qualilog.zapplataforma.chat/tickets/cissa.mkn@hotmail.com" TargetMode="External"/><Relationship Id="rId4" Type="http://schemas.openxmlformats.org/officeDocument/2006/relationships/hyperlink" Target="mailto:ipaiva@armstronginternational.com" TargetMode="External"/><Relationship Id="rId9" Type="http://schemas.openxmlformats.org/officeDocument/2006/relationships/hyperlink" Target="mailto:adele@hagargestao.com.br" TargetMode="External"/><Relationship Id="rId26" Type="http://schemas.openxmlformats.org/officeDocument/2006/relationships/hyperlink" Target="http://rr7engenharia.com.br" TargetMode="External"/><Relationship Id="rId25" Type="http://schemas.openxmlformats.org/officeDocument/2006/relationships/hyperlink" Target="https://qualilog.zapplataforma.chat/tickets/rose_sp@solumaster.com.br" TargetMode="External"/><Relationship Id="rId28" Type="http://schemas.openxmlformats.org/officeDocument/2006/relationships/hyperlink" Target="mailto:rfpafacility@bol.com.br" TargetMode="External"/><Relationship Id="rId27" Type="http://schemas.openxmlformats.org/officeDocument/2006/relationships/hyperlink" Target="https://qualilog.zapplataforma.chat/tickets/vinicius.cardoso@biposervice.com" TargetMode="External"/><Relationship Id="rId5" Type="http://schemas.openxmlformats.org/officeDocument/2006/relationships/hyperlink" Target="mailto:fernanda.canha@casabossa.com.br" TargetMode="External"/><Relationship Id="rId6" Type="http://schemas.openxmlformats.org/officeDocument/2006/relationships/hyperlink" Target="mailto:felipewsilva.fs@gmail.com" TargetMode="External"/><Relationship Id="rId29" Type="http://schemas.openxmlformats.org/officeDocument/2006/relationships/hyperlink" Target="mailto:ceiindirvilanovacachoeirinha@sme.prefeitura.sp.gov.br" TargetMode="External"/><Relationship Id="rId7" Type="http://schemas.openxmlformats.org/officeDocument/2006/relationships/hyperlink" Target="mailto:cribeiro2000@gmail.com" TargetMode="External"/><Relationship Id="rId8" Type="http://schemas.openxmlformats.org/officeDocument/2006/relationships/hyperlink" Target="https://qualilog.zapplataforma.chat/tickets/administrativosp@mobracerta.com" TargetMode="External"/><Relationship Id="rId31" Type="http://schemas.openxmlformats.org/officeDocument/2006/relationships/hyperlink" Target="mailto:dani.lourenco@outlook.com" TargetMode="External"/><Relationship Id="rId30" Type="http://schemas.openxmlformats.org/officeDocument/2006/relationships/hyperlink" Target="https://qualilog.zapplataforma.chat/tickets/gestao@havannainterlagos.com.br" TargetMode="External"/><Relationship Id="rId11" Type="http://schemas.openxmlformats.org/officeDocument/2006/relationships/hyperlink" Target="mailto:adm5@vibratto.com.br" TargetMode="External"/><Relationship Id="rId33" Type="http://schemas.openxmlformats.org/officeDocument/2006/relationships/hyperlink" Target="mailto:secretariamisaelcardoso@gmail.com" TargetMode="External"/><Relationship Id="rId10" Type="http://schemas.openxmlformats.org/officeDocument/2006/relationships/hyperlink" Target="mailto:ceicasadomgastao@gmail.com" TargetMode="External"/><Relationship Id="rId32" Type="http://schemas.openxmlformats.org/officeDocument/2006/relationships/hyperlink" Target="mailto:ogame.empresa@gmail.com" TargetMode="External"/><Relationship Id="rId13" Type="http://schemas.openxmlformats.org/officeDocument/2006/relationships/hyperlink" Target="mailto:thaiz@laticiniosburitis.com.br" TargetMode="External"/><Relationship Id="rId35" Type="http://schemas.openxmlformats.org/officeDocument/2006/relationships/hyperlink" Target="mailto:tgc.fabricadedonuts@gmail.com" TargetMode="External"/><Relationship Id="rId12" Type="http://schemas.openxmlformats.org/officeDocument/2006/relationships/hyperlink" Target="mailto:rh@vitraltec.com.br" TargetMode="External"/><Relationship Id="rId34" Type="http://schemas.openxmlformats.org/officeDocument/2006/relationships/hyperlink" Target="mailto:fernanda.canha@casabossa.com.br" TargetMode="External"/><Relationship Id="rId15" Type="http://schemas.openxmlformats.org/officeDocument/2006/relationships/hyperlink" Target="https://qualilog.zapplataforma.chat/tickets/luis@exxotico.com" TargetMode="External"/><Relationship Id="rId14" Type="http://schemas.openxmlformats.org/officeDocument/2006/relationships/hyperlink" Target="mailto:contato@agenciaimpulsiona.com.br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mailto:pessoal.staffcontabil@outlook.com" TargetMode="External"/><Relationship Id="rId16" Type="http://schemas.openxmlformats.org/officeDocument/2006/relationships/hyperlink" Target="mailto:pessoal.staffcontabil@outlook.com" TargetMode="External"/><Relationship Id="rId19" Type="http://schemas.openxmlformats.org/officeDocument/2006/relationships/hyperlink" Target="https://qualilog.zapplataforma.chat/tickets/cckliniki@gmail.com" TargetMode="External"/><Relationship Id="rId18" Type="http://schemas.openxmlformats.org/officeDocument/2006/relationships/hyperlink" Target="https://qualilog.zapplataforma.chat/tickets/dp.ebenezershop@gmail.co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drmpark23@gmail.com" TargetMode="External"/><Relationship Id="rId42" Type="http://schemas.openxmlformats.org/officeDocument/2006/relationships/hyperlink" Target="mailto:rh@extrusorasferreti.com.br" TargetMode="External"/><Relationship Id="rId41" Type="http://schemas.openxmlformats.org/officeDocument/2006/relationships/hyperlink" Target="mailto:adm@hzcasting.com.br" TargetMode="External"/><Relationship Id="rId44" Type="http://schemas.openxmlformats.org/officeDocument/2006/relationships/hyperlink" Target="mailto:rebecasilva955@icloud.com" TargetMode="External"/><Relationship Id="rId43" Type="http://schemas.openxmlformats.org/officeDocument/2006/relationships/hyperlink" Target="https://qualilog.zapplataforma.chat/tickets/tatoamano@gmail.com" TargetMode="External"/><Relationship Id="rId46" Type="http://schemas.openxmlformats.org/officeDocument/2006/relationships/hyperlink" Target="mailto:compras@prandix.com.br" TargetMode="External"/><Relationship Id="rId45" Type="http://schemas.openxmlformats.org/officeDocument/2006/relationships/hyperlink" Target="mailto:ivanilda.rh@hotmail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cribeiro2000@gmail.com" TargetMode="External"/><Relationship Id="rId3" Type="http://schemas.openxmlformats.org/officeDocument/2006/relationships/hyperlink" Target="mailto:contato@agenciaimpulsiona.com.br" TargetMode="External"/><Relationship Id="rId4" Type="http://schemas.openxmlformats.org/officeDocument/2006/relationships/hyperlink" Target="mailto:lr@setepowerenergy.com" TargetMode="External"/><Relationship Id="rId9" Type="http://schemas.openxmlformats.org/officeDocument/2006/relationships/hyperlink" Target="mailto:issamo.yamasato@hotmail.com" TargetMode="External"/><Relationship Id="rId48" Type="http://schemas.openxmlformats.org/officeDocument/2006/relationships/hyperlink" Target="mailto:contato@scolors.com.br" TargetMode="External"/><Relationship Id="rId47" Type="http://schemas.openxmlformats.org/officeDocument/2006/relationships/hyperlink" Target="mailto:compras@prandix.com.br" TargetMode="External"/><Relationship Id="rId49" Type="http://schemas.openxmlformats.org/officeDocument/2006/relationships/hyperlink" Target="mailto:bianca@mywork.com.br" TargetMode="External"/><Relationship Id="rId5" Type="http://schemas.openxmlformats.org/officeDocument/2006/relationships/hyperlink" Target="mailto:lr@setepowerenergy.com" TargetMode="External"/><Relationship Id="rId6" Type="http://schemas.openxmlformats.org/officeDocument/2006/relationships/hyperlink" Target="http://rr7engenharia.com.br" TargetMode="External"/><Relationship Id="rId7" Type="http://schemas.openxmlformats.org/officeDocument/2006/relationships/hyperlink" Target="mailto:secretariamisaelcardoso@gmail.com" TargetMode="External"/><Relationship Id="rId8" Type="http://schemas.openxmlformats.org/officeDocument/2006/relationships/hyperlink" Target="https://qualilog.zapplataforma.chat/tickets/rose_sp@solumaster.com.br" TargetMode="External"/><Relationship Id="rId31" Type="http://schemas.openxmlformats.org/officeDocument/2006/relationships/hyperlink" Target="mailto:agda.quirino@doctorfeet.net" TargetMode="External"/><Relationship Id="rId30" Type="http://schemas.openxmlformats.org/officeDocument/2006/relationships/hyperlink" Target="mailto:dp@fmcontabil.com.br" TargetMode="External"/><Relationship Id="rId33" Type="http://schemas.openxmlformats.org/officeDocument/2006/relationships/hyperlink" Target="mailto:Dprh@ntl.com.br" TargetMode="External"/><Relationship Id="rId32" Type="http://schemas.openxmlformats.org/officeDocument/2006/relationships/hyperlink" Target="mailto:meire@hdntur.com.br" TargetMode="External"/><Relationship Id="rId35" Type="http://schemas.openxmlformats.org/officeDocument/2006/relationships/hyperlink" Target="mailto:contato@agprimeclean.com.br" TargetMode="External"/><Relationship Id="rId34" Type="http://schemas.openxmlformats.org/officeDocument/2006/relationships/hyperlink" Target="mailto:chiquinhospsac@gmail.com" TargetMode="External"/><Relationship Id="rId37" Type="http://schemas.openxmlformats.org/officeDocument/2006/relationships/hyperlink" Target="mailto:andreia@mfassociados.com.br" TargetMode="External"/><Relationship Id="rId36" Type="http://schemas.openxmlformats.org/officeDocument/2006/relationships/hyperlink" Target="mailto:emanuelle@galodamanha.org.br" TargetMode="External"/><Relationship Id="rId39" Type="http://schemas.openxmlformats.org/officeDocument/2006/relationships/hyperlink" Target="mailto:jaqueline.nolle@gmail.com" TargetMode="External"/><Relationship Id="rId38" Type="http://schemas.openxmlformats.org/officeDocument/2006/relationships/hyperlink" Target="mailto:ronald@parknow.net.br" TargetMode="External"/><Relationship Id="rId20" Type="http://schemas.openxmlformats.org/officeDocument/2006/relationships/hyperlink" Target="mailto:ricardotupi@hotmail.com" TargetMode="External"/><Relationship Id="rId22" Type="http://schemas.openxmlformats.org/officeDocument/2006/relationships/hyperlink" Target="mailto:drsboviot@outlook.com" TargetMode="External"/><Relationship Id="rId21" Type="http://schemas.openxmlformats.org/officeDocument/2006/relationships/hyperlink" Target="mailto:dho@odontologiavelasco.com.br" TargetMode="External"/><Relationship Id="rId24" Type="http://schemas.openxmlformats.org/officeDocument/2006/relationships/hyperlink" Target="mailto:issamo.yamasato@hotmail.com" TargetMode="External"/><Relationship Id="rId23" Type="http://schemas.openxmlformats.org/officeDocument/2006/relationships/hyperlink" Target="mailto:cdamaso@brprop.com.br" TargetMode="External"/><Relationship Id="rId26" Type="http://schemas.openxmlformats.org/officeDocument/2006/relationships/hyperlink" Target="mailto:agda.quirino@doctorfeet.net" TargetMode="External"/><Relationship Id="rId25" Type="http://schemas.openxmlformats.org/officeDocument/2006/relationships/hyperlink" Target="mailto:issamo.yamasato@hotmail.com" TargetMode="External"/><Relationship Id="rId28" Type="http://schemas.openxmlformats.org/officeDocument/2006/relationships/hyperlink" Target="mailto:agda.quirino@doctorfeet.net" TargetMode="External"/><Relationship Id="rId27" Type="http://schemas.openxmlformats.org/officeDocument/2006/relationships/hyperlink" Target="mailto:agda.quirino@doctorfeet.net" TargetMode="External"/><Relationship Id="rId29" Type="http://schemas.openxmlformats.org/officeDocument/2006/relationships/hyperlink" Target="mailto:ana.bretos@escolascriativas.org" TargetMode="External"/><Relationship Id="rId51" Type="http://schemas.openxmlformats.org/officeDocument/2006/relationships/hyperlink" Target="mailto:larissa.franqueira@lubrizol.com" TargetMode="External"/><Relationship Id="rId50" Type="http://schemas.openxmlformats.org/officeDocument/2006/relationships/hyperlink" Target="mailto:regiane.bernini@associacaovemser.org.br" TargetMode="External"/><Relationship Id="rId53" Type="http://schemas.openxmlformats.org/officeDocument/2006/relationships/hyperlink" Target="mailto:francieli.santos@innova.net.br" TargetMode="External"/><Relationship Id="rId52" Type="http://schemas.openxmlformats.org/officeDocument/2006/relationships/hyperlink" Target="mailto:francieli.santos@innova.net.br" TargetMode="External"/><Relationship Id="rId11" Type="http://schemas.openxmlformats.org/officeDocument/2006/relationships/hyperlink" Target="mailto:gabriela@gendo.app" TargetMode="External"/><Relationship Id="rId55" Type="http://schemas.openxmlformats.org/officeDocument/2006/relationships/drawing" Target="../drawings/drawing4.xml"/><Relationship Id="rId10" Type="http://schemas.openxmlformats.org/officeDocument/2006/relationships/hyperlink" Target="mailto:ceiindirvilanovacachoeirinha@sme.prefeitura.sp.gov.br" TargetMode="External"/><Relationship Id="rId54" Type="http://schemas.openxmlformats.org/officeDocument/2006/relationships/hyperlink" Target="mailto:contato@agprimeclean.com.br" TargetMode="External"/><Relationship Id="rId13" Type="http://schemas.openxmlformats.org/officeDocument/2006/relationships/hyperlink" Target="https://qualilog.zapplataforma.chat/tickets/brunalima@segurancarl.com" TargetMode="External"/><Relationship Id="rId12" Type="http://schemas.openxmlformats.org/officeDocument/2006/relationships/hyperlink" Target="mailto:rh@gruposne.com.br" TargetMode="External"/><Relationship Id="rId56" Type="http://schemas.openxmlformats.org/officeDocument/2006/relationships/vmlDrawing" Target="../drawings/vmlDrawing1.vml"/><Relationship Id="rId15" Type="http://schemas.openxmlformats.org/officeDocument/2006/relationships/hyperlink" Target="mailto:fabio.souza@megaeng.com.br" TargetMode="External"/><Relationship Id="rId14" Type="http://schemas.openxmlformats.org/officeDocument/2006/relationships/hyperlink" Target="mailto:andre.sollero@escolascriativas.org" TargetMode="External"/><Relationship Id="rId17" Type="http://schemas.openxmlformats.org/officeDocument/2006/relationships/hyperlink" Target="mailto:silvana@rpaudi.com.br" TargetMode="External"/><Relationship Id="rId16" Type="http://schemas.openxmlformats.org/officeDocument/2006/relationships/hyperlink" Target="mailto:fabio.souza@megaeng.com.br" TargetMode="External"/><Relationship Id="rId19" Type="http://schemas.openxmlformats.org/officeDocument/2006/relationships/hyperlink" Target="https://qualilog.zapplataforma.chat/tickets/financeiro.ecpark@gmail.com" TargetMode="External"/><Relationship Id="rId18" Type="http://schemas.openxmlformats.org/officeDocument/2006/relationships/hyperlink" Target="mailto:issamo.yamasato@hotmail.com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rh@saomarcus.com.br" TargetMode="External"/><Relationship Id="rId42" Type="http://schemas.openxmlformats.org/officeDocument/2006/relationships/hyperlink" Target="mailto:rh@saomarcus.com.br" TargetMode="External"/><Relationship Id="rId41" Type="http://schemas.openxmlformats.org/officeDocument/2006/relationships/hyperlink" Target="mailto:rh@saomarcus.com.br" TargetMode="External"/><Relationship Id="rId44" Type="http://schemas.openxmlformats.org/officeDocument/2006/relationships/hyperlink" Target="mailto:rh@saomarcus.com.br" TargetMode="External"/><Relationship Id="rId43" Type="http://schemas.openxmlformats.org/officeDocument/2006/relationships/hyperlink" Target="mailto:rh@saomarcus.com.br" TargetMode="External"/><Relationship Id="rId46" Type="http://schemas.openxmlformats.org/officeDocument/2006/relationships/hyperlink" Target="mailto:rh@saomarcus.com.br" TargetMode="External"/><Relationship Id="rId45" Type="http://schemas.openxmlformats.org/officeDocument/2006/relationships/hyperlink" Target="mailto:rh@saomarcus.com.br" TargetMode="External"/><Relationship Id="rId1" Type="http://schemas.openxmlformats.org/officeDocument/2006/relationships/comments" Target="../comments2.xml"/><Relationship Id="rId2" Type="http://schemas.openxmlformats.org/officeDocument/2006/relationships/hyperlink" Target="mailto:lr@setepowerenergy.com" TargetMode="External"/><Relationship Id="rId3" Type="http://schemas.openxmlformats.org/officeDocument/2006/relationships/hyperlink" Target="mailto:secretariamisaelcardoso@gmail.com" TargetMode="External"/><Relationship Id="rId4" Type="http://schemas.openxmlformats.org/officeDocument/2006/relationships/hyperlink" Target="mailto:ceiindirvilanovacachoeirinha@sme.prefeitura.sp.gov.br" TargetMode="External"/><Relationship Id="rId9" Type="http://schemas.openxmlformats.org/officeDocument/2006/relationships/hyperlink" Target="https://qualilog.zapplataforma.chat/tickets/financeiro.ecpark@gmail.com" TargetMode="External"/><Relationship Id="rId48" Type="http://schemas.openxmlformats.org/officeDocument/2006/relationships/hyperlink" Target="mailto:adm@wiwu.com.br" TargetMode="External"/><Relationship Id="rId47" Type="http://schemas.openxmlformats.org/officeDocument/2006/relationships/hyperlink" Target="mailto:adm@wiwu.com.br" TargetMode="External"/><Relationship Id="rId49" Type="http://schemas.openxmlformats.org/officeDocument/2006/relationships/hyperlink" Target="mailto:vivian.ferraz@plenno.com.br" TargetMode="External"/><Relationship Id="rId5" Type="http://schemas.openxmlformats.org/officeDocument/2006/relationships/hyperlink" Target="mailto:gabriela@gendo.app" TargetMode="External"/><Relationship Id="rId6" Type="http://schemas.openxmlformats.org/officeDocument/2006/relationships/hyperlink" Target="mailto:rh@gruposne.com.br" TargetMode="External"/><Relationship Id="rId7" Type="http://schemas.openxmlformats.org/officeDocument/2006/relationships/hyperlink" Target="https://qualilog.zapplataforma.chat/tickets/brunalima@segurancarl.com" TargetMode="External"/><Relationship Id="rId8" Type="http://schemas.openxmlformats.org/officeDocument/2006/relationships/hyperlink" Target="mailto:regiane.bernini@associacaovemser.org.br" TargetMode="External"/><Relationship Id="rId73" Type="http://schemas.openxmlformats.org/officeDocument/2006/relationships/hyperlink" Target="mailto:thais.silva@mundodosvistos.com.br" TargetMode="External"/><Relationship Id="rId72" Type="http://schemas.openxmlformats.org/officeDocument/2006/relationships/hyperlink" Target="mailto:contato@toncomton.com.br" TargetMode="External"/><Relationship Id="rId31" Type="http://schemas.openxmlformats.org/officeDocument/2006/relationships/hyperlink" Target="mailto:rodrigo@loggio.com.br" TargetMode="External"/><Relationship Id="rId75" Type="http://schemas.openxmlformats.org/officeDocument/2006/relationships/hyperlink" Target="mailto:marx.bancas@gmail.com" TargetMode="External"/><Relationship Id="rId30" Type="http://schemas.openxmlformats.org/officeDocument/2006/relationships/hyperlink" Target="mailto:ana.rosa@traduzca.com.br" TargetMode="External"/><Relationship Id="rId74" Type="http://schemas.openxmlformats.org/officeDocument/2006/relationships/hyperlink" Target="mailto:marx.bancas@gmail.com" TargetMode="External"/><Relationship Id="rId33" Type="http://schemas.openxmlformats.org/officeDocument/2006/relationships/hyperlink" Target="mailto:fabiana.galvao@pandisc-ww.com" TargetMode="External"/><Relationship Id="rId77" Type="http://schemas.openxmlformats.org/officeDocument/2006/relationships/drawing" Target="../drawings/drawing5.xml"/><Relationship Id="rId32" Type="http://schemas.openxmlformats.org/officeDocument/2006/relationships/hyperlink" Target="mailto:mmferreira@grupogp.com" TargetMode="External"/><Relationship Id="rId76" Type="http://schemas.openxmlformats.org/officeDocument/2006/relationships/hyperlink" Target="mailto:financeiro.ebenezershop@gmail.com" TargetMode="External"/><Relationship Id="rId35" Type="http://schemas.openxmlformats.org/officeDocument/2006/relationships/hyperlink" Target="mailto:rh@turimcondominios.com.br" TargetMode="External"/><Relationship Id="rId34" Type="http://schemas.openxmlformats.org/officeDocument/2006/relationships/hyperlink" Target="mailto:operacao@nanuts.com.br" TargetMode="External"/><Relationship Id="rId78" Type="http://schemas.openxmlformats.org/officeDocument/2006/relationships/vmlDrawing" Target="../drawings/vmlDrawing2.vml"/><Relationship Id="rId71" Type="http://schemas.openxmlformats.org/officeDocument/2006/relationships/hyperlink" Target="mailto:esantos@rcbinv.com.br" TargetMode="External"/><Relationship Id="rId70" Type="http://schemas.openxmlformats.org/officeDocument/2006/relationships/hyperlink" Target="mailto:financeiro@monicaviana.com.br" TargetMode="External"/><Relationship Id="rId37" Type="http://schemas.openxmlformats.org/officeDocument/2006/relationships/hyperlink" Target="mailto:pinhos@clubedovepinho.com.br" TargetMode="External"/><Relationship Id="rId36" Type="http://schemas.openxmlformats.org/officeDocument/2006/relationships/hyperlink" Target="mailto:brizbakery@gmail.com" TargetMode="External"/><Relationship Id="rId39" Type="http://schemas.openxmlformats.org/officeDocument/2006/relationships/hyperlink" Target="mailto:lucia@pontograf.com" TargetMode="External"/><Relationship Id="rId38" Type="http://schemas.openxmlformats.org/officeDocument/2006/relationships/hyperlink" Target="mailto:associacaomais.pagamentos@gmail.com" TargetMode="External"/><Relationship Id="rId62" Type="http://schemas.openxmlformats.org/officeDocument/2006/relationships/hyperlink" Target="https://qualilog.zapplataforma.chat/tickets/sindico@boulevard.net.br" TargetMode="External"/><Relationship Id="rId61" Type="http://schemas.openxmlformats.org/officeDocument/2006/relationships/hyperlink" Target="mailto:valeria.inac@bol.com.br" TargetMode="External"/><Relationship Id="rId20" Type="http://schemas.openxmlformats.org/officeDocument/2006/relationships/hyperlink" Target="mailto:elevadoresja@gmail.com" TargetMode="External"/><Relationship Id="rId64" Type="http://schemas.openxmlformats.org/officeDocument/2006/relationships/hyperlink" Target="mailto:fortimport.adm@gmail.com" TargetMode="External"/><Relationship Id="rId63" Type="http://schemas.openxmlformats.org/officeDocument/2006/relationships/hyperlink" Target="https://qualilog.zapplataforma.chat/tickets/shallon_monit24hs@hotmail.com" TargetMode="External"/><Relationship Id="rId22" Type="http://schemas.openxmlformats.org/officeDocument/2006/relationships/hyperlink" Target="mailto:leonardo.hoshino@petsociety.com.br" TargetMode="External"/><Relationship Id="rId66" Type="http://schemas.openxmlformats.org/officeDocument/2006/relationships/hyperlink" Target="mailto:luiz@zenithjoalheria.com" TargetMode="External"/><Relationship Id="rId21" Type="http://schemas.openxmlformats.org/officeDocument/2006/relationships/hyperlink" Target="mailto:recursoshumanos@nisc.com.br" TargetMode="External"/><Relationship Id="rId65" Type="http://schemas.openxmlformats.org/officeDocument/2006/relationships/hyperlink" Target="mailto:cleciene.jc2@yahoo.com" TargetMode="External"/><Relationship Id="rId24" Type="http://schemas.openxmlformats.org/officeDocument/2006/relationships/hyperlink" Target="mailto:leonardo.hoshino@petsociety.com.br" TargetMode="External"/><Relationship Id="rId68" Type="http://schemas.openxmlformats.org/officeDocument/2006/relationships/hyperlink" Target="https://qualilog.zapplataforma.chat/tickets/karina.segundo@avantgardegroup.com.br" TargetMode="External"/><Relationship Id="rId23" Type="http://schemas.openxmlformats.org/officeDocument/2006/relationships/hyperlink" Target="mailto:leonardo.hoshino@petsociety.com.br" TargetMode="External"/><Relationship Id="rId67" Type="http://schemas.openxmlformats.org/officeDocument/2006/relationships/hyperlink" Target="https://qualilog.zapplataforma.chat/tickets/karina.segundo@avantgardegroup.com.br" TargetMode="External"/><Relationship Id="rId60" Type="http://schemas.openxmlformats.org/officeDocument/2006/relationships/hyperlink" Target="mailto:lessandro@cvldobrasil.com.br" TargetMode="External"/><Relationship Id="rId26" Type="http://schemas.openxmlformats.org/officeDocument/2006/relationships/hyperlink" Target="mailto:leonardo.hoshino@petsociety.com.br" TargetMode="External"/><Relationship Id="rId25" Type="http://schemas.openxmlformats.org/officeDocument/2006/relationships/hyperlink" Target="mailto:leonardo.hoshino@petsociety.com.br" TargetMode="External"/><Relationship Id="rId69" Type="http://schemas.openxmlformats.org/officeDocument/2006/relationships/hyperlink" Target="https://qualilog.zapplataforma.chat/tickets/adriana.freitas.rab@gmail.com" TargetMode="External"/><Relationship Id="rId28" Type="http://schemas.openxmlformats.org/officeDocument/2006/relationships/hyperlink" Target="mailto:angelica_scarmona@hotmail.com" TargetMode="External"/><Relationship Id="rId27" Type="http://schemas.openxmlformats.org/officeDocument/2006/relationships/hyperlink" Target="mailto:reikookawara382@gmail.com" TargetMode="External"/><Relationship Id="rId29" Type="http://schemas.openxmlformats.org/officeDocument/2006/relationships/hyperlink" Target="mailto:emanuelle@galodamanha.org.br" TargetMode="External"/><Relationship Id="rId51" Type="http://schemas.openxmlformats.org/officeDocument/2006/relationships/hyperlink" Target="https://qualilog.zapplataforma.chat/tickets/cheirinbaointergru@gmail.com" TargetMode="External"/><Relationship Id="rId50" Type="http://schemas.openxmlformats.org/officeDocument/2006/relationships/hyperlink" Target="mailto:liliandestro@hotmail.com" TargetMode="External"/><Relationship Id="rId53" Type="http://schemas.openxmlformats.org/officeDocument/2006/relationships/hyperlink" Target="mailto:regina.nonato@grupopermaneo.com.br" TargetMode="External"/><Relationship Id="rId52" Type="http://schemas.openxmlformats.org/officeDocument/2006/relationships/hyperlink" Target="mailto:regina.nonato@grupopermaneo.com.br" TargetMode="External"/><Relationship Id="rId11" Type="http://schemas.openxmlformats.org/officeDocument/2006/relationships/hyperlink" Target="mailto:cdamaso@brprop.com.br" TargetMode="External"/><Relationship Id="rId55" Type="http://schemas.openxmlformats.org/officeDocument/2006/relationships/hyperlink" Target="mailto:daiane.araujo@bemboladobrasil.com.br" TargetMode="External"/><Relationship Id="rId10" Type="http://schemas.openxmlformats.org/officeDocument/2006/relationships/hyperlink" Target="mailto:drsboviot@outlook.com" TargetMode="External"/><Relationship Id="rId54" Type="http://schemas.openxmlformats.org/officeDocument/2006/relationships/hyperlink" Target="https://wa.me/11965612079" TargetMode="External"/><Relationship Id="rId13" Type="http://schemas.openxmlformats.org/officeDocument/2006/relationships/hyperlink" Target="mailto:jaqueline.nolle@gmail.com" TargetMode="External"/><Relationship Id="rId57" Type="http://schemas.openxmlformats.org/officeDocument/2006/relationships/hyperlink" Target="https://qualilog.zapplataforma.chat/tickets/pietra-travalon@hotmail.com" TargetMode="External"/><Relationship Id="rId12" Type="http://schemas.openxmlformats.org/officeDocument/2006/relationships/hyperlink" Target="mailto:agda.quirino@doctorfeet.net" TargetMode="External"/><Relationship Id="rId56" Type="http://schemas.openxmlformats.org/officeDocument/2006/relationships/hyperlink" Target="mailto:lucianopeters31@gmail.com" TargetMode="External"/><Relationship Id="rId15" Type="http://schemas.openxmlformats.org/officeDocument/2006/relationships/hyperlink" Target="mailto:rebecasilva955@icloud.com" TargetMode="External"/><Relationship Id="rId59" Type="http://schemas.openxmlformats.org/officeDocument/2006/relationships/hyperlink" Target="https://qualilog.zapplataforma.chat/tickets/pietra-travalon@hotmail.com" TargetMode="External"/><Relationship Id="rId14" Type="http://schemas.openxmlformats.org/officeDocument/2006/relationships/hyperlink" Target="mailto:rh@extrusorasferreti.com.br" TargetMode="External"/><Relationship Id="rId58" Type="http://schemas.openxmlformats.org/officeDocument/2006/relationships/hyperlink" Target="https://qualilog.zapplataforma.chat/tickets/pietra-travalon@hotmail.com" TargetMode="External"/><Relationship Id="rId17" Type="http://schemas.openxmlformats.org/officeDocument/2006/relationships/hyperlink" Target="mailto:agda.quirino@doctorfeet.net" TargetMode="External"/><Relationship Id="rId16" Type="http://schemas.openxmlformats.org/officeDocument/2006/relationships/hyperlink" Target="mailto:agda.quirino@doctorfeet.net" TargetMode="External"/><Relationship Id="rId19" Type="http://schemas.openxmlformats.org/officeDocument/2006/relationships/hyperlink" Target="mailto:fabio.souza@megaeng.com.br" TargetMode="External"/><Relationship Id="rId18" Type="http://schemas.openxmlformats.org/officeDocument/2006/relationships/hyperlink" Target="mailto:agda.quirino@doctorfeet.net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angelolima.estrelafilho@gmail.com" TargetMode="External"/><Relationship Id="rId42" Type="http://schemas.openxmlformats.org/officeDocument/2006/relationships/hyperlink" Target="mailto:luzia@orionadm.com.br" TargetMode="External"/><Relationship Id="rId41" Type="http://schemas.openxmlformats.org/officeDocument/2006/relationships/hyperlink" Target="mailto:cristina@grupoextrusa.com" TargetMode="External"/><Relationship Id="rId44" Type="http://schemas.openxmlformats.org/officeDocument/2006/relationships/hyperlink" Target="mailto:kaialla.bueno@zsurbanismo.com.br" TargetMode="External"/><Relationship Id="rId43" Type="http://schemas.openxmlformats.org/officeDocument/2006/relationships/hyperlink" Target="mailto:james.lima@sidel.com" TargetMode="External"/><Relationship Id="rId46" Type="http://schemas.openxmlformats.org/officeDocument/2006/relationships/hyperlink" Target="mailto:fs0200908@gmail.com" TargetMode="External"/><Relationship Id="rId45" Type="http://schemas.openxmlformats.org/officeDocument/2006/relationships/hyperlink" Target="mailto:drogarianenemsjc@gmail.com" TargetMode="External"/><Relationship Id="rId1" Type="http://schemas.openxmlformats.org/officeDocument/2006/relationships/comments" Target="../comments3.xml"/><Relationship Id="rId2" Type="http://schemas.openxmlformats.org/officeDocument/2006/relationships/hyperlink" Target="mailto:gabriela@gendo.app" TargetMode="External"/><Relationship Id="rId3" Type="http://schemas.openxmlformats.org/officeDocument/2006/relationships/hyperlink" Target="https://qualilog.zapplataforma.chat/tickets/brunalima@segurancarl.com" TargetMode="External"/><Relationship Id="rId4" Type="http://schemas.openxmlformats.org/officeDocument/2006/relationships/hyperlink" Target="mailto:regiane.bernini@associacaovemser.org.br" TargetMode="External"/><Relationship Id="rId9" Type="http://schemas.openxmlformats.org/officeDocument/2006/relationships/hyperlink" Target="mailto:rebecasilva955@icloud.com" TargetMode="External"/><Relationship Id="rId48" Type="http://schemas.openxmlformats.org/officeDocument/2006/relationships/hyperlink" Target="mailto:rodrigo@loggio.com.br" TargetMode="External"/><Relationship Id="rId47" Type="http://schemas.openxmlformats.org/officeDocument/2006/relationships/hyperlink" Target="mailto:diretoria@pellarin.com.br" TargetMode="External"/><Relationship Id="rId49" Type="http://schemas.openxmlformats.org/officeDocument/2006/relationships/hyperlink" Target="mailto:financeiro@monicaviana.com.br" TargetMode="External"/><Relationship Id="rId5" Type="http://schemas.openxmlformats.org/officeDocument/2006/relationships/hyperlink" Target="mailto:drsboviot@outlook.com" TargetMode="External"/><Relationship Id="rId6" Type="http://schemas.openxmlformats.org/officeDocument/2006/relationships/hyperlink" Target="mailto:cdamaso@brprop.com.br" TargetMode="External"/><Relationship Id="rId7" Type="http://schemas.openxmlformats.org/officeDocument/2006/relationships/hyperlink" Target="mailto:jaqueline.nolle@gmail.com" TargetMode="External"/><Relationship Id="rId8" Type="http://schemas.openxmlformats.org/officeDocument/2006/relationships/hyperlink" Target="mailto:rh@extrusorasferreti.com.br" TargetMode="External"/><Relationship Id="rId31" Type="http://schemas.openxmlformats.org/officeDocument/2006/relationships/hyperlink" Target="mailto:compras@dynamis.ind.br" TargetMode="External"/><Relationship Id="rId30" Type="http://schemas.openxmlformats.org/officeDocument/2006/relationships/hyperlink" Target="https://wa.me/1146781088" TargetMode="External"/><Relationship Id="rId33" Type="http://schemas.openxmlformats.org/officeDocument/2006/relationships/hyperlink" Target="https://wa.me/32999035369" TargetMode="External"/><Relationship Id="rId32" Type="http://schemas.openxmlformats.org/officeDocument/2006/relationships/hyperlink" Target="mailto:vibrareabilitacao@gmail.com" TargetMode="External"/><Relationship Id="rId35" Type="http://schemas.openxmlformats.org/officeDocument/2006/relationships/hyperlink" Target="https://qualilog.zapplataforma.chat/tickets/Suzana.sfs@icloud.com" TargetMode="External"/><Relationship Id="rId34" Type="http://schemas.openxmlformats.org/officeDocument/2006/relationships/hyperlink" Target="mailto:administrativo@infinityathleticclub.com.br" TargetMode="External"/><Relationship Id="rId37" Type="http://schemas.openxmlformats.org/officeDocument/2006/relationships/hyperlink" Target="mailto:silvia@liberdade-contabil.com.br" TargetMode="External"/><Relationship Id="rId36" Type="http://schemas.openxmlformats.org/officeDocument/2006/relationships/hyperlink" Target="mailto:cinthia.rhlsp@gmail.com" TargetMode="External"/><Relationship Id="rId39" Type="http://schemas.openxmlformats.org/officeDocument/2006/relationships/hyperlink" Target="mailto:financeiro.studiocaroline@gmail.com" TargetMode="External"/><Relationship Id="rId38" Type="http://schemas.openxmlformats.org/officeDocument/2006/relationships/hyperlink" Target="mailto:vitoria.alves@conectamerchandising.net" TargetMode="External"/><Relationship Id="rId20" Type="http://schemas.openxmlformats.org/officeDocument/2006/relationships/hyperlink" Target="https://qualilog.zapplataforma.chat/tickets/shallon_monit24hs@hotmail.com" TargetMode="External"/><Relationship Id="rId22" Type="http://schemas.openxmlformats.org/officeDocument/2006/relationships/hyperlink" Target="https://wa.me/1146781088" TargetMode="External"/><Relationship Id="rId21" Type="http://schemas.openxmlformats.org/officeDocument/2006/relationships/hyperlink" Target="https://qualilog.zapplataforma.chat/tickets/karina.segundo@avantgardegroup.com.br" TargetMode="External"/><Relationship Id="rId24" Type="http://schemas.openxmlformats.org/officeDocument/2006/relationships/hyperlink" Target="mailto:juliamaximodf@gmail.com" TargetMode="External"/><Relationship Id="rId23" Type="http://schemas.openxmlformats.org/officeDocument/2006/relationships/hyperlink" Target="mailto:compras@dynamis.ind.br" TargetMode="External"/><Relationship Id="rId60" Type="http://schemas.openxmlformats.org/officeDocument/2006/relationships/vmlDrawing" Target="../drawings/vmlDrawing3.vml"/><Relationship Id="rId26" Type="http://schemas.openxmlformats.org/officeDocument/2006/relationships/hyperlink" Target="mailto:daiane.araujo@bemboladobrasil.com.br" TargetMode="External"/><Relationship Id="rId25" Type="http://schemas.openxmlformats.org/officeDocument/2006/relationships/hyperlink" Target="https://wa.me/11965612079" TargetMode="External"/><Relationship Id="rId28" Type="http://schemas.openxmlformats.org/officeDocument/2006/relationships/hyperlink" Target="https://qualilog.zapplataforma.chat/tickets/adriana.freitas.rab@gmail.com" TargetMode="External"/><Relationship Id="rId27" Type="http://schemas.openxmlformats.org/officeDocument/2006/relationships/hyperlink" Target="mailto:rh@turimcondominios.com.br" TargetMode="External"/><Relationship Id="rId29" Type="http://schemas.openxmlformats.org/officeDocument/2006/relationships/hyperlink" Target="https://qualilog.zapplataforma.chat/tickets/cheirinbaointergru@gmail.com" TargetMode="External"/><Relationship Id="rId51" Type="http://schemas.openxmlformats.org/officeDocument/2006/relationships/hyperlink" Target="mailto:locfesta@locfesta.com.br" TargetMode="External"/><Relationship Id="rId50" Type="http://schemas.openxmlformats.org/officeDocument/2006/relationships/hyperlink" Target="mailto:financeiro@one.eng.br" TargetMode="External"/><Relationship Id="rId53" Type="http://schemas.openxmlformats.org/officeDocument/2006/relationships/hyperlink" Target="mailto:rh@extrusorasferreti.com.br" TargetMode="External"/><Relationship Id="rId52" Type="http://schemas.openxmlformats.org/officeDocument/2006/relationships/hyperlink" Target="mailto:MAAHGRANDAO612@GMAIL.COM" TargetMode="External"/><Relationship Id="rId11" Type="http://schemas.openxmlformats.org/officeDocument/2006/relationships/hyperlink" Target="mailto:financeiro@jmloc.com.br" TargetMode="External"/><Relationship Id="rId55" Type="http://schemas.openxmlformats.org/officeDocument/2006/relationships/hyperlink" Target="mailto:spaziooral74@gmail.com" TargetMode="External"/><Relationship Id="rId10" Type="http://schemas.openxmlformats.org/officeDocument/2006/relationships/hyperlink" Target="https://qualilog.zapplataforma.chat/tickets/karina.segundo@avantgardegroup.com.br" TargetMode="External"/><Relationship Id="rId54" Type="http://schemas.openxmlformats.org/officeDocument/2006/relationships/hyperlink" Target="http://com.br/" TargetMode="External"/><Relationship Id="rId13" Type="http://schemas.openxmlformats.org/officeDocument/2006/relationships/hyperlink" Target="mailto:financeiro@jmloc.com.br" TargetMode="External"/><Relationship Id="rId57" Type="http://schemas.openxmlformats.org/officeDocument/2006/relationships/hyperlink" Target="mailto:fabiana.galvao@pandisc-ww.com" TargetMode="External"/><Relationship Id="rId12" Type="http://schemas.openxmlformats.org/officeDocument/2006/relationships/hyperlink" Target="mailto:elevadoresja@gmail.com" TargetMode="External"/><Relationship Id="rId56" Type="http://schemas.openxmlformats.org/officeDocument/2006/relationships/hyperlink" Target="mailto:financeiro@faculdaderobertomoranda.edu.br" TargetMode="External"/><Relationship Id="rId15" Type="http://schemas.openxmlformats.org/officeDocument/2006/relationships/hyperlink" Target="mailto:caio@grupodpg.com.br" TargetMode="External"/><Relationship Id="rId59" Type="http://schemas.openxmlformats.org/officeDocument/2006/relationships/drawing" Target="../drawings/drawing6.xml"/><Relationship Id="rId14" Type="http://schemas.openxmlformats.org/officeDocument/2006/relationships/hyperlink" Target="mailto:pablovellos@hotmail.com" TargetMode="External"/><Relationship Id="rId58" Type="http://schemas.openxmlformats.org/officeDocument/2006/relationships/hyperlink" Target="mailto:caio.romao@dormerpramet.com" TargetMode="External"/><Relationship Id="rId17" Type="http://schemas.openxmlformats.org/officeDocument/2006/relationships/hyperlink" Target="https://qualilog.zapplataforma.chat/tickets/deborapereira@luizis.com.br" TargetMode="External"/><Relationship Id="rId16" Type="http://schemas.openxmlformats.org/officeDocument/2006/relationships/hyperlink" Target="https://qualilog.zapplataforma.chat/tickets/deborapereira@luizis.com.br" TargetMode="External"/><Relationship Id="rId19" Type="http://schemas.openxmlformats.org/officeDocument/2006/relationships/hyperlink" Target="mailto:brizbakery@gmail.com" TargetMode="External"/><Relationship Id="rId18" Type="http://schemas.openxmlformats.org/officeDocument/2006/relationships/hyperlink" Target="https://qualilog.zapplataforma.chat/tickets/gestao04@nevadaterceirizados.com.br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qualilog.zapplataforma.chat/tickets/karina.segundo@avantgardegroup.com.br" TargetMode="External"/><Relationship Id="rId2" Type="http://schemas.openxmlformats.org/officeDocument/2006/relationships/hyperlink" Target="https://wa.me/1146781088" TargetMode="External"/><Relationship Id="rId3" Type="http://schemas.openxmlformats.org/officeDocument/2006/relationships/hyperlink" Target="mailto:compras@dynamis.ind.br" TargetMode="External"/><Relationship Id="rId4" Type="http://schemas.openxmlformats.org/officeDocument/2006/relationships/hyperlink" Target="mailto:juliamaximodf@gmail.com" TargetMode="External"/><Relationship Id="rId9" Type="http://schemas.openxmlformats.org/officeDocument/2006/relationships/hyperlink" Target="https://qualilog.zapplataforma.chat/tickets/Suzana.sfs@icloud.com" TargetMode="External"/><Relationship Id="rId5" Type="http://schemas.openxmlformats.org/officeDocument/2006/relationships/hyperlink" Target="mailto:rh@turimcondominios.com.br" TargetMode="External"/><Relationship Id="rId6" Type="http://schemas.openxmlformats.org/officeDocument/2006/relationships/hyperlink" Target="https://qualilog.zapplataforma.chat/tickets/cheirinbaointergru@gmail.com" TargetMode="External"/><Relationship Id="rId7" Type="http://schemas.openxmlformats.org/officeDocument/2006/relationships/hyperlink" Target="https://wa.me/1146781088" TargetMode="External"/><Relationship Id="rId8" Type="http://schemas.openxmlformats.org/officeDocument/2006/relationships/hyperlink" Target="mailto:compras@dynamis.ind.br" TargetMode="External"/><Relationship Id="rId31" Type="http://schemas.openxmlformats.org/officeDocument/2006/relationships/hyperlink" Target="mailto:akoneaki9@gmail.com" TargetMode="External"/><Relationship Id="rId30" Type="http://schemas.openxmlformats.org/officeDocument/2006/relationships/hyperlink" Target="mailto:nuvembranca211@hotmail.com" TargetMode="External"/><Relationship Id="rId32" Type="http://schemas.openxmlformats.org/officeDocument/2006/relationships/drawing" Target="../drawings/drawing7.xml"/><Relationship Id="rId20" Type="http://schemas.openxmlformats.org/officeDocument/2006/relationships/hyperlink" Target="mailto:caio.romao@dormerpramet.com" TargetMode="External"/><Relationship Id="rId22" Type="http://schemas.openxmlformats.org/officeDocument/2006/relationships/hyperlink" Target="mailto:priscila.valentim@mks.com" TargetMode="External"/><Relationship Id="rId21" Type="http://schemas.openxmlformats.org/officeDocument/2006/relationships/hyperlink" Target="mailto:adm@hdconengenharia.com.br" TargetMode="External"/><Relationship Id="rId24" Type="http://schemas.openxmlformats.org/officeDocument/2006/relationships/hyperlink" Target="https://qualilog.zapplataforma.chat/tickets/elvishenrique95@gmail.com" TargetMode="External"/><Relationship Id="rId23" Type="http://schemas.openxmlformats.org/officeDocument/2006/relationships/hyperlink" Target="https://qualilog.zapplataforma.chat/tickets/elvishenrique95@gmail.com" TargetMode="External"/><Relationship Id="rId26" Type="http://schemas.openxmlformats.org/officeDocument/2006/relationships/hyperlink" Target="https://qualilog.zapplataforma.chat/tickets/adm@antislip.com.br" TargetMode="External"/><Relationship Id="rId25" Type="http://schemas.openxmlformats.org/officeDocument/2006/relationships/hyperlink" Target="https://qualilog.zapplataforma.chat/tickets/walmor@uol.com.br" TargetMode="External"/><Relationship Id="rId28" Type="http://schemas.openxmlformats.org/officeDocument/2006/relationships/hyperlink" Target="mailto:adrianapersevmed@gmail.com" TargetMode="External"/><Relationship Id="rId27" Type="http://schemas.openxmlformats.org/officeDocument/2006/relationships/hyperlink" Target="mailto:fsaragio@gmail.com" TargetMode="External"/><Relationship Id="rId29" Type="http://schemas.openxmlformats.org/officeDocument/2006/relationships/hyperlink" Target="https://qualilog.zapplataforma.chat/tickets/fluxolabjet@outlook.com" TargetMode="External"/><Relationship Id="rId11" Type="http://schemas.openxmlformats.org/officeDocument/2006/relationships/hyperlink" Target="mailto:kaialla.bueno@zsurbanismo.com.br" TargetMode="External"/><Relationship Id="rId10" Type="http://schemas.openxmlformats.org/officeDocument/2006/relationships/hyperlink" Target="mailto:cinthia.rhlsp@gmail.com" TargetMode="External"/><Relationship Id="rId13" Type="http://schemas.openxmlformats.org/officeDocument/2006/relationships/hyperlink" Target="mailto:rodrigo@loggio.com.br" TargetMode="External"/><Relationship Id="rId12" Type="http://schemas.openxmlformats.org/officeDocument/2006/relationships/hyperlink" Target="mailto:fs0200908@gmail.com" TargetMode="External"/><Relationship Id="rId15" Type="http://schemas.openxmlformats.org/officeDocument/2006/relationships/hyperlink" Target="mailto:MAAHGRANDAO612@GMAIL.COM" TargetMode="External"/><Relationship Id="rId14" Type="http://schemas.openxmlformats.org/officeDocument/2006/relationships/hyperlink" Target="mailto:financeiro@monicaviana.com.br" TargetMode="External"/><Relationship Id="rId17" Type="http://schemas.openxmlformats.org/officeDocument/2006/relationships/hyperlink" Target="mailto:spaziooral74@gmail.com" TargetMode="External"/><Relationship Id="rId16" Type="http://schemas.openxmlformats.org/officeDocument/2006/relationships/hyperlink" Target="mailto:rh@extrusorasferreti.com.br" TargetMode="External"/><Relationship Id="rId19" Type="http://schemas.openxmlformats.org/officeDocument/2006/relationships/hyperlink" Target="mailto:fabiana.galvao@pandisc-ww.com" TargetMode="External"/><Relationship Id="rId18" Type="http://schemas.openxmlformats.org/officeDocument/2006/relationships/hyperlink" Target="mailto:financeiro@faculdaderobertomoranda.edu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69.38"/>
    <col customWidth="1" min="3" max="3" width="17.25"/>
    <col customWidth="1" min="4" max="4" width="18.0"/>
    <col customWidth="1" min="5" max="5" width="13.38"/>
    <col customWidth="1" min="6" max="6" width="35.25"/>
    <col customWidth="1" min="7" max="7" width="16.38"/>
    <col customWidth="1" min="8" max="8" width="87.63"/>
    <col customWidth="1" min="9" max="9" width="20.0"/>
    <col customWidth="1" min="10" max="10" width="28.88"/>
    <col customWidth="1" min="11" max="11" width="16.25"/>
    <col customWidth="1" min="12" max="12" width="14.75"/>
    <col customWidth="1" min="13" max="13" width="22.38"/>
    <col customWidth="1" min="14" max="14" width="19.88"/>
    <col customWidth="1" min="15" max="15" width="21.63"/>
    <col customWidth="1" min="16" max="16" width="10.75"/>
    <col customWidth="1" min="17" max="17" width="19.88"/>
    <col customWidth="1" min="18" max="18" width="18.25"/>
    <col customWidth="1" min="19" max="19" width="141.5"/>
  </cols>
  <sheetData>
    <row r="1">
      <c r="A1" s="1" t="s">
        <v>0</v>
      </c>
      <c r="H1" s="2" t="s">
        <v>1</v>
      </c>
      <c r="Q1" s="2" t="s">
        <v>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4.75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7" t="s">
        <v>10</v>
      </c>
      <c r="I4" s="8" t="s">
        <v>11</v>
      </c>
      <c r="J4" s="8" t="s">
        <v>12</v>
      </c>
      <c r="K4" s="9" t="s">
        <v>13</v>
      </c>
      <c r="L4" s="9" t="s">
        <v>14</v>
      </c>
      <c r="M4" s="8" t="s">
        <v>15</v>
      </c>
      <c r="N4" s="8" t="s">
        <v>10</v>
      </c>
      <c r="O4" s="8" t="s">
        <v>16</v>
      </c>
      <c r="P4" s="8" t="s">
        <v>17</v>
      </c>
      <c r="Q4" s="8" t="s">
        <v>18</v>
      </c>
      <c r="R4" s="10" t="s">
        <v>19</v>
      </c>
      <c r="S4" s="10" t="s">
        <v>20</v>
      </c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>
      <c r="A5" s="12">
        <v>1.0</v>
      </c>
      <c r="B5" s="12" t="s">
        <v>21</v>
      </c>
      <c r="C5" s="12" t="s">
        <v>22</v>
      </c>
      <c r="D5" s="12" t="s">
        <v>23</v>
      </c>
      <c r="E5" s="12" t="s">
        <v>24</v>
      </c>
      <c r="F5" s="12" t="s">
        <v>25</v>
      </c>
      <c r="G5" s="12" t="s">
        <v>26</v>
      </c>
      <c r="H5" s="13" t="s">
        <v>27</v>
      </c>
      <c r="I5" s="14">
        <v>45972.0</v>
      </c>
      <c r="J5" s="15"/>
      <c r="K5" s="16">
        <v>10241.0</v>
      </c>
      <c r="L5" s="16">
        <v>245784.0</v>
      </c>
      <c r="M5" s="17" t="s">
        <v>28</v>
      </c>
      <c r="N5" s="17" t="s">
        <v>29</v>
      </c>
      <c r="O5" s="17"/>
      <c r="P5" s="18"/>
      <c r="Q5" s="17" t="s">
        <v>30</v>
      </c>
      <c r="R5" s="17" t="s">
        <v>31</v>
      </c>
      <c r="S5" s="16" t="s">
        <v>32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>
      <c r="A6" s="12">
        <v>2.0</v>
      </c>
      <c r="B6" s="12" t="s">
        <v>21</v>
      </c>
      <c r="C6" s="12" t="s">
        <v>22</v>
      </c>
      <c r="D6" s="12" t="s">
        <v>23</v>
      </c>
      <c r="E6" s="12" t="s">
        <v>24</v>
      </c>
      <c r="F6" s="12" t="s">
        <v>25</v>
      </c>
      <c r="G6" s="12">
        <v>70.0</v>
      </c>
      <c r="H6" s="13" t="s">
        <v>33</v>
      </c>
      <c r="I6" s="14">
        <v>45972.0</v>
      </c>
      <c r="J6" s="15"/>
      <c r="K6" s="16">
        <v>11083.8</v>
      </c>
      <c r="L6" s="16">
        <v>266011.2</v>
      </c>
      <c r="M6" s="17" t="s">
        <v>28</v>
      </c>
      <c r="N6" s="17" t="s">
        <v>29</v>
      </c>
      <c r="O6" s="17"/>
      <c r="P6" s="18"/>
      <c r="Q6" s="17" t="s">
        <v>30</v>
      </c>
      <c r="R6" s="17" t="s">
        <v>31</v>
      </c>
      <c r="S6" s="16" t="s">
        <v>32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>
      <c r="A7" s="12">
        <v>3.0</v>
      </c>
      <c r="B7" s="19" t="s">
        <v>34</v>
      </c>
      <c r="C7" s="19" t="s">
        <v>35</v>
      </c>
      <c r="D7" s="19" t="s">
        <v>36</v>
      </c>
      <c r="E7" s="19" t="s">
        <v>37</v>
      </c>
      <c r="F7" s="19" t="s">
        <v>38</v>
      </c>
      <c r="G7" s="19">
        <v>50.0</v>
      </c>
      <c r="H7" s="20" t="s">
        <v>39</v>
      </c>
      <c r="I7" s="21">
        <v>45918.0</v>
      </c>
      <c r="J7" s="21"/>
      <c r="K7" s="22">
        <v>566.14</v>
      </c>
      <c r="L7" s="22">
        <v>6793.68</v>
      </c>
      <c r="M7" s="23" t="s">
        <v>28</v>
      </c>
      <c r="N7" s="20"/>
      <c r="O7" s="20" t="s">
        <v>40</v>
      </c>
      <c r="P7" s="20"/>
      <c r="Q7" s="20" t="s">
        <v>41</v>
      </c>
      <c r="R7" s="20" t="s">
        <v>31</v>
      </c>
      <c r="S7" s="20" t="s">
        <v>42</v>
      </c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>
      <c r="A8" s="12">
        <v>4.0</v>
      </c>
      <c r="B8" s="12" t="s">
        <v>43</v>
      </c>
      <c r="C8" s="12" t="s">
        <v>44</v>
      </c>
      <c r="D8" s="12" t="s">
        <v>45</v>
      </c>
      <c r="E8" s="12" t="s">
        <v>46</v>
      </c>
      <c r="F8" s="12" t="s">
        <v>47</v>
      </c>
      <c r="G8" s="12">
        <v>24.0</v>
      </c>
      <c r="H8" s="13" t="s">
        <v>48</v>
      </c>
      <c r="I8" s="14">
        <v>46007.0</v>
      </c>
      <c r="J8" s="15"/>
      <c r="K8" s="16">
        <v>466.4</v>
      </c>
      <c r="L8" s="25">
        <f>K8*24</f>
        <v>11193.6</v>
      </c>
      <c r="M8" s="23" t="s">
        <v>28</v>
      </c>
      <c r="N8" s="20" t="s">
        <v>29</v>
      </c>
      <c r="O8" s="23" t="s">
        <v>40</v>
      </c>
      <c r="P8" s="26"/>
      <c r="Q8" s="23" t="s">
        <v>30</v>
      </c>
      <c r="R8" s="23" t="s">
        <v>49</v>
      </c>
      <c r="S8" s="27" t="s">
        <v>50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>
      <c r="A9" s="12">
        <v>5.0</v>
      </c>
      <c r="B9" s="12" t="s">
        <v>51</v>
      </c>
      <c r="C9" s="12" t="s">
        <v>52</v>
      </c>
      <c r="D9" s="12" t="s">
        <v>53</v>
      </c>
      <c r="E9" s="12" t="s">
        <v>54</v>
      </c>
      <c r="F9" s="12" t="s">
        <v>55</v>
      </c>
      <c r="G9" s="12">
        <v>130.0</v>
      </c>
      <c r="H9" s="13" t="s">
        <v>56</v>
      </c>
      <c r="I9" s="14">
        <v>45999.0</v>
      </c>
      <c r="J9" s="15"/>
      <c r="K9" s="16" t="s">
        <v>57</v>
      </c>
      <c r="L9" s="16">
        <v>3200.0</v>
      </c>
      <c r="M9" s="17" t="s">
        <v>58</v>
      </c>
      <c r="N9" s="17" t="s">
        <v>29</v>
      </c>
      <c r="O9" s="17"/>
      <c r="P9" s="26"/>
      <c r="Q9" s="17" t="s">
        <v>30</v>
      </c>
      <c r="R9" s="17" t="s">
        <v>49</v>
      </c>
      <c r="S9" s="13" t="s">
        <v>59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>
      <c r="A10" s="12">
        <v>6.0</v>
      </c>
      <c r="B10" s="12" t="s">
        <v>60</v>
      </c>
      <c r="C10" s="12" t="s">
        <v>61</v>
      </c>
      <c r="D10" s="12" t="s">
        <v>62</v>
      </c>
      <c r="E10" s="12" t="s">
        <v>63</v>
      </c>
      <c r="F10" s="12" t="s">
        <v>64</v>
      </c>
      <c r="G10" s="12">
        <v>38.0</v>
      </c>
      <c r="H10" s="13" t="s">
        <v>65</v>
      </c>
      <c r="I10" s="14">
        <v>45999.0</v>
      </c>
      <c r="J10" s="15"/>
      <c r="K10" s="16">
        <v>440.96</v>
      </c>
      <c r="L10" s="25">
        <f>K10*24</f>
        <v>10583.04</v>
      </c>
      <c r="M10" s="17" t="s">
        <v>58</v>
      </c>
      <c r="N10" s="17" t="s">
        <v>29</v>
      </c>
      <c r="O10" s="17" t="s">
        <v>40</v>
      </c>
      <c r="P10" s="26"/>
      <c r="Q10" s="17" t="s">
        <v>30</v>
      </c>
      <c r="R10" s="17" t="s">
        <v>49</v>
      </c>
      <c r="S10" s="28" t="s">
        <v>66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>
      <c r="A11" s="12">
        <v>7.0</v>
      </c>
      <c r="B11" s="12" t="s">
        <v>67</v>
      </c>
      <c r="C11" s="12" t="s">
        <v>68</v>
      </c>
      <c r="D11" s="12" t="s">
        <v>69</v>
      </c>
      <c r="E11" s="12">
        <v>1.1999616464E10</v>
      </c>
      <c r="F11" s="12" t="s">
        <v>70</v>
      </c>
      <c r="G11" s="12">
        <v>1.0</v>
      </c>
      <c r="H11" s="13" t="s">
        <v>39</v>
      </c>
      <c r="I11" s="14">
        <v>45988.0</v>
      </c>
      <c r="J11" s="14">
        <v>46052.0</v>
      </c>
      <c r="K11" s="16">
        <v>105.42</v>
      </c>
      <c r="L11" s="16">
        <f t="shared" ref="L11:L13" si="1">K11*12</f>
        <v>1265.04</v>
      </c>
      <c r="M11" s="17" t="s">
        <v>71</v>
      </c>
      <c r="N11" s="17" t="s">
        <v>29</v>
      </c>
      <c r="O11" s="17" t="s">
        <v>72</v>
      </c>
      <c r="P11" s="17">
        <v>2107.0</v>
      </c>
      <c r="Q11" s="17" t="s">
        <v>73</v>
      </c>
      <c r="R11" s="17" t="s">
        <v>49</v>
      </c>
      <c r="S11" s="28" t="s">
        <v>74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>
      <c r="A12" s="12">
        <v>8.0</v>
      </c>
      <c r="B12" s="12" t="s">
        <v>75</v>
      </c>
      <c r="C12" s="12" t="s">
        <v>76</v>
      </c>
      <c r="D12" s="12" t="s">
        <v>69</v>
      </c>
      <c r="E12" s="12">
        <v>1.1999616464E10</v>
      </c>
      <c r="F12" s="12" t="s">
        <v>70</v>
      </c>
      <c r="G12" s="12">
        <v>1.0</v>
      </c>
      <c r="H12" s="13" t="s">
        <v>39</v>
      </c>
      <c r="I12" s="14">
        <v>45988.0</v>
      </c>
      <c r="J12" s="14">
        <v>46052.0</v>
      </c>
      <c r="K12" s="16">
        <v>105.42</v>
      </c>
      <c r="L12" s="16">
        <f t="shared" si="1"/>
        <v>1265.04</v>
      </c>
      <c r="M12" s="17" t="s">
        <v>71</v>
      </c>
      <c r="N12" s="17" t="s">
        <v>29</v>
      </c>
      <c r="O12" s="17" t="s">
        <v>72</v>
      </c>
      <c r="P12" s="17">
        <v>2106.0</v>
      </c>
      <c r="Q12" s="17" t="s">
        <v>73</v>
      </c>
      <c r="R12" s="17" t="s">
        <v>49</v>
      </c>
      <c r="S12" s="28" t="s">
        <v>74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>
      <c r="A13" s="12">
        <v>9.0</v>
      </c>
      <c r="B13" s="12" t="s">
        <v>77</v>
      </c>
      <c r="C13" s="12" t="s">
        <v>78</v>
      </c>
      <c r="D13" s="12" t="s">
        <v>69</v>
      </c>
      <c r="E13" s="12">
        <v>1.1999616464E10</v>
      </c>
      <c r="F13" s="12" t="s">
        <v>70</v>
      </c>
      <c r="G13" s="12">
        <v>1.0</v>
      </c>
      <c r="H13" s="13" t="s">
        <v>39</v>
      </c>
      <c r="I13" s="14">
        <v>45988.0</v>
      </c>
      <c r="J13" s="14">
        <v>46052.0</v>
      </c>
      <c r="K13" s="16">
        <v>105.42</v>
      </c>
      <c r="L13" s="16">
        <f t="shared" si="1"/>
        <v>1265.04</v>
      </c>
      <c r="M13" s="17" t="s">
        <v>71</v>
      </c>
      <c r="N13" s="17" t="s">
        <v>29</v>
      </c>
      <c r="O13" s="17" t="s">
        <v>72</v>
      </c>
      <c r="P13" s="17">
        <v>2101.0</v>
      </c>
      <c r="Q13" s="17" t="s">
        <v>73</v>
      </c>
      <c r="R13" s="17" t="s">
        <v>49</v>
      </c>
      <c r="S13" s="28" t="s">
        <v>74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>
      <c r="A14" s="12">
        <v>10.0</v>
      </c>
      <c r="B14" s="12" t="s">
        <v>79</v>
      </c>
      <c r="C14" s="12" t="s">
        <v>80</v>
      </c>
      <c r="D14" s="12" t="s">
        <v>81</v>
      </c>
      <c r="E14" s="12" t="s">
        <v>82</v>
      </c>
      <c r="F14" s="12" t="s">
        <v>83</v>
      </c>
      <c r="G14" s="12">
        <v>270.0</v>
      </c>
      <c r="H14" s="13" t="s">
        <v>84</v>
      </c>
      <c r="I14" s="14">
        <v>46000.0</v>
      </c>
      <c r="J14" s="15"/>
      <c r="K14" s="16" t="s">
        <v>57</v>
      </c>
      <c r="L14" s="16">
        <v>8000.0</v>
      </c>
      <c r="M14" s="23" t="s">
        <v>28</v>
      </c>
      <c r="N14" s="23" t="s">
        <v>29</v>
      </c>
      <c r="O14" s="23"/>
      <c r="P14" s="26"/>
      <c r="Q14" s="23" t="s">
        <v>30</v>
      </c>
      <c r="R14" s="23" t="s">
        <v>49</v>
      </c>
      <c r="S14" s="27" t="s">
        <v>85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>
      <c r="A15" s="12">
        <v>11.0</v>
      </c>
      <c r="B15" s="12" t="s">
        <v>86</v>
      </c>
      <c r="C15" s="12" t="s">
        <v>87</v>
      </c>
      <c r="D15" s="12" t="s">
        <v>88</v>
      </c>
      <c r="E15" s="12" t="s">
        <v>89</v>
      </c>
      <c r="F15" s="29" t="s">
        <v>90</v>
      </c>
      <c r="G15" s="12">
        <v>38.0</v>
      </c>
      <c r="H15" s="13" t="s">
        <v>65</v>
      </c>
      <c r="I15" s="14">
        <v>45564.0</v>
      </c>
      <c r="J15" s="14">
        <v>46051.0</v>
      </c>
      <c r="K15" s="16">
        <v>664.95</v>
      </c>
      <c r="L15" s="25">
        <f>K15*12</f>
        <v>7979.4</v>
      </c>
      <c r="M15" s="13" t="s">
        <v>71</v>
      </c>
      <c r="N15" s="17" t="s">
        <v>91</v>
      </c>
      <c r="O15" s="17" t="s">
        <v>72</v>
      </c>
      <c r="P15" s="17"/>
      <c r="Q15" s="17" t="s">
        <v>30</v>
      </c>
      <c r="R15" s="17" t="s">
        <v>49</v>
      </c>
      <c r="S15" s="30" t="s">
        <v>92</v>
      </c>
      <c r="T15" s="31"/>
      <c r="U15" s="31"/>
      <c r="V15" s="31"/>
      <c r="W15" s="31"/>
      <c r="X15" s="31"/>
      <c r="Y15" s="31"/>
      <c r="Z15" s="31"/>
      <c r="AA15" s="31"/>
      <c r="AB15" s="3"/>
      <c r="AC15" s="3"/>
      <c r="AD15" s="3"/>
      <c r="AE15" s="3"/>
      <c r="AF15" s="3"/>
      <c r="AG15" s="3"/>
    </row>
    <row r="16">
      <c r="A16" s="12">
        <v>12.0</v>
      </c>
      <c r="B16" s="12" t="s">
        <v>93</v>
      </c>
      <c r="C16" s="12" t="s">
        <v>94</v>
      </c>
      <c r="D16" s="12" t="s">
        <v>95</v>
      </c>
      <c r="E16" s="32" t="s">
        <v>96</v>
      </c>
      <c r="F16" s="12" t="s">
        <v>97</v>
      </c>
      <c r="G16" s="33">
        <v>51.0</v>
      </c>
      <c r="H16" s="13" t="s">
        <v>39</v>
      </c>
      <c r="I16" s="14">
        <v>45987.0</v>
      </c>
      <c r="J16" s="15"/>
      <c r="K16" s="16">
        <v>926.0</v>
      </c>
      <c r="L16" s="16">
        <f>K16*24</f>
        <v>22224</v>
      </c>
      <c r="M16" s="17" t="s">
        <v>58</v>
      </c>
      <c r="N16" s="17" t="s">
        <v>29</v>
      </c>
      <c r="O16" s="17"/>
      <c r="P16" s="18"/>
      <c r="Q16" s="17" t="s">
        <v>98</v>
      </c>
      <c r="R16" s="17" t="s">
        <v>99</v>
      </c>
      <c r="S16" s="26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>
      <c r="A17" s="12">
        <v>13.0</v>
      </c>
      <c r="B17" s="12" t="s">
        <v>100</v>
      </c>
      <c r="C17" s="12" t="s">
        <v>101</v>
      </c>
      <c r="D17" s="12" t="s">
        <v>102</v>
      </c>
      <c r="E17" s="32" t="s">
        <v>103</v>
      </c>
      <c r="F17" s="12" t="s">
        <v>104</v>
      </c>
      <c r="G17" s="33">
        <v>278.0</v>
      </c>
      <c r="H17" s="20" t="s">
        <v>39</v>
      </c>
      <c r="I17" s="14">
        <v>46008.0</v>
      </c>
      <c r="J17" s="15"/>
      <c r="K17" s="16">
        <v>3113.6</v>
      </c>
      <c r="L17" s="16">
        <v>74726.4</v>
      </c>
      <c r="M17" s="17" t="s">
        <v>58</v>
      </c>
      <c r="N17" s="17" t="s">
        <v>29</v>
      </c>
      <c r="O17" s="17"/>
      <c r="P17" s="26"/>
      <c r="Q17" s="17" t="s">
        <v>73</v>
      </c>
      <c r="R17" s="17" t="s">
        <v>99</v>
      </c>
      <c r="S17" s="26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>
      <c r="A18" s="12">
        <v>14.0</v>
      </c>
      <c r="B18" s="19" t="s">
        <v>105</v>
      </c>
      <c r="C18" s="19" t="s">
        <v>106</v>
      </c>
      <c r="D18" s="19" t="s">
        <v>107</v>
      </c>
      <c r="E18" s="34" t="s">
        <v>108</v>
      </c>
      <c r="F18" s="35" t="s">
        <v>109</v>
      </c>
      <c r="G18" s="36">
        <v>11.0</v>
      </c>
      <c r="H18" s="20" t="s">
        <v>39</v>
      </c>
      <c r="I18" s="21">
        <v>45972.0</v>
      </c>
      <c r="J18" s="21"/>
      <c r="K18" s="22">
        <v>180.5</v>
      </c>
      <c r="L18" s="22">
        <f>K18*12</f>
        <v>2166</v>
      </c>
      <c r="M18" s="23" t="s">
        <v>28</v>
      </c>
      <c r="N18" s="20" t="s">
        <v>29</v>
      </c>
      <c r="O18" s="20"/>
      <c r="P18" s="20"/>
      <c r="Q18" s="23" t="s">
        <v>30</v>
      </c>
      <c r="R18" s="20" t="s">
        <v>110</v>
      </c>
      <c r="S18" s="23" t="s">
        <v>111</v>
      </c>
      <c r="T18" s="24"/>
      <c r="U18" s="24"/>
      <c r="V18" s="24"/>
      <c r="W18" s="24"/>
      <c r="X18" s="24"/>
      <c r="Y18" s="24"/>
      <c r="Z18" s="3"/>
      <c r="AA18" s="3"/>
      <c r="AB18" s="3"/>
      <c r="AC18" s="3"/>
      <c r="AD18" s="3"/>
      <c r="AE18" s="3"/>
      <c r="AF18" s="3"/>
      <c r="AG18" s="3"/>
    </row>
    <row r="19">
      <c r="A19" s="12">
        <v>15.0</v>
      </c>
      <c r="B19" s="37" t="s">
        <v>112</v>
      </c>
      <c r="C19" s="37" t="s">
        <v>113</v>
      </c>
      <c r="D19" s="19" t="s">
        <v>114</v>
      </c>
      <c r="E19" s="34" t="s">
        <v>115</v>
      </c>
      <c r="F19" s="38" t="s">
        <v>116</v>
      </c>
      <c r="G19" s="36">
        <v>1347.0</v>
      </c>
      <c r="H19" s="20" t="s">
        <v>39</v>
      </c>
      <c r="I19" s="21">
        <v>45975.0</v>
      </c>
      <c r="J19" s="21"/>
      <c r="K19" s="22">
        <v>10776.0</v>
      </c>
      <c r="L19" s="22">
        <f t="shared" ref="L19:L24" si="2">K19*24</f>
        <v>258624</v>
      </c>
      <c r="M19" s="20" t="s">
        <v>58</v>
      </c>
      <c r="N19" s="20" t="s">
        <v>29</v>
      </c>
      <c r="O19" s="20"/>
      <c r="P19" s="20"/>
      <c r="Q19" s="23" t="s">
        <v>30</v>
      </c>
      <c r="R19" s="20" t="s">
        <v>110</v>
      </c>
      <c r="S19" s="23" t="s">
        <v>117</v>
      </c>
      <c r="T19" s="24"/>
      <c r="U19" s="24"/>
      <c r="V19" s="24"/>
      <c r="W19" s="24"/>
      <c r="X19" s="24"/>
      <c r="Y19" s="24"/>
      <c r="Z19" s="3"/>
      <c r="AA19" s="3"/>
      <c r="AB19" s="3"/>
      <c r="AC19" s="3"/>
      <c r="AD19" s="3"/>
      <c r="AE19" s="3"/>
      <c r="AF19" s="3"/>
      <c r="AG19" s="3"/>
    </row>
    <row r="20">
      <c r="A20" s="12">
        <v>16.0</v>
      </c>
      <c r="B20" s="19" t="s">
        <v>118</v>
      </c>
      <c r="C20" s="19" t="s">
        <v>119</v>
      </c>
      <c r="D20" s="12" t="s">
        <v>120</v>
      </c>
      <c r="E20" s="32" t="s">
        <v>121</v>
      </c>
      <c r="F20" s="35" t="s">
        <v>122</v>
      </c>
      <c r="G20" s="36">
        <v>90.0</v>
      </c>
      <c r="H20" s="20" t="s">
        <v>123</v>
      </c>
      <c r="I20" s="21">
        <v>46000.0</v>
      </c>
      <c r="J20" s="21"/>
      <c r="K20" s="22">
        <v>1326.6</v>
      </c>
      <c r="L20" s="22">
        <f t="shared" si="2"/>
        <v>31838.4</v>
      </c>
      <c r="M20" s="20" t="s">
        <v>58</v>
      </c>
      <c r="N20" s="20" t="s">
        <v>29</v>
      </c>
      <c r="O20" s="20"/>
      <c r="P20" s="20"/>
      <c r="Q20" s="20" t="s">
        <v>30</v>
      </c>
      <c r="R20" s="20" t="s">
        <v>110</v>
      </c>
      <c r="S20" s="23" t="s">
        <v>117</v>
      </c>
      <c r="T20" s="24"/>
      <c r="U20" s="24"/>
      <c r="V20" s="24"/>
      <c r="W20" s="24"/>
      <c r="X20" s="24"/>
      <c r="Y20" s="24"/>
      <c r="Z20" s="3"/>
      <c r="AA20" s="3"/>
      <c r="AB20" s="3"/>
      <c r="AC20" s="3"/>
      <c r="AD20" s="3"/>
      <c r="AE20" s="3"/>
      <c r="AF20" s="3"/>
      <c r="AG20" s="3"/>
    </row>
    <row r="21">
      <c r="A21" s="12">
        <v>17.0</v>
      </c>
      <c r="B21" s="12" t="s">
        <v>124</v>
      </c>
      <c r="C21" s="12" t="s">
        <v>125</v>
      </c>
      <c r="D21" s="12" t="s">
        <v>126</v>
      </c>
      <c r="E21" s="32" t="s">
        <v>127</v>
      </c>
      <c r="F21" s="12" t="s">
        <v>128</v>
      </c>
      <c r="G21" s="33">
        <v>2.0</v>
      </c>
      <c r="H21" s="13" t="s">
        <v>39</v>
      </c>
      <c r="I21" s="14">
        <v>45992.0</v>
      </c>
      <c r="J21" s="15"/>
      <c r="K21" s="16">
        <v>100.63</v>
      </c>
      <c r="L21" s="25">
        <f t="shared" si="2"/>
        <v>2415.12</v>
      </c>
      <c r="M21" s="17" t="s">
        <v>71</v>
      </c>
      <c r="N21" s="17" t="s">
        <v>29</v>
      </c>
      <c r="O21" s="17" t="s">
        <v>72</v>
      </c>
      <c r="P21" s="17">
        <v>1949.0</v>
      </c>
      <c r="Q21" s="17" t="s">
        <v>73</v>
      </c>
      <c r="R21" s="17" t="s">
        <v>129</v>
      </c>
      <c r="S21" s="26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>
      <c r="A22" s="12">
        <v>18.0</v>
      </c>
      <c r="B22" s="12" t="s">
        <v>130</v>
      </c>
      <c r="C22" s="12" t="s">
        <v>131</v>
      </c>
      <c r="D22" s="12" t="s">
        <v>132</v>
      </c>
      <c r="E22" s="32" t="s">
        <v>127</v>
      </c>
      <c r="F22" s="12" t="s">
        <v>128</v>
      </c>
      <c r="G22" s="33">
        <v>6.0</v>
      </c>
      <c r="H22" s="13" t="s">
        <v>39</v>
      </c>
      <c r="I22" s="14">
        <v>45992.0</v>
      </c>
      <c r="J22" s="15"/>
      <c r="K22" s="16">
        <v>132.3</v>
      </c>
      <c r="L22" s="25">
        <f t="shared" si="2"/>
        <v>3175.2</v>
      </c>
      <c r="M22" s="17" t="s">
        <v>71</v>
      </c>
      <c r="N22" s="17" t="s">
        <v>29</v>
      </c>
      <c r="O22" s="17" t="s">
        <v>72</v>
      </c>
      <c r="P22" s="17">
        <v>1966.0</v>
      </c>
      <c r="Q22" s="17" t="s">
        <v>73</v>
      </c>
      <c r="R22" s="17" t="s">
        <v>129</v>
      </c>
      <c r="S22" s="26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>
      <c r="A23" s="12">
        <v>19.0</v>
      </c>
      <c r="B23" s="12" t="s">
        <v>133</v>
      </c>
      <c r="C23" s="12" t="s">
        <v>134</v>
      </c>
      <c r="D23" s="12" t="s">
        <v>135</v>
      </c>
      <c r="E23" s="32" t="s">
        <v>127</v>
      </c>
      <c r="F23" s="12" t="s">
        <v>128</v>
      </c>
      <c r="G23" s="33">
        <v>1.0</v>
      </c>
      <c r="H23" s="13" t="s">
        <v>39</v>
      </c>
      <c r="I23" s="14">
        <v>45992.0</v>
      </c>
      <c r="J23" s="15"/>
      <c r="K23" s="16">
        <v>95.43</v>
      </c>
      <c r="L23" s="25">
        <f t="shared" si="2"/>
        <v>2290.32</v>
      </c>
      <c r="M23" s="17" t="s">
        <v>71</v>
      </c>
      <c r="N23" s="17" t="s">
        <v>29</v>
      </c>
      <c r="O23" s="17" t="s">
        <v>72</v>
      </c>
      <c r="P23" s="17">
        <v>1954.0</v>
      </c>
      <c r="Q23" s="17" t="s">
        <v>73</v>
      </c>
      <c r="R23" s="17" t="s">
        <v>129</v>
      </c>
      <c r="S23" s="26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>
      <c r="A24" s="12">
        <v>20.0</v>
      </c>
      <c r="B24" s="12" t="s">
        <v>136</v>
      </c>
      <c r="C24" s="12" t="s">
        <v>137</v>
      </c>
      <c r="D24" s="12" t="s">
        <v>126</v>
      </c>
      <c r="E24" s="32" t="s">
        <v>127</v>
      </c>
      <c r="F24" s="12" t="s">
        <v>128</v>
      </c>
      <c r="G24" s="33">
        <v>1.0</v>
      </c>
      <c r="H24" s="13" t="s">
        <v>39</v>
      </c>
      <c r="I24" s="14">
        <v>45992.0</v>
      </c>
      <c r="J24" s="15"/>
      <c r="K24" s="16">
        <v>95.43</v>
      </c>
      <c r="L24" s="25">
        <f t="shared" si="2"/>
        <v>2290.32</v>
      </c>
      <c r="M24" s="17" t="s">
        <v>71</v>
      </c>
      <c r="N24" s="17" t="s">
        <v>29</v>
      </c>
      <c r="O24" s="17" t="s">
        <v>72</v>
      </c>
      <c r="P24" s="17">
        <v>1953.0</v>
      </c>
      <c r="Q24" s="17" t="s">
        <v>73</v>
      </c>
      <c r="R24" s="17" t="s">
        <v>129</v>
      </c>
      <c r="S24" s="26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>
      <c r="A25" s="12">
        <v>21.0</v>
      </c>
      <c r="B25" s="39" t="s">
        <v>138</v>
      </c>
      <c r="C25" s="12" t="s">
        <v>139</v>
      </c>
      <c r="D25" s="12" t="s">
        <v>140</v>
      </c>
      <c r="E25" s="32" t="s">
        <v>141</v>
      </c>
      <c r="F25" s="40" t="s">
        <v>142</v>
      </c>
      <c r="G25" s="33">
        <v>3.0</v>
      </c>
      <c r="H25" s="13" t="s">
        <v>48</v>
      </c>
      <c r="I25" s="14">
        <v>45995.0</v>
      </c>
      <c r="J25" s="14">
        <v>46051.0</v>
      </c>
      <c r="K25" s="16">
        <v>115.0</v>
      </c>
      <c r="L25" s="25">
        <f>K25*12</f>
        <v>1380</v>
      </c>
      <c r="M25" s="17" t="s">
        <v>71</v>
      </c>
      <c r="N25" s="17" t="s">
        <v>29</v>
      </c>
      <c r="O25" s="17" t="s">
        <v>72</v>
      </c>
      <c r="P25" s="17">
        <v>2071.0</v>
      </c>
      <c r="Q25" s="17" t="s">
        <v>73</v>
      </c>
      <c r="R25" s="17" t="s">
        <v>129</v>
      </c>
      <c r="S25" s="26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>
      <c r="A26" s="12">
        <v>22.0</v>
      </c>
      <c r="B26" s="12" t="s">
        <v>143</v>
      </c>
      <c r="C26" s="12" t="s">
        <v>144</v>
      </c>
      <c r="D26" s="12" t="s">
        <v>145</v>
      </c>
      <c r="E26" s="12" t="s">
        <v>146</v>
      </c>
      <c r="F26" s="12" t="s">
        <v>147</v>
      </c>
      <c r="G26" s="12">
        <v>4.0</v>
      </c>
      <c r="H26" s="13" t="s">
        <v>65</v>
      </c>
      <c r="I26" s="14">
        <v>46027.0</v>
      </c>
      <c r="J26" s="14">
        <v>46028.0</v>
      </c>
      <c r="K26" s="16">
        <v>120.88</v>
      </c>
      <c r="L26" s="25">
        <f>K26*24</f>
        <v>2901.12</v>
      </c>
      <c r="M26" s="23" t="s">
        <v>71</v>
      </c>
      <c r="N26" s="23" t="s">
        <v>29</v>
      </c>
      <c r="O26" s="23" t="s">
        <v>72</v>
      </c>
      <c r="P26" s="13">
        <v>1877.0</v>
      </c>
      <c r="Q26" s="23" t="s">
        <v>73</v>
      </c>
      <c r="R26" s="23" t="s">
        <v>148</v>
      </c>
      <c r="S26" s="26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>
      <c r="A27" s="12">
        <v>23.0</v>
      </c>
      <c r="B27" s="12" t="s">
        <v>149</v>
      </c>
      <c r="C27" s="12" t="s">
        <v>150</v>
      </c>
      <c r="D27" s="12" t="s">
        <v>151</v>
      </c>
      <c r="E27" s="32" t="s">
        <v>152</v>
      </c>
      <c r="F27" s="12" t="s">
        <v>153</v>
      </c>
      <c r="G27" s="33">
        <v>984.0</v>
      </c>
      <c r="H27" s="13" t="s">
        <v>154</v>
      </c>
      <c r="I27" s="14">
        <v>45989.0</v>
      </c>
      <c r="J27" s="15"/>
      <c r="K27" s="16" t="s">
        <v>57</v>
      </c>
      <c r="L27" s="16">
        <v>7026.0</v>
      </c>
      <c r="M27" s="17" t="s">
        <v>28</v>
      </c>
      <c r="N27" s="17" t="s">
        <v>29</v>
      </c>
      <c r="O27" s="17"/>
      <c r="P27" s="18"/>
      <c r="Q27" s="17" t="s">
        <v>30</v>
      </c>
      <c r="R27" s="17" t="s">
        <v>148</v>
      </c>
      <c r="S27" s="13" t="s">
        <v>155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>
      <c r="A28" s="12">
        <v>24.0</v>
      </c>
      <c r="B28" s="12" t="s">
        <v>156</v>
      </c>
      <c r="C28" s="12" t="s">
        <v>157</v>
      </c>
      <c r="D28" s="12" t="s">
        <v>158</v>
      </c>
      <c r="E28" s="32" t="s">
        <v>159</v>
      </c>
      <c r="F28" s="12" t="s">
        <v>160</v>
      </c>
      <c r="G28" s="33">
        <v>9.0</v>
      </c>
      <c r="H28" s="13" t="s">
        <v>65</v>
      </c>
      <c r="I28" s="14">
        <v>46002.0</v>
      </c>
      <c r="J28" s="15"/>
      <c r="K28" s="16">
        <v>161.38</v>
      </c>
      <c r="L28" s="25">
        <f t="shared" ref="L28:L30" si="3">K28*24</f>
        <v>3873.12</v>
      </c>
      <c r="M28" s="17" t="s">
        <v>28</v>
      </c>
      <c r="N28" s="17" t="s">
        <v>29</v>
      </c>
      <c r="O28" s="17" t="s">
        <v>40</v>
      </c>
      <c r="P28" s="26"/>
      <c r="Q28" s="17" t="s">
        <v>30</v>
      </c>
      <c r="R28" s="17" t="s">
        <v>148</v>
      </c>
      <c r="S28" s="26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>
      <c r="A29" s="12">
        <v>25.0</v>
      </c>
      <c r="B29" s="12" t="s">
        <v>161</v>
      </c>
      <c r="C29" s="12" t="s">
        <v>162</v>
      </c>
      <c r="D29" s="12" t="s">
        <v>163</v>
      </c>
      <c r="E29" s="32" t="s">
        <v>164</v>
      </c>
      <c r="F29" s="12" t="s">
        <v>165</v>
      </c>
      <c r="G29" s="33">
        <v>18.0</v>
      </c>
      <c r="H29" s="13" t="s">
        <v>65</v>
      </c>
      <c r="I29" s="14">
        <v>46003.0</v>
      </c>
      <c r="J29" s="14">
        <v>46045.0</v>
      </c>
      <c r="K29" s="16">
        <v>274.22</v>
      </c>
      <c r="L29" s="25">
        <f t="shared" si="3"/>
        <v>6581.28</v>
      </c>
      <c r="M29" s="17" t="s">
        <v>71</v>
      </c>
      <c r="N29" s="17" t="s">
        <v>29</v>
      </c>
      <c r="O29" s="17" t="s">
        <v>72</v>
      </c>
      <c r="P29" s="13">
        <v>2052.0</v>
      </c>
      <c r="Q29" s="17" t="s">
        <v>73</v>
      </c>
      <c r="R29" s="17" t="s">
        <v>148</v>
      </c>
      <c r="S29" s="26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>
      <c r="A30" s="12">
        <v>26.0</v>
      </c>
      <c r="B30" s="12" t="s">
        <v>166</v>
      </c>
      <c r="C30" s="12" t="s">
        <v>167</v>
      </c>
      <c r="D30" s="12" t="s">
        <v>168</v>
      </c>
      <c r="E30" s="32" t="s">
        <v>169</v>
      </c>
      <c r="F30" s="12" t="s">
        <v>170</v>
      </c>
      <c r="G30" s="33">
        <v>4.0</v>
      </c>
      <c r="H30" s="13" t="s">
        <v>65</v>
      </c>
      <c r="I30" s="14">
        <v>46013.0</v>
      </c>
      <c r="J30" s="15"/>
      <c r="K30" s="16">
        <v>115.0</v>
      </c>
      <c r="L30" s="25">
        <f t="shared" si="3"/>
        <v>2760</v>
      </c>
      <c r="M30" s="23" t="s">
        <v>28</v>
      </c>
      <c r="N30" s="20" t="s">
        <v>29</v>
      </c>
      <c r="O30" s="23"/>
      <c r="P30" s="26"/>
      <c r="Q30" s="23" t="s">
        <v>41</v>
      </c>
      <c r="R30" s="23" t="s">
        <v>148</v>
      </c>
      <c r="S30" s="26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>
      <c r="A31" s="12">
        <v>27.0</v>
      </c>
      <c r="B31" s="12" t="s">
        <v>171</v>
      </c>
      <c r="C31" s="12" t="s">
        <v>172</v>
      </c>
      <c r="D31" s="12" t="s">
        <v>173</v>
      </c>
      <c r="E31" s="12" t="s">
        <v>174</v>
      </c>
      <c r="F31" s="12" t="s">
        <v>175</v>
      </c>
      <c r="G31" s="12">
        <v>978.0</v>
      </c>
      <c r="H31" s="13" t="s">
        <v>65</v>
      </c>
      <c r="I31" s="14">
        <v>46028.0</v>
      </c>
      <c r="J31" s="15"/>
      <c r="K31" s="16">
        <v>13868.04</v>
      </c>
      <c r="L31" s="25">
        <v>332832.96</v>
      </c>
      <c r="M31" s="23" t="s">
        <v>28</v>
      </c>
      <c r="N31" s="23" t="s">
        <v>29</v>
      </c>
      <c r="O31" s="23"/>
      <c r="P31" s="26"/>
      <c r="Q31" s="23" t="s">
        <v>30</v>
      </c>
      <c r="R31" s="23" t="s">
        <v>49</v>
      </c>
      <c r="S31" s="28" t="s">
        <v>176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>
      <c r="A32" s="12">
        <v>28.0</v>
      </c>
      <c r="B32" s="12" t="s">
        <v>177</v>
      </c>
      <c r="C32" s="12" t="s">
        <v>178</v>
      </c>
      <c r="D32" s="41" t="s">
        <v>179</v>
      </c>
      <c r="E32" s="42" t="s">
        <v>180</v>
      </c>
      <c r="F32" s="43" t="s">
        <v>181</v>
      </c>
      <c r="G32" s="12">
        <v>15.0</v>
      </c>
      <c r="H32" s="13" t="s">
        <v>65</v>
      </c>
      <c r="I32" s="14">
        <v>46029.0</v>
      </c>
      <c r="J32" s="15"/>
      <c r="K32" s="16">
        <v>239.96</v>
      </c>
      <c r="L32" s="25">
        <f>K32*24</f>
        <v>5759.04</v>
      </c>
      <c r="M32" s="23" t="s">
        <v>58</v>
      </c>
      <c r="N32" s="23" t="s">
        <v>29</v>
      </c>
      <c r="O32" s="23" t="s">
        <v>40</v>
      </c>
      <c r="P32" s="26"/>
      <c r="Q32" s="23" t="s">
        <v>30</v>
      </c>
      <c r="R32" s="23" t="s">
        <v>110</v>
      </c>
      <c r="S32" s="23" t="s">
        <v>117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>
      <c r="A33" s="12">
        <v>29.0</v>
      </c>
      <c r="B33" s="12" t="s">
        <v>182</v>
      </c>
      <c r="C33" s="12" t="s">
        <v>183</v>
      </c>
      <c r="D33" s="12" t="s">
        <v>184</v>
      </c>
      <c r="E33" s="12" t="s">
        <v>185</v>
      </c>
      <c r="F33" s="12" t="s">
        <v>186</v>
      </c>
      <c r="G33" s="12">
        <v>90.0</v>
      </c>
      <c r="H33" s="13" t="s">
        <v>65</v>
      </c>
      <c r="I33" s="14">
        <v>46029.0</v>
      </c>
      <c r="J33" s="15"/>
      <c r="K33" s="44">
        <v>857.5</v>
      </c>
      <c r="L33" s="25">
        <f t="shared" ref="L33:L34" si="4">K33*12</f>
        <v>10290</v>
      </c>
      <c r="M33" s="23" t="s">
        <v>28</v>
      </c>
      <c r="N33" s="23" t="s">
        <v>29</v>
      </c>
      <c r="O33" s="23" t="s">
        <v>40</v>
      </c>
      <c r="P33" s="26"/>
      <c r="Q33" s="23" t="s">
        <v>30</v>
      </c>
      <c r="R33" s="23" t="s">
        <v>110</v>
      </c>
      <c r="S33" s="13" t="s">
        <v>187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>
      <c r="A34" s="12">
        <v>30.0</v>
      </c>
      <c r="B34" s="45" t="s">
        <v>188</v>
      </c>
      <c r="C34" s="45" t="s">
        <v>189</v>
      </c>
      <c r="D34" s="45" t="s">
        <v>190</v>
      </c>
      <c r="E34" s="45">
        <f>5511999304725</f>
        <v>5511999304725</v>
      </c>
      <c r="F34" s="45" t="s">
        <v>191</v>
      </c>
      <c r="G34" s="45">
        <v>1.0</v>
      </c>
      <c r="H34" s="46" t="s">
        <v>192</v>
      </c>
      <c r="I34" s="47">
        <v>46000.0</v>
      </c>
      <c r="J34" s="47">
        <v>46044.0</v>
      </c>
      <c r="K34" s="22">
        <v>385.5</v>
      </c>
      <c r="L34" s="22">
        <f t="shared" si="4"/>
        <v>4626</v>
      </c>
      <c r="M34" s="46" t="s">
        <v>71</v>
      </c>
      <c r="N34" s="46" t="s">
        <v>29</v>
      </c>
      <c r="O34" s="46" t="s">
        <v>72</v>
      </c>
      <c r="P34" s="46">
        <v>2037.0</v>
      </c>
      <c r="Q34" s="46" t="s">
        <v>30</v>
      </c>
      <c r="R34" s="46" t="s">
        <v>110</v>
      </c>
      <c r="S34" s="46" t="s">
        <v>193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>
      <c r="A35" s="12">
        <v>31.0</v>
      </c>
      <c r="B35" s="12" t="s">
        <v>194</v>
      </c>
      <c r="C35" s="48" t="s">
        <v>195</v>
      </c>
      <c r="D35" s="12" t="s">
        <v>196</v>
      </c>
      <c r="E35" s="12" t="s">
        <v>197</v>
      </c>
      <c r="F35" s="12" t="s">
        <v>198</v>
      </c>
      <c r="G35" s="12">
        <v>10.0</v>
      </c>
      <c r="H35" s="13" t="s">
        <v>65</v>
      </c>
      <c r="I35" s="14">
        <v>46029.0</v>
      </c>
      <c r="J35" s="14">
        <v>46038.0</v>
      </c>
      <c r="K35" s="16">
        <v>157.87</v>
      </c>
      <c r="L35" s="25">
        <f>K35*24</f>
        <v>3788.88</v>
      </c>
      <c r="M35" s="23" t="s">
        <v>71</v>
      </c>
      <c r="N35" s="23" t="s">
        <v>29</v>
      </c>
      <c r="O35" s="23" t="s">
        <v>72</v>
      </c>
      <c r="P35" s="13">
        <v>1980.0</v>
      </c>
      <c r="Q35" s="23" t="s">
        <v>41</v>
      </c>
      <c r="R35" s="23" t="s">
        <v>148</v>
      </c>
      <c r="S35" s="26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>
      <c r="A36" s="12">
        <v>32.0</v>
      </c>
      <c r="B36" s="12" t="s">
        <v>199</v>
      </c>
      <c r="C36" s="12" t="s">
        <v>200</v>
      </c>
      <c r="D36" s="12" t="s">
        <v>201</v>
      </c>
      <c r="E36" s="12" t="s">
        <v>202</v>
      </c>
      <c r="F36" s="12" t="s">
        <v>203</v>
      </c>
      <c r="G36" s="12">
        <v>45.0</v>
      </c>
      <c r="H36" s="13" t="s">
        <v>65</v>
      </c>
      <c r="I36" s="14">
        <v>45665.0</v>
      </c>
      <c r="J36" s="14">
        <v>46052.0</v>
      </c>
      <c r="K36" s="16">
        <v>906.3</v>
      </c>
      <c r="L36" s="16">
        <v>10875.6</v>
      </c>
      <c r="M36" s="23" t="s">
        <v>58</v>
      </c>
      <c r="N36" s="23" t="s">
        <v>29</v>
      </c>
      <c r="O36" s="23" t="s">
        <v>40</v>
      </c>
      <c r="P36" s="26"/>
      <c r="Q36" s="23" t="s">
        <v>98</v>
      </c>
      <c r="R36" s="23" t="s">
        <v>99</v>
      </c>
      <c r="S36" s="26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>
      <c r="A37" s="12">
        <v>33.0</v>
      </c>
      <c r="B37" s="12" t="s">
        <v>199</v>
      </c>
      <c r="C37" s="12" t="s">
        <v>200</v>
      </c>
      <c r="D37" s="12" t="s">
        <v>201</v>
      </c>
      <c r="E37" s="12" t="s">
        <v>202</v>
      </c>
      <c r="F37" s="12" t="s">
        <v>203</v>
      </c>
      <c r="G37" s="12" t="s">
        <v>26</v>
      </c>
      <c r="H37" s="13" t="s">
        <v>204</v>
      </c>
      <c r="I37" s="14">
        <v>45665.0</v>
      </c>
      <c r="J37" s="15"/>
      <c r="K37" s="16" t="s">
        <v>57</v>
      </c>
      <c r="L37" s="16">
        <v>7800.0</v>
      </c>
      <c r="M37" s="23" t="s">
        <v>58</v>
      </c>
      <c r="N37" s="23" t="s">
        <v>29</v>
      </c>
      <c r="O37" s="23" t="s">
        <v>40</v>
      </c>
      <c r="P37" s="26"/>
      <c r="Q37" s="23" t="s">
        <v>98</v>
      </c>
      <c r="R37" s="23" t="s">
        <v>99</v>
      </c>
      <c r="S37" s="26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>
      <c r="A38" s="12">
        <v>34.0</v>
      </c>
      <c r="B38" s="45" t="s">
        <v>205</v>
      </c>
      <c r="C38" s="45" t="s">
        <v>206</v>
      </c>
      <c r="D38" s="45" t="s">
        <v>207</v>
      </c>
      <c r="E38" s="45" t="s">
        <v>208</v>
      </c>
      <c r="F38" s="45" t="s">
        <v>209</v>
      </c>
      <c r="G38" s="45">
        <v>1.0</v>
      </c>
      <c r="H38" s="46" t="s">
        <v>210</v>
      </c>
      <c r="I38" s="47">
        <v>46029.0</v>
      </c>
      <c r="J38" s="47">
        <v>46029.0</v>
      </c>
      <c r="K38" s="22" t="s">
        <v>211</v>
      </c>
      <c r="L38" s="22">
        <v>1500.0</v>
      </c>
      <c r="M38" s="46" t="s">
        <v>71</v>
      </c>
      <c r="N38" s="46" t="s">
        <v>29</v>
      </c>
      <c r="O38" s="46" t="s">
        <v>72</v>
      </c>
      <c r="P38" s="46">
        <v>1902.0</v>
      </c>
      <c r="Q38" s="46" t="s">
        <v>30</v>
      </c>
      <c r="R38" s="46" t="s">
        <v>110</v>
      </c>
      <c r="S38" s="46" t="s">
        <v>193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>
      <c r="A39" s="12">
        <v>35.0</v>
      </c>
      <c r="B39" s="45" t="s">
        <v>212</v>
      </c>
      <c r="C39" s="45" t="s">
        <v>213</v>
      </c>
      <c r="D39" s="45" t="s">
        <v>214</v>
      </c>
      <c r="E39" s="45">
        <v>1.1995309898E10</v>
      </c>
      <c r="F39" s="45" t="s">
        <v>215</v>
      </c>
      <c r="G39" s="45">
        <v>2.0</v>
      </c>
      <c r="H39" s="46" t="s">
        <v>123</v>
      </c>
      <c r="I39" s="21">
        <v>46034.0</v>
      </c>
      <c r="J39" s="21"/>
      <c r="K39" s="22">
        <v>110.5</v>
      </c>
      <c r="L39" s="22">
        <f t="shared" ref="L39:L41" si="5">K39*24</f>
        <v>2652</v>
      </c>
      <c r="M39" s="23" t="s">
        <v>28</v>
      </c>
      <c r="N39" s="20" t="s">
        <v>29</v>
      </c>
      <c r="O39" s="23" t="s">
        <v>40</v>
      </c>
      <c r="P39" s="20"/>
      <c r="Q39" s="23" t="s">
        <v>30</v>
      </c>
      <c r="R39" s="46" t="s">
        <v>110</v>
      </c>
      <c r="S39" s="20"/>
      <c r="T39" s="24"/>
      <c r="U39" s="24"/>
      <c r="V39" s="24"/>
      <c r="W39" s="24"/>
      <c r="X39" s="24"/>
      <c r="Y39" s="24"/>
      <c r="Z39" s="3"/>
      <c r="AA39" s="3"/>
      <c r="AB39" s="3"/>
      <c r="AC39" s="3"/>
      <c r="AD39" s="3"/>
      <c r="AE39" s="3"/>
      <c r="AF39" s="3"/>
      <c r="AG39" s="3"/>
    </row>
    <row r="40">
      <c r="A40" s="12">
        <v>36.0</v>
      </c>
      <c r="B40" s="45" t="s">
        <v>216</v>
      </c>
      <c r="C40" s="45" t="s">
        <v>217</v>
      </c>
      <c r="D40" s="45" t="s">
        <v>218</v>
      </c>
      <c r="E40" s="12">
        <v>1.1963337448E10</v>
      </c>
      <c r="F40" s="49" t="s">
        <v>219</v>
      </c>
      <c r="G40" s="45">
        <v>1.0</v>
      </c>
      <c r="H40" s="46" t="s">
        <v>123</v>
      </c>
      <c r="I40" s="21">
        <v>46010.0</v>
      </c>
      <c r="J40" s="21"/>
      <c r="K40" s="22">
        <v>110.5</v>
      </c>
      <c r="L40" s="22">
        <f t="shared" si="5"/>
        <v>2652</v>
      </c>
      <c r="M40" s="23" t="s">
        <v>28</v>
      </c>
      <c r="N40" s="20" t="s">
        <v>29</v>
      </c>
      <c r="O40" s="23" t="s">
        <v>40</v>
      </c>
      <c r="P40" s="20"/>
      <c r="Q40" s="23" t="s">
        <v>30</v>
      </c>
      <c r="R40" s="46" t="s">
        <v>110</v>
      </c>
      <c r="S40" s="20"/>
      <c r="T40" s="24"/>
      <c r="U40" s="24"/>
      <c r="V40" s="24"/>
      <c r="W40" s="24"/>
      <c r="X40" s="24"/>
      <c r="Y40" s="24"/>
      <c r="Z40" s="3"/>
      <c r="AA40" s="3"/>
      <c r="AB40" s="3"/>
      <c r="AC40" s="3"/>
      <c r="AD40" s="3"/>
      <c r="AE40" s="3"/>
      <c r="AF40" s="3"/>
      <c r="AG40" s="3"/>
    </row>
    <row r="41">
      <c r="A41" s="12">
        <v>37.0</v>
      </c>
      <c r="B41" s="45" t="s">
        <v>220</v>
      </c>
      <c r="C41" s="45" t="s">
        <v>221</v>
      </c>
      <c r="D41" s="45" t="s">
        <v>23</v>
      </c>
      <c r="E41" s="45" t="s">
        <v>222</v>
      </c>
      <c r="F41" s="45" t="s">
        <v>223</v>
      </c>
      <c r="G41" s="45">
        <v>15.0</v>
      </c>
      <c r="H41" s="46" t="s">
        <v>123</v>
      </c>
      <c r="I41" s="47">
        <v>46031.0</v>
      </c>
      <c r="J41" s="47">
        <v>46034.0</v>
      </c>
      <c r="K41" s="22">
        <v>240.0</v>
      </c>
      <c r="L41" s="22">
        <f t="shared" si="5"/>
        <v>5760</v>
      </c>
      <c r="M41" s="46" t="s">
        <v>71</v>
      </c>
      <c r="N41" s="46" t="s">
        <v>29</v>
      </c>
      <c r="O41" s="46" t="s">
        <v>72</v>
      </c>
      <c r="P41" s="46">
        <v>1946.0</v>
      </c>
      <c r="Q41" s="46" t="s">
        <v>30</v>
      </c>
      <c r="R41" s="46" t="s">
        <v>110</v>
      </c>
      <c r="S41" s="46" t="s">
        <v>193</v>
      </c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>
      <c r="A42" s="12">
        <v>38.0</v>
      </c>
      <c r="B42" s="45" t="s">
        <v>224</v>
      </c>
      <c r="C42" s="50" t="s">
        <v>225</v>
      </c>
      <c r="D42" s="45" t="s">
        <v>226</v>
      </c>
      <c r="E42" s="45">
        <v>1.1961866642E10</v>
      </c>
      <c r="F42" s="45" t="s">
        <v>227</v>
      </c>
      <c r="G42" s="45">
        <v>30.0</v>
      </c>
      <c r="H42" s="46" t="s">
        <v>123</v>
      </c>
      <c r="I42" s="47">
        <v>46034.0</v>
      </c>
      <c r="J42" s="47">
        <v>46044.0</v>
      </c>
      <c r="K42" s="22">
        <v>385.5</v>
      </c>
      <c r="L42" s="22">
        <f t="shared" ref="L42:L43" si="6">K42*12</f>
        <v>4626</v>
      </c>
      <c r="M42" s="46" t="s">
        <v>71</v>
      </c>
      <c r="N42" s="46" t="s">
        <v>29</v>
      </c>
      <c r="O42" s="46" t="s">
        <v>72</v>
      </c>
      <c r="P42" s="46">
        <v>2034.0</v>
      </c>
      <c r="Q42" s="23" t="s">
        <v>30</v>
      </c>
      <c r="R42" s="46" t="s">
        <v>110</v>
      </c>
      <c r="S42" s="46" t="s">
        <v>193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>
      <c r="A43" s="12">
        <v>39.0</v>
      </c>
      <c r="B43" s="41" t="s">
        <v>228</v>
      </c>
      <c r="C43" s="41" t="s">
        <v>229</v>
      </c>
      <c r="D43" s="39" t="s">
        <v>230</v>
      </c>
      <c r="E43" s="39" t="s">
        <v>231</v>
      </c>
      <c r="F43" s="39" t="s">
        <v>232</v>
      </c>
      <c r="G43" s="39">
        <v>3.0</v>
      </c>
      <c r="H43" s="17" t="s">
        <v>65</v>
      </c>
      <c r="I43" s="51">
        <v>46037.0</v>
      </c>
      <c r="J43" s="51">
        <v>46041.0</v>
      </c>
      <c r="K43" s="52">
        <v>110.21</v>
      </c>
      <c r="L43" s="52">
        <f t="shared" si="6"/>
        <v>1322.52</v>
      </c>
      <c r="M43" s="53" t="s">
        <v>71</v>
      </c>
      <c r="N43" s="53" t="s">
        <v>29</v>
      </c>
      <c r="O43" s="53" t="s">
        <v>72</v>
      </c>
      <c r="P43" s="17">
        <v>1995.0</v>
      </c>
      <c r="Q43" s="53" t="s">
        <v>233</v>
      </c>
      <c r="R43" s="53" t="s">
        <v>148</v>
      </c>
      <c r="S43" s="18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</row>
    <row r="44">
      <c r="A44" s="12">
        <v>40.0</v>
      </c>
      <c r="B44" s="45" t="s">
        <v>234</v>
      </c>
      <c r="C44" s="45" t="s">
        <v>235</v>
      </c>
      <c r="D44" s="45" t="s">
        <v>236</v>
      </c>
      <c r="E44" s="45" t="s">
        <v>237</v>
      </c>
      <c r="F44" s="45" t="s">
        <v>238</v>
      </c>
      <c r="G44" s="45">
        <v>3.0</v>
      </c>
      <c r="H44" s="46" t="s">
        <v>123</v>
      </c>
      <c r="I44" s="47">
        <v>46036.0</v>
      </c>
      <c r="J44" s="47">
        <v>46036.0</v>
      </c>
      <c r="K44" s="22" t="s">
        <v>57</v>
      </c>
      <c r="L44" s="22">
        <v>1200.0</v>
      </c>
      <c r="M44" s="46" t="s">
        <v>71</v>
      </c>
      <c r="N44" s="20" t="s">
        <v>91</v>
      </c>
      <c r="O44" s="46" t="s">
        <v>72</v>
      </c>
      <c r="P44" s="46">
        <v>1978.0</v>
      </c>
      <c r="Q44" s="46" t="s">
        <v>30</v>
      </c>
      <c r="R44" s="46" t="s">
        <v>110</v>
      </c>
      <c r="S44" s="46" t="s">
        <v>193</v>
      </c>
      <c r="T44" s="24"/>
      <c r="U44" s="24"/>
      <c r="V44" s="24"/>
      <c r="W44" s="24"/>
      <c r="X44" s="24"/>
      <c r="Y44" s="24"/>
      <c r="Z44" s="3"/>
      <c r="AA44" s="3"/>
      <c r="AB44" s="3"/>
      <c r="AC44" s="3"/>
      <c r="AD44" s="3"/>
      <c r="AE44" s="3"/>
      <c r="AF44" s="3"/>
      <c r="AG44" s="3"/>
    </row>
    <row r="45">
      <c r="A45" s="12">
        <v>41.0</v>
      </c>
      <c r="B45" s="45" t="s">
        <v>239</v>
      </c>
      <c r="C45" s="45" t="s">
        <v>240</v>
      </c>
      <c r="D45" s="45" t="s">
        <v>241</v>
      </c>
      <c r="E45" s="45" t="s">
        <v>242</v>
      </c>
      <c r="F45" s="45" t="s">
        <v>243</v>
      </c>
      <c r="G45" s="45">
        <v>15.0</v>
      </c>
      <c r="H45" s="46" t="s">
        <v>123</v>
      </c>
      <c r="I45" s="47">
        <v>46036.0</v>
      </c>
      <c r="J45" s="47">
        <v>46042.0</v>
      </c>
      <c r="K45" s="22">
        <v>625.0</v>
      </c>
      <c r="L45" s="22">
        <f>K45*4</f>
        <v>2500</v>
      </c>
      <c r="M45" s="46" t="s">
        <v>71</v>
      </c>
      <c r="N45" s="20" t="s">
        <v>29</v>
      </c>
      <c r="O45" s="46" t="s">
        <v>72</v>
      </c>
      <c r="P45" s="46">
        <v>2024.0</v>
      </c>
      <c r="Q45" s="23" t="s">
        <v>30</v>
      </c>
      <c r="R45" s="46" t="s">
        <v>110</v>
      </c>
      <c r="S45" s="46" t="s">
        <v>193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>
      <c r="A46" s="12">
        <v>42.0</v>
      </c>
      <c r="B46" s="45" t="s">
        <v>244</v>
      </c>
      <c r="C46" s="45" t="s">
        <v>245</v>
      </c>
      <c r="D46" s="45" t="s">
        <v>246</v>
      </c>
      <c r="E46" s="45">
        <v>1.1966753788E10</v>
      </c>
      <c r="F46" s="49" t="s">
        <v>247</v>
      </c>
      <c r="G46" s="45">
        <v>4.0</v>
      </c>
      <c r="H46" s="46" t="s">
        <v>123</v>
      </c>
      <c r="I46" s="21">
        <v>46036.0</v>
      </c>
      <c r="J46" s="21"/>
      <c r="K46" s="22">
        <v>120.0</v>
      </c>
      <c r="L46" s="22">
        <f>K46*12</f>
        <v>1440</v>
      </c>
      <c r="M46" s="23" t="s">
        <v>28</v>
      </c>
      <c r="N46" s="20" t="s">
        <v>29</v>
      </c>
      <c r="O46" s="46"/>
      <c r="P46" s="20"/>
      <c r="Q46" s="46" t="s">
        <v>233</v>
      </c>
      <c r="R46" s="46" t="s">
        <v>110</v>
      </c>
      <c r="S46" s="23" t="s">
        <v>248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>
      <c r="A47" s="12">
        <v>43.0</v>
      </c>
      <c r="B47" s="45" t="s">
        <v>249</v>
      </c>
      <c r="C47" s="45" t="s">
        <v>250</v>
      </c>
      <c r="D47" s="45" t="s">
        <v>251</v>
      </c>
      <c r="E47" s="45" t="s">
        <v>252</v>
      </c>
      <c r="F47" s="45" t="s">
        <v>253</v>
      </c>
      <c r="G47" s="45">
        <v>37.0</v>
      </c>
      <c r="H47" s="46" t="s">
        <v>254</v>
      </c>
      <c r="I47" s="47">
        <v>46036.0</v>
      </c>
      <c r="J47" s="47">
        <v>46036.0</v>
      </c>
      <c r="K47" s="16" t="s">
        <v>57</v>
      </c>
      <c r="L47" s="22">
        <v>1200.0</v>
      </c>
      <c r="M47" s="46" t="s">
        <v>71</v>
      </c>
      <c r="N47" s="20" t="s">
        <v>91</v>
      </c>
      <c r="O47" s="46" t="s">
        <v>72</v>
      </c>
      <c r="P47" s="46">
        <v>1981.0</v>
      </c>
      <c r="Q47" s="23" t="s">
        <v>30</v>
      </c>
      <c r="R47" s="46" t="s">
        <v>110</v>
      </c>
      <c r="S47" s="46" t="s">
        <v>193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>
      <c r="A48" s="12">
        <v>44.0</v>
      </c>
      <c r="B48" s="12" t="s">
        <v>255</v>
      </c>
      <c r="C48" s="12" t="s">
        <v>256</v>
      </c>
      <c r="D48" s="12" t="s">
        <v>257</v>
      </c>
      <c r="E48" s="12" t="s">
        <v>258</v>
      </c>
      <c r="F48" s="39" t="s">
        <v>259</v>
      </c>
      <c r="G48" s="12">
        <v>1.0</v>
      </c>
      <c r="H48" s="13" t="s">
        <v>65</v>
      </c>
      <c r="I48" s="14">
        <v>46037.0</v>
      </c>
      <c r="J48" s="14">
        <v>46043.0</v>
      </c>
      <c r="K48" s="16">
        <v>105.66</v>
      </c>
      <c r="L48" s="25">
        <f>K48*12</f>
        <v>1267.92</v>
      </c>
      <c r="M48" s="23" t="s">
        <v>71</v>
      </c>
      <c r="N48" s="23" t="s">
        <v>29</v>
      </c>
      <c r="O48" s="23" t="s">
        <v>72</v>
      </c>
      <c r="P48" s="13">
        <v>2033.0</v>
      </c>
      <c r="Q48" s="23" t="s">
        <v>41</v>
      </c>
      <c r="R48" s="23" t="s">
        <v>148</v>
      </c>
      <c r="S48" s="26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>
      <c r="A49" s="12">
        <v>45.0</v>
      </c>
      <c r="B49" s="12" t="s">
        <v>260</v>
      </c>
      <c r="C49" s="12" t="s">
        <v>261</v>
      </c>
      <c r="D49" s="12" t="s">
        <v>62</v>
      </c>
      <c r="E49" s="12" t="s">
        <v>63</v>
      </c>
      <c r="F49" s="39" t="s">
        <v>64</v>
      </c>
      <c r="G49" s="12">
        <v>1.0</v>
      </c>
      <c r="H49" s="13" t="s">
        <v>65</v>
      </c>
      <c r="I49" s="14">
        <v>46374.0</v>
      </c>
      <c r="J49" s="55">
        <v>46042.0</v>
      </c>
      <c r="K49" s="16">
        <v>105.42</v>
      </c>
      <c r="L49" s="25">
        <f>K49*24</f>
        <v>2530.08</v>
      </c>
      <c r="M49" s="17" t="s">
        <v>71</v>
      </c>
      <c r="N49" s="17" t="s">
        <v>29</v>
      </c>
      <c r="O49" s="17" t="s">
        <v>72</v>
      </c>
      <c r="P49" s="13">
        <v>2011.0</v>
      </c>
      <c r="Q49" s="17" t="s">
        <v>30</v>
      </c>
      <c r="R49" s="17" t="s">
        <v>49</v>
      </c>
      <c r="S49" s="13" t="s">
        <v>262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>
      <c r="A50" s="12">
        <v>46.0</v>
      </c>
      <c r="B50" s="39" t="s">
        <v>263</v>
      </c>
      <c r="C50" s="12" t="s">
        <v>264</v>
      </c>
      <c r="D50" s="56" t="s">
        <v>265</v>
      </c>
      <c r="E50" s="12" t="s">
        <v>266</v>
      </c>
      <c r="F50" s="40" t="s">
        <v>267</v>
      </c>
      <c r="G50" s="12">
        <v>1.0</v>
      </c>
      <c r="H50" s="13" t="s">
        <v>48</v>
      </c>
      <c r="I50" s="14">
        <v>46037.0</v>
      </c>
      <c r="J50" s="14">
        <v>46041.0</v>
      </c>
      <c r="K50" s="16">
        <v>115.2</v>
      </c>
      <c r="L50" s="25">
        <f t="shared" ref="L50:L52" si="7">K50*12</f>
        <v>1382.4</v>
      </c>
      <c r="M50" s="23" t="s">
        <v>71</v>
      </c>
      <c r="N50" s="23" t="s">
        <v>29</v>
      </c>
      <c r="O50" s="23" t="s">
        <v>40</v>
      </c>
      <c r="P50" s="13">
        <v>2001.0</v>
      </c>
      <c r="Q50" s="23" t="s">
        <v>233</v>
      </c>
      <c r="R50" s="23" t="s">
        <v>129</v>
      </c>
      <c r="S50" s="26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>
      <c r="A51" s="12">
        <v>47.0</v>
      </c>
      <c r="B51" s="12" t="s">
        <v>268</v>
      </c>
      <c r="C51" s="12"/>
      <c r="D51" s="12" t="s">
        <v>269</v>
      </c>
      <c r="E51" s="12" t="s">
        <v>270</v>
      </c>
      <c r="F51" s="40" t="s">
        <v>271</v>
      </c>
      <c r="G51" s="12">
        <v>6.0</v>
      </c>
      <c r="H51" s="13" t="s">
        <v>48</v>
      </c>
      <c r="I51" s="14">
        <v>46034.0</v>
      </c>
      <c r="J51" s="15"/>
      <c r="K51" s="16">
        <v>157.53</v>
      </c>
      <c r="L51" s="25">
        <f t="shared" si="7"/>
        <v>1890.36</v>
      </c>
      <c r="M51" s="23" t="s">
        <v>58</v>
      </c>
      <c r="N51" s="23" t="s">
        <v>29</v>
      </c>
      <c r="O51" s="23" t="s">
        <v>40</v>
      </c>
      <c r="P51" s="26"/>
      <c r="Q51" s="23" t="s">
        <v>41</v>
      </c>
      <c r="R51" s="23" t="s">
        <v>129</v>
      </c>
      <c r="S51" s="26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>
      <c r="A52" s="12">
        <v>48.0</v>
      </c>
      <c r="B52" s="45" t="s">
        <v>272</v>
      </c>
      <c r="C52" s="45" t="s">
        <v>273</v>
      </c>
      <c r="D52" s="45" t="s">
        <v>274</v>
      </c>
      <c r="E52" s="45">
        <v>1.1947380333E10</v>
      </c>
      <c r="F52" s="45" t="s">
        <v>275</v>
      </c>
      <c r="G52" s="45">
        <v>5.0</v>
      </c>
      <c r="H52" s="46" t="s">
        <v>123</v>
      </c>
      <c r="I52" s="47">
        <v>46038.0</v>
      </c>
      <c r="J52" s="47">
        <v>46042.0</v>
      </c>
      <c r="K52" s="22">
        <v>165.75</v>
      </c>
      <c r="L52" s="22">
        <f t="shared" si="7"/>
        <v>1989</v>
      </c>
      <c r="M52" s="46" t="s">
        <v>71</v>
      </c>
      <c r="N52" s="20" t="s">
        <v>29</v>
      </c>
      <c r="O52" s="46" t="s">
        <v>72</v>
      </c>
      <c r="P52" s="57">
        <v>2018.0</v>
      </c>
      <c r="Q52" s="23" t="s">
        <v>30</v>
      </c>
      <c r="R52" s="46" t="s">
        <v>110</v>
      </c>
      <c r="S52" s="46" t="s">
        <v>193</v>
      </c>
      <c r="T52" s="58"/>
      <c r="U52" s="58"/>
      <c r="V52" s="58"/>
      <c r="W52" s="58"/>
      <c r="X52" s="58"/>
      <c r="Y52" s="58"/>
      <c r="Z52" s="3"/>
      <c r="AA52" s="3"/>
      <c r="AB52" s="3"/>
      <c r="AC52" s="3"/>
      <c r="AD52" s="3"/>
      <c r="AE52" s="3"/>
      <c r="AF52" s="3"/>
      <c r="AG52" s="3"/>
    </row>
    <row r="53">
      <c r="A53" s="12">
        <v>49.0</v>
      </c>
      <c r="B53" s="12" t="s">
        <v>276</v>
      </c>
      <c r="C53" s="12" t="s">
        <v>277</v>
      </c>
      <c r="D53" s="12" t="s">
        <v>278</v>
      </c>
      <c r="E53" s="12" t="s">
        <v>279</v>
      </c>
      <c r="F53" s="39" t="s">
        <v>280</v>
      </c>
      <c r="G53" s="12">
        <v>32.0</v>
      </c>
      <c r="H53" s="13" t="s">
        <v>281</v>
      </c>
      <c r="I53" s="14">
        <v>46041.0</v>
      </c>
      <c r="J53" s="14">
        <v>46045.0</v>
      </c>
      <c r="K53" s="16" t="s">
        <v>57</v>
      </c>
      <c r="L53" s="16">
        <v>5000.0</v>
      </c>
      <c r="M53" s="23" t="s">
        <v>71</v>
      </c>
      <c r="N53" s="23" t="s">
        <v>91</v>
      </c>
      <c r="O53" s="23" t="s">
        <v>72</v>
      </c>
      <c r="P53" s="13">
        <v>2046.0</v>
      </c>
      <c r="Q53" s="23" t="s">
        <v>73</v>
      </c>
      <c r="R53" s="23" t="s">
        <v>49</v>
      </c>
      <c r="S53" s="59" t="s">
        <v>282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>
      <c r="A54" s="12">
        <v>50.0</v>
      </c>
      <c r="B54" s="60" t="s">
        <v>283</v>
      </c>
      <c r="C54" s="60" t="s">
        <v>284</v>
      </c>
      <c r="D54" s="12" t="s">
        <v>285</v>
      </c>
      <c r="E54" s="12" t="s">
        <v>286</v>
      </c>
      <c r="F54" s="40" t="s">
        <v>287</v>
      </c>
      <c r="G54" s="12" t="s">
        <v>26</v>
      </c>
      <c r="H54" s="13" t="s">
        <v>288</v>
      </c>
      <c r="I54" s="14">
        <v>46038.0</v>
      </c>
      <c r="J54" s="14">
        <v>46041.0</v>
      </c>
      <c r="K54" s="16" t="s">
        <v>57</v>
      </c>
      <c r="L54" s="16">
        <v>2100.0</v>
      </c>
      <c r="M54" s="23" t="s">
        <v>71</v>
      </c>
      <c r="N54" s="23" t="s">
        <v>91</v>
      </c>
      <c r="O54" s="23" t="s">
        <v>72</v>
      </c>
      <c r="P54" s="13">
        <v>1992.0</v>
      </c>
      <c r="Q54" s="23" t="s">
        <v>73</v>
      </c>
      <c r="R54" s="23" t="s">
        <v>148</v>
      </c>
      <c r="S54" s="26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>
      <c r="A55" s="12">
        <v>51.0</v>
      </c>
      <c r="B55" s="60" t="s">
        <v>289</v>
      </c>
      <c r="C55" s="12" t="s">
        <v>290</v>
      </c>
      <c r="D55" s="12" t="s">
        <v>285</v>
      </c>
      <c r="E55" s="12" t="s">
        <v>286</v>
      </c>
      <c r="F55" s="40" t="s">
        <v>291</v>
      </c>
      <c r="G55" s="12" t="s">
        <v>26</v>
      </c>
      <c r="H55" s="13" t="s">
        <v>288</v>
      </c>
      <c r="I55" s="14">
        <v>46038.0</v>
      </c>
      <c r="J55" s="14">
        <v>46041.0</v>
      </c>
      <c r="K55" s="16" t="s">
        <v>57</v>
      </c>
      <c r="L55" s="16">
        <v>2100.0</v>
      </c>
      <c r="M55" s="23" t="s">
        <v>71</v>
      </c>
      <c r="N55" s="23" t="s">
        <v>91</v>
      </c>
      <c r="O55" s="23" t="s">
        <v>72</v>
      </c>
      <c r="P55" s="13">
        <v>1993.0</v>
      </c>
      <c r="Q55" s="23" t="s">
        <v>73</v>
      </c>
      <c r="R55" s="23" t="s">
        <v>148</v>
      </c>
      <c r="S55" s="26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>
      <c r="A56" s="12">
        <v>52.0</v>
      </c>
      <c r="B56" s="12" t="s">
        <v>292</v>
      </c>
      <c r="C56" s="12" t="s">
        <v>293</v>
      </c>
      <c r="D56" s="12" t="s">
        <v>294</v>
      </c>
      <c r="E56" s="12" t="s">
        <v>295</v>
      </c>
      <c r="F56" s="12" t="s">
        <v>296</v>
      </c>
      <c r="G56" s="12">
        <v>13.0</v>
      </c>
      <c r="H56" s="13" t="s">
        <v>297</v>
      </c>
      <c r="I56" s="14">
        <v>46038.0</v>
      </c>
      <c r="J56" s="14">
        <v>46053.0</v>
      </c>
      <c r="K56" s="16" t="s">
        <v>57</v>
      </c>
      <c r="L56" s="16">
        <v>6400.0</v>
      </c>
      <c r="M56" s="23" t="s">
        <v>71</v>
      </c>
      <c r="N56" s="23" t="s">
        <v>91</v>
      </c>
      <c r="O56" s="23" t="s">
        <v>72</v>
      </c>
      <c r="P56" s="13">
        <v>2098.0</v>
      </c>
      <c r="Q56" s="23" t="s">
        <v>73</v>
      </c>
      <c r="R56" s="23" t="s">
        <v>49</v>
      </c>
      <c r="S56" s="26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>
      <c r="A57" s="12">
        <v>53.0</v>
      </c>
      <c r="B57" s="12" t="s">
        <v>298</v>
      </c>
      <c r="C57" s="12" t="s">
        <v>299</v>
      </c>
      <c r="D57" s="12" t="s">
        <v>300</v>
      </c>
      <c r="E57" s="12" t="s">
        <v>301</v>
      </c>
      <c r="F57" s="12" t="s">
        <v>302</v>
      </c>
      <c r="G57" s="12">
        <v>5.0</v>
      </c>
      <c r="H57" s="46" t="s">
        <v>123</v>
      </c>
      <c r="I57" s="14">
        <v>46038.0</v>
      </c>
      <c r="J57" s="14">
        <v>46041.0</v>
      </c>
      <c r="K57" s="61">
        <v>125.77</v>
      </c>
      <c r="L57" s="16">
        <v>1509.24</v>
      </c>
      <c r="M57" s="23" t="s">
        <v>71</v>
      </c>
      <c r="N57" s="23" t="s">
        <v>29</v>
      </c>
      <c r="O57" s="23" t="s">
        <v>72</v>
      </c>
      <c r="P57" s="13">
        <v>1991.0</v>
      </c>
      <c r="Q57" s="23" t="s">
        <v>233</v>
      </c>
      <c r="R57" s="23" t="s">
        <v>31</v>
      </c>
      <c r="S57" s="13" t="s">
        <v>303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>
      <c r="A58" s="12">
        <v>54.0</v>
      </c>
      <c r="B58" s="12" t="s">
        <v>304</v>
      </c>
      <c r="C58" s="12" t="s">
        <v>305</v>
      </c>
      <c r="D58" s="12" t="s">
        <v>306</v>
      </c>
      <c r="E58" s="12" t="s">
        <v>307</v>
      </c>
      <c r="F58" s="12" t="s">
        <v>308</v>
      </c>
      <c r="G58" s="12">
        <v>1.0</v>
      </c>
      <c r="H58" s="13" t="s">
        <v>309</v>
      </c>
      <c r="I58" s="14">
        <v>46041.0</v>
      </c>
      <c r="J58" s="55">
        <v>46042.0</v>
      </c>
      <c r="K58" s="16" t="s">
        <v>57</v>
      </c>
      <c r="L58" s="16">
        <v>800.0</v>
      </c>
      <c r="M58" s="23" t="s">
        <v>71</v>
      </c>
      <c r="N58" s="23" t="s">
        <v>29</v>
      </c>
      <c r="O58" s="23" t="s">
        <v>72</v>
      </c>
      <c r="P58" s="13">
        <v>2012.0</v>
      </c>
      <c r="Q58" s="23" t="s">
        <v>73</v>
      </c>
      <c r="R58" s="23" t="s">
        <v>49</v>
      </c>
      <c r="S58" s="26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>
      <c r="A59" s="12">
        <v>55.0</v>
      </c>
      <c r="B59" s="45" t="s">
        <v>310</v>
      </c>
      <c r="C59" s="45" t="s">
        <v>311</v>
      </c>
      <c r="D59" s="45" t="s">
        <v>312</v>
      </c>
      <c r="E59" s="45">
        <v>1.1997162485E10</v>
      </c>
      <c r="F59" s="45" t="s">
        <v>227</v>
      </c>
      <c r="G59" s="45">
        <v>10.0</v>
      </c>
      <c r="H59" s="46" t="s">
        <v>313</v>
      </c>
      <c r="I59" s="47">
        <v>46041.0</v>
      </c>
      <c r="J59" s="47">
        <v>46041.0</v>
      </c>
      <c r="K59" s="22">
        <v>605.5</v>
      </c>
      <c r="L59" s="22">
        <f>K59*12</f>
        <v>7266</v>
      </c>
      <c r="M59" s="46" t="s">
        <v>71</v>
      </c>
      <c r="N59" s="20" t="s">
        <v>29</v>
      </c>
      <c r="O59" s="46" t="s">
        <v>72</v>
      </c>
      <c r="P59" s="46">
        <v>1998.0</v>
      </c>
      <c r="Q59" s="46" t="s">
        <v>30</v>
      </c>
      <c r="R59" s="46" t="s">
        <v>110</v>
      </c>
      <c r="S59" s="46" t="s">
        <v>193</v>
      </c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</row>
    <row r="60">
      <c r="A60" s="12">
        <v>56.0</v>
      </c>
      <c r="B60" s="12" t="s">
        <v>314</v>
      </c>
      <c r="C60" s="12" t="s">
        <v>315</v>
      </c>
      <c r="D60" s="12" t="s">
        <v>316</v>
      </c>
      <c r="E60" s="12" t="s">
        <v>317</v>
      </c>
      <c r="F60" s="12" t="s">
        <v>318</v>
      </c>
      <c r="G60" s="12">
        <v>50.0</v>
      </c>
      <c r="H60" s="13" t="s">
        <v>309</v>
      </c>
      <c r="I60" s="14">
        <v>46042.0</v>
      </c>
      <c r="J60" s="14">
        <v>46043.0</v>
      </c>
      <c r="K60" s="16">
        <v>670.0</v>
      </c>
      <c r="L60" s="16">
        <v>8040.0</v>
      </c>
      <c r="M60" s="23" t="s">
        <v>71</v>
      </c>
      <c r="N60" s="23" t="s">
        <v>29</v>
      </c>
      <c r="O60" s="23" t="s">
        <v>72</v>
      </c>
      <c r="P60" s="13">
        <v>2035.0</v>
      </c>
      <c r="Q60" s="23" t="s">
        <v>98</v>
      </c>
      <c r="R60" s="23" t="s">
        <v>49</v>
      </c>
      <c r="S60" s="26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>
      <c r="A61" s="12">
        <v>57.0</v>
      </c>
      <c r="B61" s="12" t="s">
        <v>319</v>
      </c>
      <c r="C61" s="12" t="s">
        <v>320</v>
      </c>
      <c r="D61" s="12" t="s">
        <v>321</v>
      </c>
      <c r="E61" s="12" t="s">
        <v>322</v>
      </c>
      <c r="F61" s="12" t="s">
        <v>323</v>
      </c>
      <c r="G61" s="12" t="s">
        <v>26</v>
      </c>
      <c r="H61" s="13" t="s">
        <v>324</v>
      </c>
      <c r="I61" s="14">
        <v>46038.0</v>
      </c>
      <c r="J61" s="14">
        <v>46043.0</v>
      </c>
      <c r="K61" s="16" t="s">
        <v>325</v>
      </c>
      <c r="L61" s="16">
        <v>600.0</v>
      </c>
      <c r="M61" s="23" t="s">
        <v>71</v>
      </c>
      <c r="N61" s="23" t="s">
        <v>91</v>
      </c>
      <c r="O61" s="23" t="s">
        <v>72</v>
      </c>
      <c r="P61" s="13">
        <v>1982.0</v>
      </c>
      <c r="Q61" s="23" t="s">
        <v>73</v>
      </c>
      <c r="R61" s="23" t="s">
        <v>148</v>
      </c>
      <c r="S61" s="26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>
      <c r="A62" s="12">
        <v>58.0</v>
      </c>
      <c r="B62" s="12" t="s">
        <v>326</v>
      </c>
      <c r="C62" s="12" t="s">
        <v>327</v>
      </c>
      <c r="D62" s="12" t="s">
        <v>328</v>
      </c>
      <c r="E62" s="12" t="s">
        <v>329</v>
      </c>
      <c r="F62" s="12" t="s">
        <v>330</v>
      </c>
      <c r="G62" s="12">
        <v>3.0</v>
      </c>
      <c r="H62" s="13" t="s">
        <v>331</v>
      </c>
      <c r="I62" s="14">
        <v>46043.0</v>
      </c>
      <c r="J62" s="14">
        <v>46043.0</v>
      </c>
      <c r="K62" s="16" t="s">
        <v>57</v>
      </c>
      <c r="L62" s="16">
        <v>976.0</v>
      </c>
      <c r="M62" s="23" t="s">
        <v>71</v>
      </c>
      <c r="N62" s="23" t="s">
        <v>91</v>
      </c>
      <c r="O62" s="23" t="s">
        <v>72</v>
      </c>
      <c r="P62" s="13">
        <v>2029.0</v>
      </c>
      <c r="Q62" s="23" t="s">
        <v>73</v>
      </c>
      <c r="R62" s="23" t="s">
        <v>49</v>
      </c>
      <c r="S62" s="13" t="s">
        <v>332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>
      <c r="A63" s="12">
        <v>59.0</v>
      </c>
      <c r="B63" s="12" t="s">
        <v>333</v>
      </c>
      <c r="C63" s="12" t="s">
        <v>334</v>
      </c>
      <c r="D63" s="12" t="s">
        <v>335</v>
      </c>
      <c r="E63" s="12" t="s">
        <v>336</v>
      </c>
      <c r="F63" s="12" t="s">
        <v>337</v>
      </c>
      <c r="G63" s="12">
        <v>8.0</v>
      </c>
      <c r="H63" s="13" t="s">
        <v>65</v>
      </c>
      <c r="I63" s="14">
        <v>46043.0</v>
      </c>
      <c r="J63" s="14">
        <v>46045.0</v>
      </c>
      <c r="K63" s="16">
        <v>197.72</v>
      </c>
      <c r="L63" s="25">
        <f>K63*12</f>
        <v>2372.64</v>
      </c>
      <c r="M63" s="23" t="s">
        <v>71</v>
      </c>
      <c r="N63" s="23" t="s">
        <v>91</v>
      </c>
      <c r="O63" s="23" t="s">
        <v>72</v>
      </c>
      <c r="P63" s="13">
        <v>2051.0</v>
      </c>
      <c r="Q63" s="23" t="s">
        <v>73</v>
      </c>
      <c r="R63" s="23" t="s">
        <v>49</v>
      </c>
      <c r="S63" s="13" t="s">
        <v>332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>
      <c r="A64" s="12">
        <v>60.0</v>
      </c>
      <c r="B64" s="12" t="s">
        <v>338</v>
      </c>
      <c r="C64" s="12" t="s">
        <v>339</v>
      </c>
      <c r="D64" s="12" t="s">
        <v>340</v>
      </c>
      <c r="E64" s="12" t="s">
        <v>341</v>
      </c>
      <c r="F64" s="63" t="s">
        <v>342</v>
      </c>
      <c r="G64" s="12">
        <v>1.0</v>
      </c>
      <c r="H64" s="13" t="s">
        <v>343</v>
      </c>
      <c r="I64" s="14">
        <v>46043.0</v>
      </c>
      <c r="J64" s="14">
        <v>46043.0</v>
      </c>
      <c r="K64" s="16" t="s">
        <v>344</v>
      </c>
      <c r="L64" s="16">
        <v>3400.0</v>
      </c>
      <c r="M64" s="13" t="s">
        <v>71</v>
      </c>
      <c r="N64" s="13" t="s">
        <v>91</v>
      </c>
      <c r="O64" s="23" t="s">
        <v>72</v>
      </c>
      <c r="P64" s="13">
        <v>2038.0</v>
      </c>
      <c r="Q64" s="23" t="s">
        <v>73</v>
      </c>
      <c r="R64" s="23" t="s">
        <v>49</v>
      </c>
      <c r="S64" s="26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>
      <c r="A65" s="12">
        <v>61.0</v>
      </c>
      <c r="B65" s="12" t="s">
        <v>345</v>
      </c>
      <c r="C65" s="12" t="s">
        <v>346</v>
      </c>
      <c r="D65" s="12" t="s">
        <v>347</v>
      </c>
      <c r="E65" s="12" t="s">
        <v>348</v>
      </c>
      <c r="F65" s="12" t="s">
        <v>349</v>
      </c>
      <c r="G65" s="12" t="s">
        <v>26</v>
      </c>
      <c r="H65" s="13" t="s">
        <v>350</v>
      </c>
      <c r="I65" s="14">
        <v>46362.0</v>
      </c>
      <c r="J65" s="14">
        <v>46043.0</v>
      </c>
      <c r="K65" s="16" t="s">
        <v>344</v>
      </c>
      <c r="L65" s="16">
        <v>7500.0</v>
      </c>
      <c r="M65" s="23" t="s">
        <v>71</v>
      </c>
      <c r="N65" s="23" t="s">
        <v>91</v>
      </c>
      <c r="O65" s="23" t="s">
        <v>40</v>
      </c>
      <c r="P65" s="26"/>
      <c r="Q65" s="23" t="s">
        <v>233</v>
      </c>
      <c r="R65" s="23" t="s">
        <v>99</v>
      </c>
      <c r="S65" s="13" t="s">
        <v>351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>
      <c r="A66" s="12">
        <v>62.0</v>
      </c>
      <c r="B66" s="45" t="s">
        <v>352</v>
      </c>
      <c r="C66" s="45" t="s">
        <v>353</v>
      </c>
      <c r="D66" s="45" t="s">
        <v>354</v>
      </c>
      <c r="E66" s="45">
        <v>1.9974204444E10</v>
      </c>
      <c r="F66" s="45" t="s">
        <v>355</v>
      </c>
      <c r="G66" s="45">
        <v>10.0</v>
      </c>
      <c r="H66" s="46" t="s">
        <v>313</v>
      </c>
      <c r="I66" s="47">
        <v>46041.0</v>
      </c>
      <c r="J66" s="47">
        <v>46043.0</v>
      </c>
      <c r="K66" s="22">
        <f>L66/12</f>
        <v>612.1666667</v>
      </c>
      <c r="L66" s="22">
        <v>7346.0</v>
      </c>
      <c r="M66" s="46" t="s">
        <v>71</v>
      </c>
      <c r="N66" s="20" t="s">
        <v>29</v>
      </c>
      <c r="O66" s="46" t="s">
        <v>72</v>
      </c>
      <c r="P66" s="46">
        <v>2019.0</v>
      </c>
      <c r="Q66" s="46" t="s">
        <v>30</v>
      </c>
      <c r="R66" s="46" t="s">
        <v>110</v>
      </c>
      <c r="S66" s="23" t="s">
        <v>193</v>
      </c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>
      <c r="A67" s="12">
        <v>63.0</v>
      </c>
      <c r="B67" s="12" t="s">
        <v>356</v>
      </c>
      <c r="C67" s="12" t="s">
        <v>357</v>
      </c>
      <c r="D67" s="12" t="s">
        <v>358</v>
      </c>
      <c r="E67" s="39" t="s">
        <v>359</v>
      </c>
      <c r="F67" s="12" t="s">
        <v>360</v>
      </c>
      <c r="G67" s="12">
        <v>20.0</v>
      </c>
      <c r="H67" s="13" t="s">
        <v>65</v>
      </c>
      <c r="I67" s="14">
        <v>46044.0</v>
      </c>
      <c r="J67" s="14">
        <v>46048.0</v>
      </c>
      <c r="K67" s="16">
        <v>500.0</v>
      </c>
      <c r="L67" s="25">
        <f>K67*12</f>
        <v>6000</v>
      </c>
      <c r="M67" s="23" t="s">
        <v>71</v>
      </c>
      <c r="N67" s="23" t="s">
        <v>29</v>
      </c>
      <c r="O67" s="23" t="s">
        <v>72</v>
      </c>
      <c r="P67" s="13">
        <v>2061.0</v>
      </c>
      <c r="Q67" s="23" t="s">
        <v>30</v>
      </c>
      <c r="R67" s="23" t="s">
        <v>110</v>
      </c>
      <c r="S67" s="46" t="s">
        <v>193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>
      <c r="A68" s="12">
        <v>64.0</v>
      </c>
      <c r="B68" s="64" t="s">
        <v>361</v>
      </c>
      <c r="C68" s="65" t="s">
        <v>362</v>
      </c>
      <c r="D68" s="12" t="s">
        <v>363</v>
      </c>
      <c r="E68" s="12" t="s">
        <v>364</v>
      </c>
      <c r="F68" s="12" t="s">
        <v>365</v>
      </c>
      <c r="G68" s="12">
        <v>3.0</v>
      </c>
      <c r="H68" s="13" t="s">
        <v>65</v>
      </c>
      <c r="I68" s="14">
        <v>46044.0</v>
      </c>
      <c r="J68" s="15"/>
      <c r="K68" s="16" t="s">
        <v>57</v>
      </c>
      <c r="L68" s="16">
        <v>1320.69</v>
      </c>
      <c r="M68" s="23" t="s">
        <v>28</v>
      </c>
      <c r="N68" s="23" t="s">
        <v>29</v>
      </c>
      <c r="O68" s="23" t="s">
        <v>40</v>
      </c>
      <c r="P68" s="26"/>
      <c r="Q68" s="23" t="s">
        <v>41</v>
      </c>
      <c r="R68" s="23" t="s">
        <v>148</v>
      </c>
      <c r="S68" s="13" t="s">
        <v>366</v>
      </c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</row>
    <row r="69">
      <c r="A69" s="12">
        <v>65.0</v>
      </c>
      <c r="B69" s="45" t="s">
        <v>367</v>
      </c>
      <c r="C69" s="45" t="s">
        <v>368</v>
      </c>
      <c r="D69" s="45" t="s">
        <v>369</v>
      </c>
      <c r="E69" s="45">
        <v>1.1919504629E10</v>
      </c>
      <c r="F69" s="45" t="s">
        <v>370</v>
      </c>
      <c r="G69" s="45">
        <v>354.0</v>
      </c>
      <c r="H69" s="46" t="s">
        <v>371</v>
      </c>
      <c r="I69" s="47">
        <v>46041.0</v>
      </c>
      <c r="J69" s="21"/>
      <c r="K69" s="22">
        <v>7556.0</v>
      </c>
      <c r="L69" s="22">
        <f>K69*12</f>
        <v>90672</v>
      </c>
      <c r="M69" s="23" t="s">
        <v>58</v>
      </c>
      <c r="N69" s="20" t="s">
        <v>29</v>
      </c>
      <c r="O69" s="46" t="s">
        <v>40</v>
      </c>
      <c r="P69" s="20"/>
      <c r="Q69" s="46" t="s">
        <v>30</v>
      </c>
      <c r="R69" s="46" t="s">
        <v>110</v>
      </c>
      <c r="S69" s="23" t="s">
        <v>372</v>
      </c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>
      <c r="A70" s="12">
        <v>66.0</v>
      </c>
      <c r="B70" s="12" t="s">
        <v>373</v>
      </c>
      <c r="C70" s="12" t="s">
        <v>374</v>
      </c>
      <c r="D70" s="12" t="s">
        <v>375</v>
      </c>
      <c r="E70" s="12" t="s">
        <v>376</v>
      </c>
      <c r="F70" s="12" t="s">
        <v>377</v>
      </c>
      <c r="G70" s="12">
        <v>2.0</v>
      </c>
      <c r="H70" s="13" t="s">
        <v>65</v>
      </c>
      <c r="I70" s="14">
        <v>46044.0</v>
      </c>
      <c r="J70" s="15"/>
      <c r="K70" s="16">
        <v>312.29</v>
      </c>
      <c r="L70" s="16">
        <v>3747.48</v>
      </c>
      <c r="M70" s="23" t="s">
        <v>58</v>
      </c>
      <c r="N70" s="23" t="s">
        <v>29</v>
      </c>
      <c r="O70" s="23" t="s">
        <v>40</v>
      </c>
      <c r="P70" s="26"/>
      <c r="Q70" s="23" t="s">
        <v>73</v>
      </c>
      <c r="R70" s="23" t="s">
        <v>31</v>
      </c>
      <c r="S70" s="26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>
      <c r="A71" s="12">
        <v>67.0</v>
      </c>
      <c r="B71" s="12" t="s">
        <v>378</v>
      </c>
      <c r="C71" s="12" t="s">
        <v>379</v>
      </c>
      <c r="D71" s="12" t="s">
        <v>380</v>
      </c>
      <c r="E71" s="12" t="s">
        <v>381</v>
      </c>
      <c r="F71" s="12" t="s">
        <v>382</v>
      </c>
      <c r="G71" s="12">
        <v>5.0</v>
      </c>
      <c r="H71" s="13" t="s">
        <v>65</v>
      </c>
      <c r="I71" s="14">
        <v>46044.0</v>
      </c>
      <c r="J71" s="15"/>
      <c r="K71" s="16" t="s">
        <v>57</v>
      </c>
      <c r="L71" s="16">
        <v>1586.52</v>
      </c>
      <c r="M71" s="23" t="s">
        <v>58</v>
      </c>
      <c r="N71" s="23" t="s">
        <v>29</v>
      </c>
      <c r="O71" s="23" t="s">
        <v>40</v>
      </c>
      <c r="P71" s="26"/>
      <c r="Q71" s="23" t="s">
        <v>233</v>
      </c>
      <c r="R71" s="23" t="s">
        <v>31</v>
      </c>
      <c r="S71" s="26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>
      <c r="A72" s="12">
        <v>68.0</v>
      </c>
      <c r="B72" s="12" t="s">
        <v>383</v>
      </c>
      <c r="C72" s="12" t="s">
        <v>384</v>
      </c>
      <c r="D72" s="12" t="s">
        <v>385</v>
      </c>
      <c r="E72" s="12" t="s">
        <v>386</v>
      </c>
      <c r="F72" s="12" t="s">
        <v>387</v>
      </c>
      <c r="G72" s="12">
        <v>7.0</v>
      </c>
      <c r="H72" s="13" t="s">
        <v>65</v>
      </c>
      <c r="I72" s="14">
        <v>46045.0</v>
      </c>
      <c r="J72" s="15"/>
      <c r="K72" s="16">
        <v>167.54</v>
      </c>
      <c r="L72" s="16">
        <v>2010.48</v>
      </c>
      <c r="M72" s="23" t="s">
        <v>58</v>
      </c>
      <c r="N72" s="23" t="s">
        <v>29</v>
      </c>
      <c r="O72" s="23" t="s">
        <v>40</v>
      </c>
      <c r="P72" s="26"/>
      <c r="Q72" s="23" t="s">
        <v>233</v>
      </c>
      <c r="R72" s="23" t="s">
        <v>31</v>
      </c>
      <c r="S72" s="26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>
      <c r="A73" s="12">
        <v>69.0</v>
      </c>
      <c r="B73" s="12" t="s">
        <v>388</v>
      </c>
      <c r="C73" s="12" t="s">
        <v>389</v>
      </c>
      <c r="D73" s="12" t="s">
        <v>390</v>
      </c>
      <c r="E73" s="12" t="s">
        <v>391</v>
      </c>
      <c r="F73" s="12" t="s">
        <v>392</v>
      </c>
      <c r="G73" s="12">
        <v>150.0</v>
      </c>
      <c r="H73" s="13" t="s">
        <v>393</v>
      </c>
      <c r="I73" s="14">
        <v>46044.0</v>
      </c>
      <c r="J73" s="15"/>
      <c r="K73" s="16" t="s">
        <v>57</v>
      </c>
      <c r="L73" s="16">
        <v>948.2</v>
      </c>
      <c r="M73" s="23" t="s">
        <v>58</v>
      </c>
      <c r="N73" s="23" t="s">
        <v>29</v>
      </c>
      <c r="O73" s="23" t="s">
        <v>40</v>
      </c>
      <c r="P73" s="26"/>
      <c r="Q73" s="23" t="s">
        <v>233</v>
      </c>
      <c r="R73" s="23" t="s">
        <v>31</v>
      </c>
      <c r="S73" s="26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>
      <c r="A74" s="12">
        <v>70.0</v>
      </c>
      <c r="B74" s="12" t="s">
        <v>394</v>
      </c>
      <c r="C74" s="12" t="s">
        <v>395</v>
      </c>
      <c r="D74" s="12" t="s">
        <v>396</v>
      </c>
      <c r="E74" s="12" t="s">
        <v>397</v>
      </c>
      <c r="F74" s="12" t="s">
        <v>398</v>
      </c>
      <c r="G74" s="12" t="s">
        <v>399</v>
      </c>
      <c r="H74" s="13" t="s">
        <v>400</v>
      </c>
      <c r="I74" s="14">
        <v>46045.0</v>
      </c>
      <c r="J74" s="15"/>
      <c r="K74" s="16" t="s">
        <v>57</v>
      </c>
      <c r="L74" s="16">
        <v>7500.0</v>
      </c>
      <c r="M74" s="23" t="s">
        <v>28</v>
      </c>
      <c r="N74" s="23" t="s">
        <v>29</v>
      </c>
      <c r="O74" s="23" t="s">
        <v>40</v>
      </c>
      <c r="P74" s="26"/>
      <c r="Q74" s="23" t="s">
        <v>73</v>
      </c>
      <c r="R74" s="23" t="s">
        <v>31</v>
      </c>
      <c r="S74" s="26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>
      <c r="A75" s="12">
        <v>71.0</v>
      </c>
      <c r="B75" s="12" t="s">
        <v>401</v>
      </c>
      <c r="C75" s="12" t="s">
        <v>402</v>
      </c>
      <c r="D75" s="12" t="s">
        <v>403</v>
      </c>
      <c r="E75" s="12" t="s">
        <v>404</v>
      </c>
      <c r="F75" s="12" t="s">
        <v>405</v>
      </c>
      <c r="G75" s="12">
        <v>11.0</v>
      </c>
      <c r="H75" s="13" t="s">
        <v>65</v>
      </c>
      <c r="I75" s="14">
        <v>46035.0</v>
      </c>
      <c r="J75" s="15"/>
      <c r="K75" s="16">
        <v>256.99</v>
      </c>
      <c r="L75" s="16">
        <v>3083.88</v>
      </c>
      <c r="M75" s="23" t="s">
        <v>58</v>
      </c>
      <c r="N75" s="23" t="s">
        <v>29</v>
      </c>
      <c r="O75" s="23" t="s">
        <v>40</v>
      </c>
      <c r="P75" s="26"/>
      <c r="Q75" s="23" t="s">
        <v>73</v>
      </c>
      <c r="R75" s="23" t="s">
        <v>31</v>
      </c>
      <c r="S75" s="26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>
      <c r="A76" s="12">
        <v>72.0</v>
      </c>
      <c r="B76" s="12" t="s">
        <v>406</v>
      </c>
      <c r="C76" s="12" t="s">
        <v>407</v>
      </c>
      <c r="D76" s="12" t="s">
        <v>408</v>
      </c>
      <c r="E76" s="12" t="s">
        <v>409</v>
      </c>
      <c r="F76" s="12" t="s">
        <v>410</v>
      </c>
      <c r="G76" s="12">
        <v>3.0</v>
      </c>
      <c r="H76" s="13" t="s">
        <v>411</v>
      </c>
      <c r="I76" s="14">
        <v>46034.0</v>
      </c>
      <c r="J76" s="15"/>
      <c r="K76" s="16">
        <v>115.85</v>
      </c>
      <c r="L76" s="16">
        <v>2780.4</v>
      </c>
      <c r="M76" s="23" t="s">
        <v>58</v>
      </c>
      <c r="N76" s="23" t="s">
        <v>29</v>
      </c>
      <c r="O76" s="23" t="s">
        <v>40</v>
      </c>
      <c r="P76" s="26"/>
      <c r="Q76" s="23" t="s">
        <v>41</v>
      </c>
      <c r="R76" s="23" t="s">
        <v>31</v>
      </c>
      <c r="S76" s="26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>
      <c r="A77" s="12">
        <v>73.0</v>
      </c>
      <c r="B77" s="64" t="s">
        <v>412</v>
      </c>
      <c r="C77" s="66" t="s">
        <v>413</v>
      </c>
      <c r="D77" s="12" t="s">
        <v>414</v>
      </c>
      <c r="E77" s="12" t="s">
        <v>415</v>
      </c>
      <c r="F77" s="12" t="s">
        <v>416</v>
      </c>
      <c r="G77" s="12">
        <v>3.0</v>
      </c>
      <c r="H77" s="13" t="s">
        <v>343</v>
      </c>
      <c r="I77" s="14">
        <v>46045.0</v>
      </c>
      <c r="J77" s="15"/>
      <c r="K77" s="16" t="s">
        <v>57</v>
      </c>
      <c r="L77" s="16">
        <v>5350.0</v>
      </c>
      <c r="M77" s="23" t="s">
        <v>58</v>
      </c>
      <c r="N77" s="23" t="s">
        <v>29</v>
      </c>
      <c r="O77" s="23"/>
      <c r="P77" s="26"/>
      <c r="Q77" s="23" t="s">
        <v>73</v>
      </c>
      <c r="R77" s="23" t="s">
        <v>148</v>
      </c>
      <c r="S77" s="13" t="s">
        <v>417</v>
      </c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</row>
    <row r="78">
      <c r="A78" s="12">
        <v>74.0</v>
      </c>
      <c r="B78" s="12" t="s">
        <v>418</v>
      </c>
      <c r="C78" s="12" t="s">
        <v>419</v>
      </c>
      <c r="D78" s="12" t="s">
        <v>420</v>
      </c>
      <c r="E78" s="12" t="s">
        <v>421</v>
      </c>
      <c r="F78" s="12" t="s">
        <v>422</v>
      </c>
      <c r="G78" s="12">
        <v>1.0</v>
      </c>
      <c r="H78" s="13" t="s">
        <v>65</v>
      </c>
      <c r="I78" s="14">
        <v>46045.0</v>
      </c>
      <c r="J78" s="15"/>
      <c r="K78" s="16" t="s">
        <v>57</v>
      </c>
      <c r="L78" s="16">
        <v>1269.36</v>
      </c>
      <c r="M78" s="23" t="s">
        <v>28</v>
      </c>
      <c r="N78" s="23" t="s">
        <v>29</v>
      </c>
      <c r="O78" s="23"/>
      <c r="P78" s="26"/>
      <c r="Q78" s="23" t="s">
        <v>233</v>
      </c>
      <c r="R78" s="23" t="s">
        <v>148</v>
      </c>
      <c r="S78" s="13" t="s">
        <v>423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16.5" customHeight="1">
      <c r="A79" s="12">
        <v>75.0</v>
      </c>
      <c r="B79" s="67" t="s">
        <v>424</v>
      </c>
      <c r="C79" s="12" t="s">
        <v>425</v>
      </c>
      <c r="D79" s="12" t="s">
        <v>426</v>
      </c>
      <c r="E79" s="12" t="s">
        <v>427</v>
      </c>
      <c r="F79" s="12" t="s">
        <v>428</v>
      </c>
      <c r="G79" s="12" t="s">
        <v>399</v>
      </c>
      <c r="H79" s="13" t="s">
        <v>429</v>
      </c>
      <c r="I79" s="14">
        <v>46037.0</v>
      </c>
      <c r="J79" s="14">
        <v>46048.0</v>
      </c>
      <c r="K79" s="16" t="s">
        <v>57</v>
      </c>
      <c r="L79" s="16">
        <v>1000.0</v>
      </c>
      <c r="M79" s="23" t="s">
        <v>71</v>
      </c>
      <c r="N79" s="23" t="s">
        <v>91</v>
      </c>
      <c r="O79" s="23" t="s">
        <v>72</v>
      </c>
      <c r="P79" s="13">
        <v>2059.0</v>
      </c>
      <c r="Q79" s="23" t="s">
        <v>73</v>
      </c>
      <c r="R79" s="23" t="s">
        <v>49</v>
      </c>
      <c r="S79" s="13" t="s">
        <v>430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>
      <c r="A80" s="12">
        <v>76.0</v>
      </c>
      <c r="B80" s="64" t="s">
        <v>431</v>
      </c>
      <c r="C80" s="68" t="s">
        <v>432</v>
      </c>
      <c r="D80" s="12" t="s">
        <v>433</v>
      </c>
      <c r="E80" s="69" t="s">
        <v>434</v>
      </c>
      <c r="F80" s="12" t="s">
        <v>435</v>
      </c>
      <c r="G80" s="12">
        <v>109.0</v>
      </c>
      <c r="H80" s="13" t="s">
        <v>65</v>
      </c>
      <c r="I80" s="14">
        <v>46049.0</v>
      </c>
      <c r="J80" s="15"/>
      <c r="K80" s="16">
        <v>1730.88</v>
      </c>
      <c r="L80" s="25">
        <f>K80*12</f>
        <v>20770.56</v>
      </c>
      <c r="M80" s="23" t="s">
        <v>58</v>
      </c>
      <c r="N80" s="23" t="s">
        <v>29</v>
      </c>
      <c r="O80" s="23"/>
      <c r="P80" s="26"/>
      <c r="Q80" s="23" t="s">
        <v>73</v>
      </c>
      <c r="R80" s="23" t="s">
        <v>148</v>
      </c>
      <c r="S80" s="26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</row>
    <row r="81" ht="18.0" customHeight="1">
      <c r="A81" s="12">
        <v>77.0</v>
      </c>
      <c r="B81" s="12" t="s">
        <v>436</v>
      </c>
      <c r="C81" s="12" t="s">
        <v>437</v>
      </c>
      <c r="D81" s="12" t="s">
        <v>438</v>
      </c>
      <c r="E81" s="12" t="s">
        <v>439</v>
      </c>
      <c r="F81" s="12" t="s">
        <v>440</v>
      </c>
      <c r="G81" s="12">
        <v>4.0</v>
      </c>
      <c r="H81" s="13" t="s">
        <v>441</v>
      </c>
      <c r="I81" s="70">
        <v>46048.0</v>
      </c>
      <c r="J81" s="14">
        <v>46048.0</v>
      </c>
      <c r="K81" s="16" t="s">
        <v>442</v>
      </c>
      <c r="L81" s="16">
        <v>2069.0</v>
      </c>
      <c r="M81" s="23" t="s">
        <v>71</v>
      </c>
      <c r="N81" s="23" t="s">
        <v>91</v>
      </c>
      <c r="O81" s="23" t="s">
        <v>72</v>
      </c>
      <c r="P81" s="13">
        <v>2064.0</v>
      </c>
      <c r="Q81" s="23" t="s">
        <v>98</v>
      </c>
      <c r="R81" s="23" t="s">
        <v>31</v>
      </c>
      <c r="S81" s="26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>
      <c r="A82" s="12">
        <v>78.0</v>
      </c>
      <c r="B82" s="60" t="s">
        <v>443</v>
      </c>
      <c r="C82" s="12" t="s">
        <v>444</v>
      </c>
      <c r="D82" s="71" t="s">
        <v>445</v>
      </c>
      <c r="E82" s="12" t="s">
        <v>446</v>
      </c>
      <c r="F82" s="12" t="s">
        <v>447</v>
      </c>
      <c r="G82" s="12">
        <v>1.0</v>
      </c>
      <c r="H82" s="13" t="s">
        <v>65</v>
      </c>
      <c r="I82" s="70">
        <v>46049.0</v>
      </c>
      <c r="J82" s="70">
        <v>46049.0</v>
      </c>
      <c r="K82" s="16">
        <v>105.42</v>
      </c>
      <c r="L82" s="25">
        <f t="shared" ref="L82:L83" si="8">K82*12</f>
        <v>1265.04</v>
      </c>
      <c r="M82" s="23" t="s">
        <v>71</v>
      </c>
      <c r="N82" s="23" t="s">
        <v>29</v>
      </c>
      <c r="O82" s="23" t="s">
        <v>72</v>
      </c>
      <c r="P82" s="13">
        <v>2062.0</v>
      </c>
      <c r="Q82" s="23" t="s">
        <v>73</v>
      </c>
      <c r="R82" s="23" t="s">
        <v>49</v>
      </c>
      <c r="S82" s="26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>
      <c r="A83" s="12">
        <v>79.0</v>
      </c>
      <c r="B83" s="12" t="s">
        <v>448</v>
      </c>
      <c r="C83" s="12" t="s">
        <v>449</v>
      </c>
      <c r="D83" s="72" t="s">
        <v>450</v>
      </c>
      <c r="E83" s="12" t="s">
        <v>451</v>
      </c>
      <c r="F83" s="12" t="s">
        <v>452</v>
      </c>
      <c r="G83" s="12">
        <v>14.0</v>
      </c>
      <c r="H83" s="13" t="s">
        <v>453</v>
      </c>
      <c r="I83" s="70">
        <v>46049.0</v>
      </c>
      <c r="J83" s="15"/>
      <c r="K83" s="16">
        <v>409.29</v>
      </c>
      <c r="L83" s="25">
        <f t="shared" si="8"/>
        <v>4911.48</v>
      </c>
      <c r="M83" s="23" t="s">
        <v>58</v>
      </c>
      <c r="N83" s="23" t="s">
        <v>91</v>
      </c>
      <c r="O83" s="23" t="s">
        <v>40</v>
      </c>
      <c r="P83" s="26"/>
      <c r="Q83" s="23" t="s">
        <v>233</v>
      </c>
      <c r="R83" s="23" t="s">
        <v>49</v>
      </c>
      <c r="S83" s="26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>
      <c r="A84" s="12">
        <v>80.0</v>
      </c>
      <c r="B84" s="12" t="s">
        <v>454</v>
      </c>
      <c r="C84" s="12" t="s">
        <v>455</v>
      </c>
      <c r="D84" s="12" t="s">
        <v>456</v>
      </c>
      <c r="E84" s="39" t="s">
        <v>457</v>
      </c>
      <c r="F84" s="12" t="s">
        <v>458</v>
      </c>
      <c r="G84" s="12">
        <v>8.0</v>
      </c>
      <c r="H84" s="13" t="s">
        <v>459</v>
      </c>
      <c r="I84" s="14">
        <v>46049.0</v>
      </c>
      <c r="J84" s="14">
        <v>46051.0</v>
      </c>
      <c r="K84" s="44">
        <f>L84/3</f>
        <v>266.6666667</v>
      </c>
      <c r="L84" s="16">
        <v>800.0</v>
      </c>
      <c r="M84" s="23" t="s">
        <v>71</v>
      </c>
      <c r="N84" s="23" t="s">
        <v>29</v>
      </c>
      <c r="O84" s="23" t="s">
        <v>72</v>
      </c>
      <c r="P84" s="13">
        <v>2068.0</v>
      </c>
      <c r="Q84" s="23" t="s">
        <v>30</v>
      </c>
      <c r="R84" s="23" t="s">
        <v>110</v>
      </c>
      <c r="S84" s="46" t="s">
        <v>193</v>
      </c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</row>
    <row r="85">
      <c r="A85" s="12">
        <v>81.0</v>
      </c>
      <c r="B85" s="12" t="s">
        <v>460</v>
      </c>
      <c r="C85" s="12" t="s">
        <v>461</v>
      </c>
      <c r="D85" s="12" t="s">
        <v>462</v>
      </c>
      <c r="E85" s="39" t="s">
        <v>463</v>
      </c>
      <c r="F85" s="12" t="s">
        <v>464</v>
      </c>
      <c r="G85" s="12">
        <v>4.0</v>
      </c>
      <c r="H85" s="13" t="s">
        <v>65</v>
      </c>
      <c r="I85" s="14">
        <v>46049.0</v>
      </c>
      <c r="J85" s="15"/>
      <c r="K85" s="16">
        <v>118.5</v>
      </c>
      <c r="L85" s="25">
        <f t="shared" ref="L85:L91" si="9">K85*12</f>
        <v>1422</v>
      </c>
      <c r="M85" s="23" t="s">
        <v>58</v>
      </c>
      <c r="N85" s="23" t="s">
        <v>29</v>
      </c>
      <c r="O85" s="23" t="s">
        <v>40</v>
      </c>
      <c r="P85" s="26"/>
      <c r="Q85" s="23" t="s">
        <v>30</v>
      </c>
      <c r="R85" s="23" t="s">
        <v>110</v>
      </c>
      <c r="S85" s="23" t="s">
        <v>117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>
      <c r="A86" s="12">
        <v>82.0</v>
      </c>
      <c r="B86" s="12" t="s">
        <v>465</v>
      </c>
      <c r="C86" s="12" t="s">
        <v>466</v>
      </c>
      <c r="D86" s="12" t="s">
        <v>467</v>
      </c>
      <c r="E86" s="39">
        <v>1.1932343425E10</v>
      </c>
      <c r="F86" s="63" t="s">
        <v>468</v>
      </c>
      <c r="G86" s="12">
        <v>3.0</v>
      </c>
      <c r="H86" s="13" t="s">
        <v>65</v>
      </c>
      <c r="I86" s="14">
        <v>46049.0</v>
      </c>
      <c r="J86" s="14">
        <v>46050.0</v>
      </c>
      <c r="K86" s="16">
        <v>110.5</v>
      </c>
      <c r="L86" s="25">
        <f t="shared" si="9"/>
        <v>1326</v>
      </c>
      <c r="M86" s="23" t="s">
        <v>71</v>
      </c>
      <c r="N86" s="23" t="s">
        <v>29</v>
      </c>
      <c r="O86" s="23" t="s">
        <v>72</v>
      </c>
      <c r="P86" s="13">
        <v>2066.0</v>
      </c>
      <c r="Q86" s="23" t="s">
        <v>30</v>
      </c>
      <c r="R86" s="23" t="s">
        <v>110</v>
      </c>
      <c r="S86" s="46" t="s">
        <v>193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>
      <c r="A87" s="12">
        <v>83.0</v>
      </c>
      <c r="B87" s="12" t="s">
        <v>469</v>
      </c>
      <c r="C87" s="12" t="s">
        <v>470</v>
      </c>
      <c r="D87" s="12" t="s">
        <v>471</v>
      </c>
      <c r="E87" s="39">
        <v>5.51133111304E11</v>
      </c>
      <c r="F87" s="12" t="s">
        <v>472</v>
      </c>
      <c r="G87" s="12">
        <v>3.0</v>
      </c>
      <c r="H87" s="13" t="s">
        <v>65</v>
      </c>
      <c r="I87" s="14">
        <v>46049.0</v>
      </c>
      <c r="J87" s="15"/>
      <c r="K87" s="16">
        <v>110.5</v>
      </c>
      <c r="L87" s="25">
        <f t="shared" si="9"/>
        <v>1326</v>
      </c>
      <c r="M87" s="23" t="s">
        <v>58</v>
      </c>
      <c r="N87" s="23" t="s">
        <v>29</v>
      </c>
      <c r="O87" s="23" t="s">
        <v>40</v>
      </c>
      <c r="P87" s="26"/>
      <c r="Q87" s="23" t="s">
        <v>30</v>
      </c>
      <c r="R87" s="23" t="s">
        <v>110</v>
      </c>
      <c r="S87" s="23" t="s">
        <v>117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>
      <c r="A88" s="12">
        <v>84.0</v>
      </c>
      <c r="B88" s="12" t="s">
        <v>473</v>
      </c>
      <c r="C88" s="12" t="s">
        <v>474</v>
      </c>
      <c r="D88" s="12" t="s">
        <v>471</v>
      </c>
      <c r="E88" s="39">
        <v>5.51133111304E11</v>
      </c>
      <c r="F88" s="12" t="s">
        <v>472</v>
      </c>
      <c r="G88" s="12">
        <v>30.0</v>
      </c>
      <c r="H88" s="13" t="s">
        <v>65</v>
      </c>
      <c r="I88" s="14">
        <v>46049.0</v>
      </c>
      <c r="J88" s="15"/>
      <c r="K88" s="16">
        <v>365.5</v>
      </c>
      <c r="L88" s="25">
        <f t="shared" si="9"/>
        <v>4386</v>
      </c>
      <c r="M88" s="23" t="s">
        <v>58</v>
      </c>
      <c r="N88" s="23" t="s">
        <v>29</v>
      </c>
      <c r="O88" s="23" t="s">
        <v>40</v>
      </c>
      <c r="P88" s="26"/>
      <c r="Q88" s="23" t="s">
        <v>30</v>
      </c>
      <c r="R88" s="23" t="s">
        <v>110</v>
      </c>
      <c r="S88" s="23" t="s">
        <v>117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>
      <c r="A89" s="12">
        <v>85.0</v>
      </c>
      <c r="B89" s="12" t="s">
        <v>475</v>
      </c>
      <c r="C89" s="12" t="s">
        <v>476</v>
      </c>
      <c r="D89" s="12" t="s">
        <v>471</v>
      </c>
      <c r="E89" s="39">
        <v>5.51133111304E11</v>
      </c>
      <c r="F89" s="12" t="s">
        <v>472</v>
      </c>
      <c r="G89" s="12">
        <v>30.0</v>
      </c>
      <c r="H89" s="13" t="s">
        <v>65</v>
      </c>
      <c r="I89" s="14">
        <v>46049.0</v>
      </c>
      <c r="J89" s="15"/>
      <c r="K89" s="16">
        <v>365.5</v>
      </c>
      <c r="L89" s="25">
        <f t="shared" si="9"/>
        <v>4386</v>
      </c>
      <c r="M89" s="23" t="s">
        <v>58</v>
      </c>
      <c r="N89" s="23" t="s">
        <v>29</v>
      </c>
      <c r="O89" s="23" t="s">
        <v>40</v>
      </c>
      <c r="P89" s="26"/>
      <c r="Q89" s="23" t="s">
        <v>30</v>
      </c>
      <c r="R89" s="23" t="s">
        <v>110</v>
      </c>
      <c r="S89" s="23" t="s">
        <v>117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>
      <c r="A90" s="12">
        <v>86.0</v>
      </c>
      <c r="B90" s="12" t="s">
        <v>477</v>
      </c>
      <c r="C90" s="12" t="s">
        <v>478</v>
      </c>
      <c r="D90" s="12" t="s">
        <v>471</v>
      </c>
      <c r="E90" s="39">
        <v>5.51133111304E11</v>
      </c>
      <c r="F90" s="12" t="s">
        <v>472</v>
      </c>
      <c r="G90" s="12">
        <v>36.0</v>
      </c>
      <c r="H90" s="13" t="s">
        <v>65</v>
      </c>
      <c r="I90" s="14">
        <v>46049.0</v>
      </c>
      <c r="J90" s="15"/>
      <c r="K90" s="16">
        <v>410.5</v>
      </c>
      <c r="L90" s="25">
        <f t="shared" si="9"/>
        <v>4926</v>
      </c>
      <c r="M90" s="23" t="s">
        <v>58</v>
      </c>
      <c r="N90" s="23" t="s">
        <v>29</v>
      </c>
      <c r="O90" s="23" t="s">
        <v>40</v>
      </c>
      <c r="P90" s="26"/>
      <c r="Q90" s="23" t="s">
        <v>233</v>
      </c>
      <c r="R90" s="23" t="s">
        <v>110</v>
      </c>
      <c r="S90" s="26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>
      <c r="A91" s="12">
        <v>87.0</v>
      </c>
      <c r="B91" s="12" t="s">
        <v>479</v>
      </c>
      <c r="C91" s="12" t="s">
        <v>480</v>
      </c>
      <c r="D91" s="12" t="s">
        <v>481</v>
      </c>
      <c r="E91" s="39" t="s">
        <v>482</v>
      </c>
      <c r="F91" s="12" t="s">
        <v>483</v>
      </c>
      <c r="G91" s="12">
        <v>7.0</v>
      </c>
      <c r="H91" s="13" t="s">
        <v>65</v>
      </c>
      <c r="I91" s="14">
        <v>46050.0</v>
      </c>
      <c r="J91" s="15"/>
      <c r="K91" s="16">
        <v>160.5</v>
      </c>
      <c r="L91" s="25">
        <f t="shared" si="9"/>
        <v>1926</v>
      </c>
      <c r="M91" s="23" t="s">
        <v>58</v>
      </c>
      <c r="N91" s="23" t="s">
        <v>29</v>
      </c>
      <c r="O91" s="23" t="s">
        <v>40</v>
      </c>
      <c r="P91" s="26"/>
      <c r="Q91" s="23" t="s">
        <v>73</v>
      </c>
      <c r="R91" s="23" t="s">
        <v>110</v>
      </c>
      <c r="S91" s="26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>
      <c r="A92" s="12">
        <v>88.0</v>
      </c>
      <c r="B92" s="12" t="s">
        <v>484</v>
      </c>
      <c r="C92" s="12" t="s">
        <v>485</v>
      </c>
      <c r="D92" s="12" t="s">
        <v>486</v>
      </c>
      <c r="E92" s="12">
        <v>1.1999363668E10</v>
      </c>
      <c r="F92" s="12" t="s">
        <v>487</v>
      </c>
      <c r="G92" s="12">
        <v>4.0</v>
      </c>
      <c r="H92" s="13" t="s">
        <v>65</v>
      </c>
      <c r="I92" s="14">
        <v>46029.0</v>
      </c>
      <c r="J92" s="14">
        <v>46050.0</v>
      </c>
      <c r="K92" s="16">
        <v>125.0</v>
      </c>
      <c r="L92" s="16">
        <v>1500.0</v>
      </c>
      <c r="M92" s="23" t="s">
        <v>71</v>
      </c>
      <c r="N92" s="23" t="s">
        <v>29</v>
      </c>
      <c r="O92" s="23" t="s">
        <v>72</v>
      </c>
      <c r="P92" s="13">
        <v>2067.0</v>
      </c>
      <c r="Q92" s="23" t="s">
        <v>30</v>
      </c>
      <c r="R92" s="23" t="s">
        <v>110</v>
      </c>
      <c r="S92" s="46" t="s">
        <v>193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>
      <c r="A93" s="12">
        <v>89.0</v>
      </c>
      <c r="B93" s="73" t="s">
        <v>488</v>
      </c>
      <c r="C93" s="12" t="s">
        <v>489</v>
      </c>
      <c r="D93" s="72" t="s">
        <v>490</v>
      </c>
      <c r="E93" s="72" t="s">
        <v>491</v>
      </c>
      <c r="F93" s="12" t="s">
        <v>492</v>
      </c>
      <c r="G93" s="12">
        <v>1.0</v>
      </c>
      <c r="H93" s="13" t="s">
        <v>493</v>
      </c>
      <c r="I93" s="14">
        <v>46051.0</v>
      </c>
      <c r="J93" s="14">
        <v>46051.0</v>
      </c>
      <c r="K93" s="16" t="s">
        <v>57</v>
      </c>
      <c r="L93" s="16">
        <v>300.0</v>
      </c>
      <c r="M93" s="23" t="s">
        <v>58</v>
      </c>
      <c r="N93" s="23" t="s">
        <v>29</v>
      </c>
      <c r="O93" s="23" t="s">
        <v>40</v>
      </c>
      <c r="P93" s="13">
        <v>2073.0</v>
      </c>
      <c r="Q93" s="23" t="s">
        <v>73</v>
      </c>
      <c r="R93" s="23" t="s">
        <v>49</v>
      </c>
      <c r="S93" s="26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>
      <c r="A94" s="12">
        <v>90.0</v>
      </c>
      <c r="B94" s="41" t="s">
        <v>494</v>
      </c>
      <c r="C94" s="74" t="s">
        <v>495</v>
      </c>
      <c r="D94" s="39" t="s">
        <v>496</v>
      </c>
      <c r="E94" s="39" t="s">
        <v>497</v>
      </c>
      <c r="F94" s="39" t="s">
        <v>498</v>
      </c>
      <c r="G94" s="39">
        <v>29.0</v>
      </c>
      <c r="H94" s="17" t="s">
        <v>499</v>
      </c>
      <c r="I94" s="51">
        <v>46051.0</v>
      </c>
      <c r="J94" s="51">
        <v>46052.0</v>
      </c>
      <c r="K94" s="52" t="s">
        <v>57</v>
      </c>
      <c r="L94" s="52">
        <v>1450.0</v>
      </c>
      <c r="M94" s="53" t="s">
        <v>71</v>
      </c>
      <c r="N94" s="53" t="s">
        <v>29</v>
      </c>
      <c r="O94" s="53" t="s">
        <v>72</v>
      </c>
      <c r="P94" s="17">
        <v>2088.0</v>
      </c>
      <c r="Q94" s="53" t="s">
        <v>233</v>
      </c>
      <c r="R94" s="53" t="s">
        <v>148</v>
      </c>
      <c r="S94" s="18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</row>
    <row r="95">
      <c r="A95" s="12">
        <v>91.0</v>
      </c>
      <c r="B95" s="74" t="s">
        <v>500</v>
      </c>
      <c r="C95" s="75" t="s">
        <v>501</v>
      </c>
      <c r="D95" s="39" t="s">
        <v>502</v>
      </c>
      <c r="E95" s="39" t="s">
        <v>503</v>
      </c>
      <c r="F95" s="39" t="s">
        <v>504</v>
      </c>
      <c r="G95" s="39">
        <v>23.0</v>
      </c>
      <c r="H95" s="17" t="s">
        <v>65</v>
      </c>
      <c r="I95" s="51">
        <v>46052.0</v>
      </c>
      <c r="J95" s="76"/>
      <c r="K95" s="52">
        <v>340.48</v>
      </c>
      <c r="L95" s="77">
        <f>K95*12</f>
        <v>4085.76</v>
      </c>
      <c r="M95" s="53" t="s">
        <v>58</v>
      </c>
      <c r="N95" s="53" t="s">
        <v>29</v>
      </c>
      <c r="O95" s="53"/>
      <c r="P95" s="18"/>
      <c r="Q95" s="53" t="s">
        <v>233</v>
      </c>
      <c r="R95" s="53" t="s">
        <v>148</v>
      </c>
      <c r="S95" s="18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</row>
    <row r="96">
      <c r="A96" s="12">
        <v>92.0</v>
      </c>
      <c r="B96" s="12" t="s">
        <v>505</v>
      </c>
      <c r="C96" s="12" t="s">
        <v>506</v>
      </c>
      <c r="D96" s="78" t="s">
        <v>507</v>
      </c>
      <c r="E96" s="32" t="s">
        <v>508</v>
      </c>
      <c r="F96" s="12" t="s">
        <v>509</v>
      </c>
      <c r="G96" s="33" t="s">
        <v>26</v>
      </c>
      <c r="H96" s="13" t="s">
        <v>510</v>
      </c>
      <c r="I96" s="70">
        <v>45967.0</v>
      </c>
      <c r="J96" s="70">
        <v>46052.0</v>
      </c>
      <c r="K96" s="16" t="s">
        <v>57</v>
      </c>
      <c r="L96" s="16">
        <v>6000.0</v>
      </c>
      <c r="M96" s="17" t="s">
        <v>71</v>
      </c>
      <c r="N96" s="17" t="s">
        <v>29</v>
      </c>
      <c r="O96" s="17" t="s">
        <v>72</v>
      </c>
      <c r="P96" s="17">
        <v>2085.0</v>
      </c>
      <c r="Q96" s="17" t="s">
        <v>41</v>
      </c>
      <c r="R96" s="17" t="s">
        <v>148</v>
      </c>
      <c r="S96" s="13" t="s">
        <v>511</v>
      </c>
    </row>
    <row r="97">
      <c r="A97" s="12">
        <v>93.0</v>
      </c>
      <c r="B97" s="12" t="s">
        <v>512</v>
      </c>
      <c r="C97" s="12" t="s">
        <v>513</v>
      </c>
      <c r="D97" s="12" t="s">
        <v>514</v>
      </c>
      <c r="E97" s="12" t="s">
        <v>515</v>
      </c>
      <c r="F97" s="12" t="s">
        <v>516</v>
      </c>
      <c r="G97" s="12">
        <v>3.0</v>
      </c>
      <c r="H97" s="13" t="s">
        <v>39</v>
      </c>
      <c r="I97" s="14">
        <v>45665.0</v>
      </c>
      <c r="J97" s="14">
        <v>46053.0</v>
      </c>
      <c r="K97" s="16">
        <v>142.5</v>
      </c>
      <c r="L97" s="16">
        <v>1710.0</v>
      </c>
      <c r="M97" s="23" t="s">
        <v>71</v>
      </c>
      <c r="N97" s="23" t="s">
        <v>29</v>
      </c>
      <c r="O97" s="23" t="s">
        <v>72</v>
      </c>
      <c r="P97" s="26"/>
      <c r="Q97" s="23" t="s">
        <v>98</v>
      </c>
      <c r="R97" s="23" t="s">
        <v>99</v>
      </c>
      <c r="S97" s="26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>
      <c r="A98" s="12">
        <v>94.0</v>
      </c>
      <c r="B98" s="12" t="s">
        <v>517</v>
      </c>
      <c r="C98" s="12" t="s">
        <v>518</v>
      </c>
      <c r="D98" s="12" t="s">
        <v>519</v>
      </c>
      <c r="E98" s="12" t="s">
        <v>520</v>
      </c>
      <c r="F98" s="12" t="s">
        <v>521</v>
      </c>
      <c r="G98" s="12">
        <v>1.0</v>
      </c>
      <c r="H98" s="13" t="s">
        <v>39</v>
      </c>
      <c r="I98" s="14">
        <v>46052.0</v>
      </c>
      <c r="J98" s="14">
        <v>46052.0</v>
      </c>
      <c r="K98" s="16">
        <v>147.29</v>
      </c>
      <c r="L98" s="16">
        <v>1767.56</v>
      </c>
      <c r="M98" s="23" t="s">
        <v>71</v>
      </c>
      <c r="N98" s="23" t="s">
        <v>29</v>
      </c>
      <c r="O98" s="23" t="s">
        <v>72</v>
      </c>
      <c r="P98" s="13">
        <v>2093.0</v>
      </c>
      <c r="Q98" s="23" t="s">
        <v>73</v>
      </c>
      <c r="R98" s="23" t="s">
        <v>129</v>
      </c>
      <c r="S98" s="26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>
      <c r="A99" s="12">
        <v>95.0</v>
      </c>
      <c r="B99" s="67" t="s">
        <v>522</v>
      </c>
      <c r="C99" s="67" t="s">
        <v>523</v>
      </c>
      <c r="D99" s="79" t="s">
        <v>524</v>
      </c>
      <c r="E99" s="12" t="s">
        <v>525</v>
      </c>
      <c r="F99" s="12" t="s">
        <v>526</v>
      </c>
      <c r="G99" s="12">
        <v>2.0</v>
      </c>
      <c r="H99" s="13" t="s">
        <v>527</v>
      </c>
      <c r="I99" s="70">
        <v>46051.0</v>
      </c>
      <c r="J99" s="14">
        <v>46051.0</v>
      </c>
      <c r="K99" s="16" t="s">
        <v>442</v>
      </c>
      <c r="L99" s="16">
        <v>400.0</v>
      </c>
      <c r="M99" s="23" t="s">
        <v>71</v>
      </c>
      <c r="N99" s="23" t="s">
        <v>29</v>
      </c>
      <c r="O99" s="23" t="s">
        <v>72</v>
      </c>
      <c r="P99" s="13">
        <v>2076.0</v>
      </c>
      <c r="Q99" s="23" t="s">
        <v>233</v>
      </c>
      <c r="R99" s="23" t="s">
        <v>31</v>
      </c>
      <c r="S99" s="26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>
      <c r="A100" s="12">
        <v>96.0</v>
      </c>
      <c r="B100" s="64" t="s">
        <v>528</v>
      </c>
      <c r="C100" s="64" t="s">
        <v>529</v>
      </c>
      <c r="D100" s="12" t="s">
        <v>530</v>
      </c>
      <c r="E100" s="12" t="s">
        <v>531</v>
      </c>
      <c r="F100" s="80" t="s">
        <v>532</v>
      </c>
      <c r="G100" s="12">
        <v>2.0</v>
      </c>
      <c r="H100" s="13" t="s">
        <v>65</v>
      </c>
      <c r="I100" s="14">
        <v>46056.0</v>
      </c>
      <c r="J100" s="15"/>
      <c r="K100" s="16">
        <v>110.81</v>
      </c>
      <c r="L100" s="25">
        <f>K100*12</f>
        <v>1329.72</v>
      </c>
      <c r="M100" s="23" t="s">
        <v>58</v>
      </c>
      <c r="N100" s="23" t="s">
        <v>29</v>
      </c>
      <c r="O100" s="23"/>
      <c r="P100" s="26"/>
      <c r="Q100" s="23" t="s">
        <v>73</v>
      </c>
      <c r="R100" s="23" t="s">
        <v>148</v>
      </c>
      <c r="S100" s="26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</row>
    <row r="101">
      <c r="A101" s="82"/>
      <c r="B101" s="82"/>
      <c r="C101" s="82"/>
      <c r="D101" s="82"/>
      <c r="E101" s="82"/>
      <c r="F101" s="82"/>
      <c r="G101" s="82"/>
      <c r="H101" s="83"/>
      <c r="I101" s="84"/>
      <c r="J101" s="84"/>
      <c r="K101" s="83"/>
      <c r="L101" s="85"/>
      <c r="M101" s="83"/>
      <c r="N101" s="83"/>
      <c r="O101" s="83"/>
      <c r="P101" s="83"/>
      <c r="Q101" s="83"/>
      <c r="R101" s="83"/>
      <c r="S101" s="8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>
      <c r="A102" s="82"/>
      <c r="B102" s="82"/>
      <c r="C102" s="82"/>
      <c r="D102" s="82"/>
      <c r="E102" s="82"/>
      <c r="F102" s="82"/>
      <c r="G102" s="82"/>
      <c r="H102" s="83"/>
      <c r="I102" s="84"/>
      <c r="J102" s="84"/>
      <c r="K102" s="83"/>
      <c r="L102" s="85"/>
      <c r="M102" s="83"/>
      <c r="N102" s="83"/>
      <c r="O102" s="83"/>
      <c r="P102" s="83"/>
      <c r="Q102" s="83"/>
      <c r="R102" s="83"/>
      <c r="S102" s="8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>
      <c r="A103" s="82"/>
      <c r="B103" s="82"/>
      <c r="C103" s="82"/>
      <c r="D103" s="82"/>
      <c r="E103" s="82"/>
      <c r="F103" s="82"/>
      <c r="G103" s="82"/>
      <c r="H103" s="83"/>
      <c r="I103" s="84"/>
      <c r="J103" s="84"/>
      <c r="K103" s="83"/>
      <c r="L103" s="85"/>
      <c r="M103" s="83"/>
      <c r="N103" s="83"/>
      <c r="O103" s="83"/>
      <c r="P103" s="83"/>
      <c r="Q103" s="83"/>
      <c r="R103" s="83"/>
      <c r="S103" s="8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>
      <c r="A104" s="82"/>
      <c r="B104" s="82"/>
      <c r="C104" s="82"/>
      <c r="D104" s="82"/>
      <c r="E104" s="82"/>
      <c r="F104" s="82"/>
      <c r="G104" s="82"/>
      <c r="H104" s="83"/>
      <c r="I104" s="84"/>
      <c r="J104" s="84"/>
      <c r="K104" s="83"/>
      <c r="L104" s="85"/>
      <c r="M104" s="83"/>
      <c r="N104" s="83"/>
      <c r="O104" s="83"/>
      <c r="P104" s="83"/>
      <c r="Q104" s="83"/>
      <c r="R104" s="83"/>
      <c r="S104" s="8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>
      <c r="A105" s="82"/>
      <c r="B105" s="82"/>
      <c r="C105" s="82"/>
      <c r="D105" s="82"/>
      <c r="E105" s="82"/>
      <c r="F105" s="82"/>
      <c r="G105" s="82"/>
      <c r="H105" s="83"/>
      <c r="I105" s="84"/>
      <c r="J105" s="84"/>
      <c r="K105" s="83"/>
      <c r="L105" s="85"/>
      <c r="M105" s="83"/>
      <c r="N105" s="83"/>
      <c r="O105" s="83"/>
      <c r="P105" s="83"/>
      <c r="Q105" s="83"/>
      <c r="R105" s="83"/>
      <c r="S105" s="8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>
      <c r="A106" s="82"/>
      <c r="B106" s="82"/>
      <c r="C106" s="82"/>
      <c r="D106" s="82"/>
      <c r="E106" s="82"/>
      <c r="F106" s="82"/>
      <c r="G106" s="82"/>
      <c r="H106" s="83"/>
      <c r="I106" s="84"/>
      <c r="J106" s="84"/>
      <c r="K106" s="83"/>
      <c r="L106" s="85"/>
      <c r="M106" s="83"/>
      <c r="N106" s="83"/>
      <c r="O106" s="83"/>
      <c r="P106" s="83"/>
      <c r="Q106" s="83"/>
      <c r="R106" s="83"/>
      <c r="S106" s="8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>
      <c r="A107" s="82"/>
      <c r="B107" s="82"/>
      <c r="C107" s="82"/>
      <c r="D107" s="82"/>
      <c r="E107" s="82"/>
      <c r="F107" s="82"/>
      <c r="G107" s="82"/>
      <c r="H107" s="83"/>
      <c r="I107" s="84"/>
      <c r="J107" s="84"/>
      <c r="K107" s="83"/>
      <c r="L107" s="85"/>
      <c r="M107" s="83"/>
      <c r="N107" s="83"/>
      <c r="O107" s="83"/>
      <c r="P107" s="83"/>
      <c r="Q107" s="83"/>
      <c r="R107" s="83"/>
      <c r="S107" s="8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>
      <c r="A108" s="82"/>
      <c r="B108" s="82"/>
      <c r="C108" s="82"/>
      <c r="D108" s="82"/>
      <c r="E108" s="82"/>
      <c r="F108" s="82"/>
      <c r="G108" s="82"/>
      <c r="H108" s="83"/>
      <c r="I108" s="84"/>
      <c r="J108" s="84"/>
      <c r="K108" s="83"/>
      <c r="L108" s="85"/>
      <c r="M108" s="83"/>
      <c r="N108" s="83"/>
      <c r="O108" s="83"/>
      <c r="P108" s="83"/>
      <c r="Q108" s="83"/>
      <c r="R108" s="83"/>
      <c r="S108" s="8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>
      <c r="A109" s="82"/>
      <c r="B109" s="82"/>
      <c r="C109" s="82"/>
      <c r="D109" s="82"/>
      <c r="E109" s="82"/>
      <c r="F109" s="82"/>
      <c r="G109" s="82"/>
      <c r="H109" s="83"/>
      <c r="I109" s="84"/>
      <c r="J109" s="84"/>
      <c r="K109" s="83"/>
      <c r="L109" s="85"/>
      <c r="M109" s="83"/>
      <c r="N109" s="83"/>
      <c r="O109" s="83"/>
      <c r="P109" s="83"/>
      <c r="Q109" s="83"/>
      <c r="R109" s="83"/>
      <c r="S109" s="8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>
      <c r="A110" s="82"/>
      <c r="B110" s="82"/>
      <c r="C110" s="82"/>
      <c r="D110" s="82"/>
      <c r="E110" s="82"/>
      <c r="F110" s="82"/>
      <c r="G110" s="82"/>
      <c r="H110" s="83"/>
      <c r="I110" s="84"/>
      <c r="J110" s="84"/>
      <c r="K110" s="83"/>
      <c r="L110" s="85"/>
      <c r="M110" s="83"/>
      <c r="N110" s="83"/>
      <c r="O110" s="83"/>
      <c r="P110" s="83"/>
      <c r="Q110" s="83"/>
      <c r="R110" s="83"/>
      <c r="S110" s="8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>
      <c r="A111" s="82"/>
      <c r="B111" s="82"/>
      <c r="C111" s="82"/>
      <c r="D111" s="82"/>
      <c r="E111" s="82"/>
      <c r="F111" s="82"/>
      <c r="G111" s="82"/>
      <c r="H111" s="83"/>
      <c r="I111" s="84"/>
      <c r="J111" s="84"/>
      <c r="K111" s="83"/>
      <c r="L111" s="85"/>
      <c r="M111" s="83"/>
      <c r="N111" s="83"/>
      <c r="O111" s="83"/>
      <c r="P111" s="83"/>
      <c r="Q111" s="83"/>
      <c r="R111" s="83"/>
      <c r="S111" s="8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>
      <c r="A112" s="82"/>
      <c r="B112" s="82"/>
      <c r="C112" s="82"/>
      <c r="D112" s="82"/>
      <c r="E112" s="82"/>
      <c r="F112" s="82"/>
      <c r="G112" s="82"/>
      <c r="H112" s="83"/>
      <c r="I112" s="84"/>
      <c r="J112" s="84"/>
      <c r="K112" s="83"/>
      <c r="L112" s="85"/>
      <c r="M112" s="83"/>
      <c r="N112" s="83"/>
      <c r="O112" s="83"/>
      <c r="P112" s="83"/>
      <c r="Q112" s="83"/>
      <c r="R112" s="83"/>
      <c r="S112" s="8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>
      <c r="A113" s="82"/>
      <c r="B113" s="82"/>
      <c r="C113" s="82"/>
      <c r="D113" s="82"/>
      <c r="E113" s="82"/>
      <c r="F113" s="82"/>
      <c r="G113" s="82"/>
      <c r="H113" s="83"/>
      <c r="I113" s="84"/>
      <c r="J113" s="84"/>
      <c r="K113" s="83"/>
      <c r="L113" s="85"/>
      <c r="M113" s="83"/>
      <c r="N113" s="83"/>
      <c r="O113" s="83"/>
      <c r="P113" s="83"/>
      <c r="Q113" s="83"/>
      <c r="R113" s="83"/>
      <c r="S113" s="8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>
      <c r="A114" s="82"/>
      <c r="B114" s="82"/>
      <c r="C114" s="82"/>
      <c r="D114" s="82"/>
      <c r="E114" s="82"/>
      <c r="F114" s="82"/>
      <c r="G114" s="82"/>
      <c r="H114" s="83"/>
      <c r="I114" s="84"/>
      <c r="J114" s="84"/>
      <c r="K114" s="83"/>
      <c r="L114" s="85"/>
      <c r="M114" s="83"/>
      <c r="N114" s="83"/>
      <c r="O114" s="83"/>
      <c r="P114" s="83"/>
      <c r="Q114" s="83"/>
      <c r="R114" s="83"/>
      <c r="S114" s="8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>
      <c r="A115" s="82"/>
      <c r="B115" s="82"/>
      <c r="C115" s="82"/>
      <c r="D115" s="82"/>
      <c r="E115" s="82"/>
      <c r="F115" s="82"/>
      <c r="G115" s="82"/>
      <c r="H115" s="83"/>
      <c r="I115" s="84"/>
      <c r="J115" s="84"/>
      <c r="K115" s="83"/>
      <c r="L115" s="85"/>
      <c r="M115" s="83"/>
      <c r="N115" s="83"/>
      <c r="O115" s="83"/>
      <c r="P115" s="83"/>
      <c r="Q115" s="83"/>
      <c r="R115" s="83"/>
      <c r="S115" s="8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>
      <c r="A116" s="82"/>
      <c r="B116" s="82"/>
      <c r="C116" s="82"/>
      <c r="D116" s="82"/>
      <c r="E116" s="82"/>
      <c r="F116" s="82"/>
      <c r="G116" s="82"/>
      <c r="H116" s="83"/>
      <c r="I116" s="84"/>
      <c r="J116" s="84"/>
      <c r="K116" s="83"/>
      <c r="L116" s="85"/>
      <c r="M116" s="83"/>
      <c r="N116" s="83"/>
      <c r="O116" s="83"/>
      <c r="P116" s="83"/>
      <c r="Q116" s="83"/>
      <c r="R116" s="83"/>
      <c r="S116" s="8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>
      <c r="A117" s="82"/>
      <c r="B117" s="82"/>
      <c r="C117" s="82"/>
      <c r="D117" s="82"/>
      <c r="E117" s="82"/>
      <c r="F117" s="82"/>
      <c r="G117" s="82"/>
      <c r="H117" s="83"/>
      <c r="I117" s="84"/>
      <c r="J117" s="84"/>
      <c r="K117" s="83"/>
      <c r="L117" s="85"/>
      <c r="M117" s="83"/>
      <c r="N117" s="83"/>
      <c r="O117" s="83"/>
      <c r="P117" s="83"/>
      <c r="Q117" s="83"/>
      <c r="R117" s="83"/>
      <c r="S117" s="8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>
      <c r="A118" s="82"/>
      <c r="B118" s="82"/>
      <c r="C118" s="82"/>
      <c r="D118" s="82"/>
      <c r="E118" s="82"/>
      <c r="F118" s="82"/>
      <c r="G118" s="82"/>
      <c r="H118" s="83"/>
      <c r="I118" s="84"/>
      <c r="J118" s="84"/>
      <c r="K118" s="83"/>
      <c r="L118" s="85"/>
      <c r="M118" s="83"/>
      <c r="N118" s="83"/>
      <c r="O118" s="83"/>
      <c r="P118" s="83"/>
      <c r="Q118" s="83"/>
      <c r="R118" s="83"/>
      <c r="S118" s="8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>
      <c r="A119" s="82"/>
      <c r="B119" s="82"/>
      <c r="C119" s="82"/>
      <c r="D119" s="82"/>
      <c r="E119" s="82"/>
      <c r="F119" s="82"/>
      <c r="G119" s="82"/>
      <c r="H119" s="83"/>
      <c r="I119" s="84"/>
      <c r="J119" s="84"/>
      <c r="K119" s="83"/>
      <c r="L119" s="85"/>
      <c r="M119" s="83"/>
      <c r="N119" s="83"/>
      <c r="O119" s="83"/>
      <c r="P119" s="83"/>
      <c r="Q119" s="83"/>
      <c r="R119" s="83"/>
      <c r="S119" s="8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>
      <c r="A120" s="82"/>
      <c r="B120" s="82"/>
      <c r="C120" s="82"/>
      <c r="D120" s="82"/>
      <c r="E120" s="82"/>
      <c r="F120" s="82"/>
      <c r="G120" s="82"/>
      <c r="H120" s="83"/>
      <c r="I120" s="84"/>
      <c r="J120" s="84"/>
      <c r="K120" s="83"/>
      <c r="L120" s="85"/>
      <c r="M120" s="83"/>
      <c r="N120" s="83"/>
      <c r="O120" s="83"/>
      <c r="P120" s="83"/>
      <c r="Q120" s="83"/>
      <c r="R120" s="83"/>
      <c r="S120" s="8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>
      <c r="A121" s="82"/>
      <c r="B121" s="82"/>
      <c r="C121" s="82"/>
      <c r="D121" s="82"/>
      <c r="E121" s="82"/>
      <c r="F121" s="82"/>
      <c r="G121" s="82"/>
      <c r="H121" s="83"/>
      <c r="I121" s="84"/>
      <c r="J121" s="84"/>
      <c r="K121" s="83"/>
      <c r="L121" s="85"/>
      <c r="M121" s="83"/>
      <c r="N121" s="83"/>
      <c r="O121" s="83"/>
      <c r="P121" s="83"/>
      <c r="Q121" s="83"/>
      <c r="R121" s="83"/>
      <c r="S121" s="8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>
      <c r="A122" s="82"/>
      <c r="B122" s="82"/>
      <c r="C122" s="82"/>
      <c r="D122" s="82"/>
      <c r="E122" s="82"/>
      <c r="F122" s="82"/>
      <c r="G122" s="82"/>
      <c r="H122" s="83"/>
      <c r="I122" s="84"/>
      <c r="J122" s="84"/>
      <c r="K122" s="83"/>
      <c r="L122" s="85"/>
      <c r="M122" s="83"/>
      <c r="N122" s="83"/>
      <c r="O122" s="83"/>
      <c r="P122" s="83"/>
      <c r="Q122" s="83"/>
      <c r="R122" s="83"/>
      <c r="S122" s="8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>
      <c r="A123" s="82"/>
      <c r="B123" s="82"/>
      <c r="C123" s="82"/>
      <c r="D123" s="82"/>
      <c r="E123" s="82"/>
      <c r="F123" s="82"/>
      <c r="G123" s="82"/>
      <c r="H123" s="83"/>
      <c r="I123" s="84"/>
      <c r="J123" s="84"/>
      <c r="K123" s="83"/>
      <c r="L123" s="85"/>
      <c r="M123" s="83"/>
      <c r="N123" s="83"/>
      <c r="O123" s="83"/>
      <c r="P123" s="83"/>
      <c r="Q123" s="83"/>
      <c r="R123" s="83"/>
      <c r="S123" s="8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>
      <c r="A124" s="82"/>
      <c r="B124" s="82"/>
      <c r="C124" s="82"/>
      <c r="D124" s="82"/>
      <c r="E124" s="82"/>
      <c r="F124" s="82"/>
      <c r="G124" s="82"/>
      <c r="H124" s="83"/>
      <c r="I124" s="84"/>
      <c r="J124" s="84"/>
      <c r="K124" s="83"/>
      <c r="L124" s="85"/>
      <c r="M124" s="83"/>
      <c r="N124" s="83"/>
      <c r="O124" s="83"/>
      <c r="P124" s="83"/>
      <c r="Q124" s="83"/>
      <c r="R124" s="83"/>
      <c r="S124" s="8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>
      <c r="A125" s="82"/>
      <c r="B125" s="82"/>
      <c r="C125" s="82"/>
      <c r="D125" s="82"/>
      <c r="E125" s="82"/>
      <c r="F125" s="82"/>
      <c r="G125" s="82"/>
      <c r="H125" s="83"/>
      <c r="I125" s="84"/>
      <c r="J125" s="84"/>
      <c r="K125" s="83"/>
      <c r="L125" s="85"/>
      <c r="M125" s="83"/>
      <c r="N125" s="83"/>
      <c r="O125" s="83"/>
      <c r="P125" s="83"/>
      <c r="Q125" s="83"/>
      <c r="R125" s="83"/>
      <c r="S125" s="8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>
      <c r="A126" s="82"/>
      <c r="B126" s="82"/>
      <c r="C126" s="82"/>
      <c r="D126" s="82"/>
      <c r="E126" s="82"/>
      <c r="F126" s="82"/>
      <c r="G126" s="82"/>
      <c r="H126" s="83"/>
      <c r="I126" s="84"/>
      <c r="J126" s="84"/>
      <c r="K126" s="83"/>
      <c r="L126" s="85"/>
      <c r="M126" s="83"/>
      <c r="N126" s="83"/>
      <c r="O126" s="83"/>
      <c r="P126" s="83"/>
      <c r="Q126" s="83"/>
      <c r="R126" s="83"/>
      <c r="S126" s="8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>
      <c r="A127" s="82"/>
      <c r="B127" s="82"/>
      <c r="C127" s="82"/>
      <c r="D127" s="82"/>
      <c r="E127" s="82"/>
      <c r="F127" s="82"/>
      <c r="G127" s="82"/>
      <c r="H127" s="83"/>
      <c r="I127" s="84"/>
      <c r="J127" s="84"/>
      <c r="K127" s="83"/>
      <c r="L127" s="85"/>
      <c r="M127" s="83"/>
      <c r="N127" s="83"/>
      <c r="O127" s="83"/>
      <c r="P127" s="83"/>
      <c r="Q127" s="83"/>
      <c r="R127" s="83"/>
      <c r="S127" s="8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>
      <c r="A128" s="82"/>
      <c r="B128" s="82"/>
      <c r="C128" s="82"/>
      <c r="D128" s="82"/>
      <c r="E128" s="82"/>
      <c r="F128" s="82"/>
      <c r="G128" s="82"/>
      <c r="H128" s="83"/>
      <c r="I128" s="84"/>
      <c r="J128" s="84"/>
      <c r="K128" s="83"/>
      <c r="L128" s="85"/>
      <c r="M128" s="83"/>
      <c r="N128" s="83"/>
      <c r="O128" s="83"/>
      <c r="P128" s="83"/>
      <c r="Q128" s="83"/>
      <c r="R128" s="83"/>
      <c r="S128" s="8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>
      <c r="A129" s="82"/>
      <c r="B129" s="82"/>
      <c r="C129" s="82"/>
      <c r="D129" s="82"/>
      <c r="E129" s="82"/>
      <c r="F129" s="82"/>
      <c r="G129" s="82"/>
      <c r="H129" s="83"/>
      <c r="I129" s="84"/>
      <c r="J129" s="84"/>
      <c r="K129" s="83"/>
      <c r="L129" s="85"/>
      <c r="M129" s="83"/>
      <c r="N129" s="83"/>
      <c r="O129" s="83"/>
      <c r="P129" s="83"/>
      <c r="Q129" s="83"/>
      <c r="R129" s="83"/>
      <c r="S129" s="8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>
      <c r="A130" s="82"/>
      <c r="B130" s="82"/>
      <c r="C130" s="82"/>
      <c r="D130" s="82"/>
      <c r="E130" s="82"/>
      <c r="F130" s="82"/>
      <c r="G130" s="82"/>
      <c r="H130" s="83"/>
      <c r="I130" s="84"/>
      <c r="J130" s="84"/>
      <c r="K130" s="83"/>
      <c r="L130" s="85"/>
      <c r="M130" s="83"/>
      <c r="N130" s="83"/>
      <c r="O130" s="83"/>
      <c r="P130" s="83"/>
      <c r="Q130" s="83"/>
      <c r="R130" s="83"/>
      <c r="S130" s="8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>
      <c r="A131" s="82"/>
      <c r="B131" s="82"/>
      <c r="C131" s="82"/>
      <c r="D131" s="82"/>
      <c r="E131" s="82"/>
      <c r="F131" s="82"/>
      <c r="G131" s="82"/>
      <c r="H131" s="83"/>
      <c r="I131" s="84"/>
      <c r="J131" s="84"/>
      <c r="K131" s="83"/>
      <c r="L131" s="85"/>
      <c r="M131" s="83"/>
      <c r="N131" s="83"/>
      <c r="O131" s="83"/>
      <c r="P131" s="83"/>
      <c r="Q131" s="83"/>
      <c r="R131" s="83"/>
      <c r="S131" s="8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>
      <c r="A132" s="82"/>
      <c r="B132" s="82"/>
      <c r="C132" s="82"/>
      <c r="D132" s="82"/>
      <c r="E132" s="82"/>
      <c r="F132" s="82"/>
      <c r="G132" s="82"/>
      <c r="H132" s="83"/>
      <c r="I132" s="84"/>
      <c r="J132" s="84"/>
      <c r="K132" s="83"/>
      <c r="L132" s="85"/>
      <c r="M132" s="83"/>
      <c r="N132" s="83"/>
      <c r="O132" s="83"/>
      <c r="P132" s="83"/>
      <c r="Q132" s="83"/>
      <c r="R132" s="83"/>
      <c r="S132" s="8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>
      <c r="A133" s="82"/>
      <c r="B133" s="82"/>
      <c r="C133" s="82"/>
      <c r="D133" s="82"/>
      <c r="E133" s="82"/>
      <c r="F133" s="82"/>
      <c r="G133" s="82"/>
      <c r="H133" s="83"/>
      <c r="I133" s="84"/>
      <c r="J133" s="84"/>
      <c r="K133" s="83"/>
      <c r="L133" s="85"/>
      <c r="M133" s="83"/>
      <c r="N133" s="83"/>
      <c r="O133" s="83"/>
      <c r="P133" s="83"/>
      <c r="Q133" s="83"/>
      <c r="R133" s="83"/>
      <c r="S133" s="8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>
      <c r="A134" s="82"/>
      <c r="B134" s="82"/>
      <c r="C134" s="82"/>
      <c r="D134" s="82"/>
      <c r="E134" s="82"/>
      <c r="F134" s="82"/>
      <c r="G134" s="82"/>
      <c r="H134" s="83"/>
      <c r="I134" s="84"/>
      <c r="J134" s="84"/>
      <c r="K134" s="83"/>
      <c r="L134" s="85"/>
      <c r="M134" s="83"/>
      <c r="N134" s="83"/>
      <c r="O134" s="83"/>
      <c r="P134" s="83"/>
      <c r="Q134" s="83"/>
      <c r="R134" s="83"/>
      <c r="S134" s="8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>
      <c r="A135" s="82"/>
      <c r="B135" s="82"/>
      <c r="C135" s="82"/>
      <c r="D135" s="82"/>
      <c r="E135" s="82"/>
      <c r="F135" s="82"/>
      <c r="G135" s="82"/>
      <c r="H135" s="83"/>
      <c r="I135" s="84"/>
      <c r="J135" s="84"/>
      <c r="K135" s="83"/>
      <c r="L135" s="85"/>
      <c r="M135" s="83"/>
      <c r="N135" s="83"/>
      <c r="O135" s="83"/>
      <c r="P135" s="83"/>
      <c r="Q135" s="83"/>
      <c r="R135" s="83"/>
      <c r="S135" s="8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>
      <c r="A136" s="82"/>
      <c r="B136" s="82"/>
      <c r="C136" s="82"/>
      <c r="D136" s="82"/>
      <c r="E136" s="82"/>
      <c r="F136" s="82"/>
      <c r="G136" s="82"/>
      <c r="H136" s="83"/>
      <c r="I136" s="84"/>
      <c r="J136" s="84"/>
      <c r="K136" s="83"/>
      <c r="L136" s="85"/>
      <c r="M136" s="83"/>
      <c r="N136" s="83"/>
      <c r="O136" s="83"/>
      <c r="P136" s="83"/>
      <c r="Q136" s="83"/>
      <c r="R136" s="83"/>
      <c r="S136" s="8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>
      <c r="A137" s="82"/>
      <c r="B137" s="82"/>
      <c r="C137" s="82"/>
      <c r="D137" s="82"/>
      <c r="E137" s="82"/>
      <c r="F137" s="82"/>
      <c r="G137" s="82"/>
      <c r="H137" s="83"/>
      <c r="I137" s="84"/>
      <c r="J137" s="84"/>
      <c r="K137" s="83"/>
      <c r="L137" s="85"/>
      <c r="M137" s="83"/>
      <c r="N137" s="83"/>
      <c r="O137" s="83"/>
      <c r="P137" s="83"/>
      <c r="Q137" s="83"/>
      <c r="R137" s="83"/>
      <c r="S137" s="8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>
      <c r="A138" s="82"/>
      <c r="B138" s="82"/>
      <c r="C138" s="82"/>
      <c r="D138" s="82"/>
      <c r="E138" s="82"/>
      <c r="F138" s="82"/>
      <c r="G138" s="82"/>
      <c r="H138" s="83"/>
      <c r="I138" s="84"/>
      <c r="J138" s="84"/>
      <c r="K138" s="83"/>
      <c r="L138" s="85"/>
      <c r="M138" s="83"/>
      <c r="N138" s="83"/>
      <c r="O138" s="83"/>
      <c r="P138" s="83"/>
      <c r="Q138" s="83"/>
      <c r="R138" s="83"/>
      <c r="S138" s="8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>
      <c r="A139" s="82"/>
      <c r="B139" s="82"/>
      <c r="C139" s="82"/>
      <c r="D139" s="82"/>
      <c r="E139" s="82"/>
      <c r="F139" s="82"/>
      <c r="G139" s="82"/>
      <c r="H139" s="83"/>
      <c r="I139" s="84"/>
      <c r="J139" s="84"/>
      <c r="K139" s="83"/>
      <c r="L139" s="85"/>
      <c r="M139" s="83"/>
      <c r="N139" s="83"/>
      <c r="O139" s="83"/>
      <c r="P139" s="83"/>
      <c r="Q139" s="83"/>
      <c r="R139" s="83"/>
      <c r="S139" s="8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>
      <c r="A140" s="82"/>
      <c r="B140" s="82"/>
      <c r="C140" s="82"/>
      <c r="D140" s="82"/>
      <c r="E140" s="82"/>
      <c r="F140" s="82"/>
      <c r="G140" s="82"/>
      <c r="H140" s="83"/>
      <c r="I140" s="84"/>
      <c r="J140" s="84"/>
      <c r="K140" s="83"/>
      <c r="L140" s="85"/>
      <c r="M140" s="83"/>
      <c r="N140" s="83"/>
      <c r="O140" s="83"/>
      <c r="P140" s="83"/>
      <c r="Q140" s="83"/>
      <c r="R140" s="83"/>
      <c r="S140" s="8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>
      <c r="A141" s="82"/>
      <c r="B141" s="82"/>
      <c r="C141" s="82"/>
      <c r="D141" s="82"/>
      <c r="E141" s="82"/>
      <c r="F141" s="82"/>
      <c r="G141" s="82"/>
      <c r="H141" s="83"/>
      <c r="I141" s="84"/>
      <c r="J141" s="84"/>
      <c r="K141" s="83"/>
      <c r="L141" s="85"/>
      <c r="M141" s="83"/>
      <c r="N141" s="83"/>
      <c r="O141" s="83"/>
      <c r="P141" s="83"/>
      <c r="Q141" s="83"/>
      <c r="R141" s="83"/>
      <c r="S141" s="8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>
      <c r="A142" s="82"/>
      <c r="B142" s="82"/>
      <c r="C142" s="82"/>
      <c r="D142" s="82"/>
      <c r="E142" s="82"/>
      <c r="F142" s="82"/>
      <c r="G142" s="82"/>
      <c r="H142" s="83"/>
      <c r="I142" s="84"/>
      <c r="J142" s="84"/>
      <c r="K142" s="83"/>
      <c r="L142" s="85"/>
      <c r="M142" s="83"/>
      <c r="N142" s="83"/>
      <c r="O142" s="83"/>
      <c r="P142" s="83"/>
      <c r="Q142" s="83"/>
      <c r="R142" s="83"/>
      <c r="S142" s="8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>
      <c r="A143" s="82"/>
      <c r="B143" s="82"/>
      <c r="C143" s="82"/>
      <c r="D143" s="82"/>
      <c r="E143" s="82"/>
      <c r="F143" s="82"/>
      <c r="G143" s="82"/>
      <c r="H143" s="83"/>
      <c r="I143" s="84"/>
      <c r="J143" s="84"/>
      <c r="K143" s="83"/>
      <c r="L143" s="85"/>
      <c r="M143" s="83"/>
      <c r="N143" s="83"/>
      <c r="O143" s="83"/>
      <c r="P143" s="83"/>
      <c r="Q143" s="83"/>
      <c r="R143" s="83"/>
      <c r="S143" s="8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>
      <c r="A144" s="82"/>
      <c r="B144" s="82"/>
      <c r="C144" s="82"/>
      <c r="D144" s="82"/>
      <c r="E144" s="82"/>
      <c r="F144" s="82"/>
      <c r="G144" s="82"/>
      <c r="H144" s="83"/>
      <c r="I144" s="84"/>
      <c r="J144" s="84"/>
      <c r="K144" s="83"/>
      <c r="L144" s="85"/>
      <c r="M144" s="83"/>
      <c r="N144" s="83"/>
      <c r="O144" s="83"/>
      <c r="P144" s="83"/>
      <c r="Q144" s="83"/>
      <c r="R144" s="83"/>
      <c r="S144" s="8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>
      <c r="A145" s="82"/>
      <c r="B145" s="82"/>
      <c r="C145" s="82"/>
      <c r="D145" s="82"/>
      <c r="E145" s="82"/>
      <c r="F145" s="82"/>
      <c r="G145" s="82"/>
      <c r="H145" s="83"/>
      <c r="I145" s="84"/>
      <c r="J145" s="84"/>
      <c r="K145" s="83"/>
      <c r="L145" s="85"/>
      <c r="M145" s="83"/>
      <c r="N145" s="83"/>
      <c r="O145" s="83"/>
      <c r="P145" s="83"/>
      <c r="Q145" s="83"/>
      <c r="R145" s="83"/>
      <c r="S145" s="8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>
      <c r="A146" s="82"/>
      <c r="B146" s="82"/>
      <c r="C146" s="82"/>
      <c r="D146" s="82"/>
      <c r="E146" s="82"/>
      <c r="F146" s="82"/>
      <c r="G146" s="82"/>
      <c r="H146" s="83"/>
      <c r="I146" s="84"/>
      <c r="J146" s="84"/>
      <c r="K146" s="83"/>
      <c r="L146" s="85"/>
      <c r="M146" s="83"/>
      <c r="N146" s="83"/>
      <c r="O146" s="83"/>
      <c r="P146" s="83"/>
      <c r="Q146" s="83"/>
      <c r="R146" s="83"/>
      <c r="S146" s="8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>
      <c r="A147" s="82"/>
      <c r="B147" s="82"/>
      <c r="C147" s="82"/>
      <c r="D147" s="82"/>
      <c r="E147" s="82"/>
      <c r="F147" s="82"/>
      <c r="G147" s="82"/>
      <c r="H147" s="83"/>
      <c r="I147" s="84"/>
      <c r="J147" s="84"/>
      <c r="K147" s="83"/>
      <c r="L147" s="85"/>
      <c r="M147" s="83"/>
      <c r="N147" s="83"/>
      <c r="O147" s="83"/>
      <c r="P147" s="83"/>
      <c r="Q147" s="83"/>
      <c r="R147" s="83"/>
      <c r="S147" s="8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>
      <c r="A148" s="82"/>
      <c r="B148" s="82"/>
      <c r="C148" s="82"/>
      <c r="D148" s="82"/>
      <c r="E148" s="82"/>
      <c r="F148" s="82"/>
      <c r="G148" s="82"/>
      <c r="H148" s="83"/>
      <c r="I148" s="84"/>
      <c r="J148" s="84"/>
      <c r="K148" s="83"/>
      <c r="L148" s="85"/>
      <c r="M148" s="83"/>
      <c r="N148" s="83"/>
      <c r="O148" s="83"/>
      <c r="P148" s="83"/>
      <c r="Q148" s="83"/>
      <c r="R148" s="83"/>
      <c r="S148" s="8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>
      <c r="A149" s="82"/>
      <c r="B149" s="82"/>
      <c r="C149" s="82"/>
      <c r="D149" s="82"/>
      <c r="E149" s="82"/>
      <c r="F149" s="82"/>
      <c r="G149" s="82"/>
      <c r="H149" s="83"/>
      <c r="I149" s="84"/>
      <c r="J149" s="84"/>
      <c r="K149" s="83"/>
      <c r="L149" s="85"/>
      <c r="M149" s="83"/>
      <c r="N149" s="83"/>
      <c r="O149" s="83"/>
      <c r="P149" s="83"/>
      <c r="Q149" s="83"/>
      <c r="R149" s="83"/>
      <c r="S149" s="8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>
      <c r="A150" s="82"/>
      <c r="B150" s="82"/>
      <c r="C150" s="82"/>
      <c r="D150" s="82"/>
      <c r="E150" s="82"/>
      <c r="F150" s="82"/>
      <c r="G150" s="82"/>
      <c r="H150" s="83"/>
      <c r="I150" s="84"/>
      <c r="J150" s="84"/>
      <c r="K150" s="83"/>
      <c r="L150" s="85"/>
      <c r="M150" s="83"/>
      <c r="N150" s="83"/>
      <c r="O150" s="83"/>
      <c r="P150" s="83"/>
      <c r="Q150" s="83"/>
      <c r="R150" s="83"/>
      <c r="S150" s="8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>
      <c r="A151" s="82"/>
      <c r="B151" s="82"/>
      <c r="C151" s="82"/>
      <c r="D151" s="82"/>
      <c r="E151" s="82"/>
      <c r="F151" s="82"/>
      <c r="G151" s="82"/>
      <c r="H151" s="83"/>
      <c r="I151" s="84"/>
      <c r="J151" s="84"/>
      <c r="K151" s="83"/>
      <c r="L151" s="85"/>
      <c r="M151" s="83"/>
      <c r="N151" s="83"/>
      <c r="O151" s="83"/>
      <c r="P151" s="83"/>
      <c r="Q151" s="83"/>
      <c r="R151" s="83"/>
      <c r="S151" s="8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>
      <c r="A152" s="82"/>
      <c r="B152" s="82"/>
      <c r="C152" s="82"/>
      <c r="D152" s="82"/>
      <c r="E152" s="82"/>
      <c r="F152" s="82"/>
      <c r="G152" s="82"/>
      <c r="H152" s="83"/>
      <c r="I152" s="84"/>
      <c r="J152" s="84"/>
      <c r="K152" s="83"/>
      <c r="L152" s="85"/>
      <c r="M152" s="83"/>
      <c r="N152" s="83"/>
      <c r="O152" s="83"/>
      <c r="P152" s="83"/>
      <c r="Q152" s="83"/>
      <c r="R152" s="83"/>
      <c r="S152" s="8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>
      <c r="A153" s="82"/>
      <c r="B153" s="82"/>
      <c r="C153" s="82"/>
      <c r="D153" s="82"/>
      <c r="E153" s="82"/>
      <c r="F153" s="82"/>
      <c r="G153" s="82"/>
      <c r="H153" s="83"/>
      <c r="I153" s="84"/>
      <c r="J153" s="84"/>
      <c r="K153" s="83"/>
      <c r="L153" s="85"/>
      <c r="M153" s="83"/>
      <c r="N153" s="83"/>
      <c r="O153" s="83"/>
      <c r="P153" s="83"/>
      <c r="Q153" s="83"/>
      <c r="R153" s="83"/>
      <c r="S153" s="8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>
      <c r="A154" s="82"/>
      <c r="B154" s="82"/>
      <c r="C154" s="82"/>
      <c r="D154" s="82"/>
      <c r="E154" s="82"/>
      <c r="F154" s="82"/>
      <c r="G154" s="82"/>
      <c r="H154" s="83"/>
      <c r="I154" s="84"/>
      <c r="J154" s="84"/>
      <c r="K154" s="83"/>
      <c r="L154" s="85"/>
      <c r="M154" s="83"/>
      <c r="N154" s="83"/>
      <c r="O154" s="83"/>
      <c r="P154" s="83"/>
      <c r="Q154" s="83"/>
      <c r="R154" s="83"/>
      <c r="S154" s="8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>
      <c r="A155" s="82"/>
      <c r="B155" s="82"/>
      <c r="C155" s="82"/>
      <c r="D155" s="82"/>
      <c r="E155" s="82"/>
      <c r="F155" s="82"/>
      <c r="G155" s="82"/>
      <c r="H155" s="83"/>
      <c r="I155" s="84"/>
      <c r="J155" s="84"/>
      <c r="K155" s="83"/>
      <c r="L155" s="85"/>
      <c r="M155" s="83"/>
      <c r="N155" s="83"/>
      <c r="O155" s="83"/>
      <c r="P155" s="83"/>
      <c r="Q155" s="83"/>
      <c r="R155" s="83"/>
      <c r="S155" s="8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>
      <c r="A156" s="82"/>
      <c r="B156" s="82"/>
      <c r="C156" s="82"/>
      <c r="D156" s="82"/>
      <c r="E156" s="82"/>
      <c r="F156" s="82"/>
      <c r="G156" s="82"/>
      <c r="H156" s="83"/>
      <c r="I156" s="84"/>
      <c r="J156" s="84"/>
      <c r="K156" s="83"/>
      <c r="L156" s="85"/>
      <c r="M156" s="83"/>
      <c r="N156" s="83"/>
      <c r="O156" s="83"/>
      <c r="P156" s="83"/>
      <c r="Q156" s="83"/>
      <c r="R156" s="83"/>
      <c r="S156" s="8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>
      <c r="A157" s="82"/>
      <c r="B157" s="82"/>
      <c r="C157" s="82"/>
      <c r="D157" s="82"/>
      <c r="E157" s="82"/>
      <c r="F157" s="82"/>
      <c r="G157" s="82"/>
      <c r="H157" s="83"/>
      <c r="I157" s="84"/>
      <c r="J157" s="84"/>
      <c r="K157" s="83"/>
      <c r="L157" s="85"/>
      <c r="M157" s="83"/>
      <c r="N157" s="83"/>
      <c r="O157" s="83"/>
      <c r="P157" s="83"/>
      <c r="Q157" s="83"/>
      <c r="R157" s="83"/>
      <c r="S157" s="8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>
      <c r="A158" s="82"/>
      <c r="B158" s="82"/>
      <c r="C158" s="82"/>
      <c r="D158" s="82"/>
      <c r="E158" s="82"/>
      <c r="F158" s="82"/>
      <c r="G158" s="82"/>
      <c r="H158" s="83"/>
      <c r="I158" s="84"/>
      <c r="J158" s="84"/>
      <c r="K158" s="83"/>
      <c r="L158" s="85"/>
      <c r="M158" s="83"/>
      <c r="N158" s="83"/>
      <c r="O158" s="83"/>
      <c r="P158" s="83"/>
      <c r="Q158" s="83"/>
      <c r="R158" s="83"/>
      <c r="S158" s="8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>
      <c r="A159" s="82"/>
      <c r="B159" s="82"/>
      <c r="C159" s="82"/>
      <c r="D159" s="82"/>
      <c r="E159" s="82"/>
      <c r="F159" s="82"/>
      <c r="G159" s="82"/>
      <c r="H159" s="83"/>
      <c r="I159" s="84"/>
      <c r="J159" s="84"/>
      <c r="K159" s="83"/>
      <c r="L159" s="85"/>
      <c r="M159" s="83"/>
      <c r="N159" s="83"/>
      <c r="O159" s="83"/>
      <c r="P159" s="83"/>
      <c r="Q159" s="83"/>
      <c r="R159" s="83"/>
      <c r="S159" s="8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>
      <c r="A160" s="82"/>
      <c r="B160" s="82"/>
      <c r="C160" s="82"/>
      <c r="D160" s="82"/>
      <c r="E160" s="82"/>
      <c r="F160" s="82"/>
      <c r="G160" s="82"/>
      <c r="H160" s="83"/>
      <c r="I160" s="84"/>
      <c r="J160" s="84"/>
      <c r="K160" s="83"/>
      <c r="L160" s="85"/>
      <c r="M160" s="83"/>
      <c r="N160" s="83"/>
      <c r="O160" s="83"/>
      <c r="P160" s="83"/>
      <c r="Q160" s="83"/>
      <c r="R160" s="83"/>
      <c r="S160" s="8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>
      <c r="A161" s="82"/>
      <c r="B161" s="82"/>
      <c r="C161" s="82"/>
      <c r="D161" s="82"/>
      <c r="E161" s="82"/>
      <c r="F161" s="82"/>
      <c r="G161" s="82"/>
      <c r="H161" s="83"/>
      <c r="I161" s="84"/>
      <c r="J161" s="84"/>
      <c r="K161" s="83"/>
      <c r="L161" s="85"/>
      <c r="M161" s="83"/>
      <c r="N161" s="83"/>
      <c r="O161" s="83"/>
      <c r="P161" s="83"/>
      <c r="Q161" s="83"/>
      <c r="R161" s="83"/>
      <c r="S161" s="8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>
      <c r="A162" s="82"/>
      <c r="B162" s="82"/>
      <c r="C162" s="82"/>
      <c r="D162" s="82"/>
      <c r="E162" s="82"/>
      <c r="F162" s="82"/>
      <c r="G162" s="82"/>
      <c r="H162" s="83"/>
      <c r="I162" s="84"/>
      <c r="J162" s="84"/>
      <c r="K162" s="83"/>
      <c r="L162" s="85"/>
      <c r="M162" s="83"/>
      <c r="N162" s="83"/>
      <c r="O162" s="83"/>
      <c r="P162" s="83"/>
      <c r="Q162" s="83"/>
      <c r="R162" s="83"/>
      <c r="S162" s="8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>
      <c r="A163" s="82"/>
      <c r="B163" s="82"/>
      <c r="C163" s="82"/>
      <c r="D163" s="82"/>
      <c r="E163" s="82"/>
      <c r="F163" s="82"/>
      <c r="G163" s="82"/>
      <c r="H163" s="83"/>
      <c r="I163" s="84"/>
      <c r="J163" s="84"/>
      <c r="K163" s="83"/>
      <c r="L163" s="85"/>
      <c r="M163" s="83"/>
      <c r="N163" s="83"/>
      <c r="O163" s="83"/>
      <c r="P163" s="83"/>
      <c r="Q163" s="83"/>
      <c r="R163" s="83"/>
      <c r="S163" s="8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>
      <c r="A164" s="82"/>
      <c r="B164" s="82"/>
      <c r="C164" s="82"/>
      <c r="D164" s="82"/>
      <c r="E164" s="82"/>
      <c r="F164" s="82"/>
      <c r="G164" s="82"/>
      <c r="H164" s="83"/>
      <c r="I164" s="84"/>
      <c r="J164" s="84"/>
      <c r="K164" s="83"/>
      <c r="L164" s="85"/>
      <c r="M164" s="83"/>
      <c r="N164" s="83"/>
      <c r="O164" s="83"/>
      <c r="P164" s="83"/>
      <c r="Q164" s="83"/>
      <c r="R164" s="83"/>
      <c r="S164" s="8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>
      <c r="A165" s="82"/>
      <c r="B165" s="82"/>
      <c r="C165" s="82"/>
      <c r="D165" s="82"/>
      <c r="E165" s="82"/>
      <c r="F165" s="82"/>
      <c r="G165" s="82"/>
      <c r="H165" s="83"/>
      <c r="I165" s="84"/>
      <c r="J165" s="84"/>
      <c r="K165" s="83"/>
      <c r="L165" s="85"/>
      <c r="M165" s="83"/>
      <c r="N165" s="83"/>
      <c r="O165" s="83"/>
      <c r="P165" s="83"/>
      <c r="Q165" s="83"/>
      <c r="R165" s="83"/>
      <c r="S165" s="8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>
      <c r="A166" s="82"/>
      <c r="B166" s="82"/>
      <c r="C166" s="82"/>
      <c r="D166" s="82"/>
      <c r="E166" s="82"/>
      <c r="F166" s="82"/>
      <c r="G166" s="82"/>
      <c r="H166" s="83"/>
      <c r="I166" s="84"/>
      <c r="J166" s="84"/>
      <c r="K166" s="83"/>
      <c r="L166" s="85"/>
      <c r="M166" s="83"/>
      <c r="N166" s="83"/>
      <c r="O166" s="83"/>
      <c r="P166" s="83"/>
      <c r="Q166" s="83"/>
      <c r="R166" s="83"/>
      <c r="S166" s="8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>
      <c r="A167" s="82"/>
      <c r="B167" s="82"/>
      <c r="C167" s="82"/>
      <c r="D167" s="82"/>
      <c r="E167" s="82"/>
      <c r="F167" s="82"/>
      <c r="G167" s="82"/>
      <c r="H167" s="83"/>
      <c r="I167" s="84"/>
      <c r="J167" s="84"/>
      <c r="K167" s="83"/>
      <c r="L167" s="85"/>
      <c r="M167" s="83"/>
      <c r="N167" s="83"/>
      <c r="O167" s="83"/>
      <c r="P167" s="83"/>
      <c r="Q167" s="83"/>
      <c r="R167" s="83"/>
      <c r="S167" s="8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>
      <c r="A168" s="82"/>
      <c r="B168" s="82"/>
      <c r="C168" s="82"/>
      <c r="D168" s="82"/>
      <c r="E168" s="82"/>
      <c r="F168" s="82"/>
      <c r="G168" s="82"/>
      <c r="H168" s="83"/>
      <c r="I168" s="84"/>
      <c r="J168" s="84"/>
      <c r="K168" s="83"/>
      <c r="L168" s="85"/>
      <c r="M168" s="83"/>
      <c r="N168" s="83"/>
      <c r="O168" s="83"/>
      <c r="P168" s="83"/>
      <c r="Q168" s="83"/>
      <c r="R168" s="83"/>
      <c r="S168" s="8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>
      <c r="A169" s="82"/>
      <c r="B169" s="82"/>
      <c r="C169" s="82"/>
      <c r="D169" s="82"/>
      <c r="E169" s="82"/>
      <c r="F169" s="82"/>
      <c r="G169" s="82"/>
      <c r="H169" s="83"/>
      <c r="I169" s="84"/>
      <c r="J169" s="84"/>
      <c r="K169" s="83"/>
      <c r="L169" s="85"/>
      <c r="M169" s="83"/>
      <c r="N169" s="83"/>
      <c r="O169" s="83"/>
      <c r="P169" s="83"/>
      <c r="Q169" s="83"/>
      <c r="R169" s="83"/>
      <c r="S169" s="8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>
      <c r="A170" s="82"/>
      <c r="B170" s="82"/>
      <c r="C170" s="82"/>
      <c r="D170" s="82"/>
      <c r="E170" s="82"/>
      <c r="F170" s="82"/>
      <c r="G170" s="82"/>
      <c r="H170" s="83"/>
      <c r="I170" s="84"/>
      <c r="J170" s="84"/>
      <c r="K170" s="83"/>
      <c r="L170" s="85"/>
      <c r="M170" s="83"/>
      <c r="N170" s="83"/>
      <c r="O170" s="83"/>
      <c r="P170" s="83"/>
      <c r="Q170" s="83"/>
      <c r="R170" s="83"/>
      <c r="S170" s="8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>
      <c r="A171" s="82"/>
      <c r="B171" s="82"/>
      <c r="C171" s="82"/>
      <c r="D171" s="82"/>
      <c r="E171" s="82"/>
      <c r="F171" s="82"/>
      <c r="G171" s="82"/>
      <c r="H171" s="83"/>
      <c r="I171" s="84"/>
      <c r="J171" s="84"/>
      <c r="K171" s="83"/>
      <c r="L171" s="85"/>
      <c r="M171" s="83"/>
      <c r="N171" s="83"/>
      <c r="O171" s="83"/>
      <c r="P171" s="83"/>
      <c r="Q171" s="83"/>
      <c r="R171" s="83"/>
      <c r="S171" s="8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>
      <c r="A172" s="82"/>
      <c r="B172" s="82"/>
      <c r="C172" s="82"/>
      <c r="D172" s="82"/>
      <c r="E172" s="82"/>
      <c r="F172" s="82"/>
      <c r="G172" s="82"/>
      <c r="H172" s="83"/>
      <c r="I172" s="84"/>
      <c r="J172" s="84"/>
      <c r="K172" s="83"/>
      <c r="L172" s="85"/>
      <c r="M172" s="83"/>
      <c r="N172" s="83"/>
      <c r="O172" s="83"/>
      <c r="P172" s="83"/>
      <c r="Q172" s="83"/>
      <c r="R172" s="83"/>
      <c r="S172" s="8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>
      <c r="A173" s="82"/>
      <c r="B173" s="82"/>
      <c r="C173" s="82"/>
      <c r="D173" s="82"/>
      <c r="E173" s="82"/>
      <c r="F173" s="82"/>
      <c r="G173" s="82"/>
      <c r="H173" s="83"/>
      <c r="I173" s="84"/>
      <c r="J173" s="84"/>
      <c r="K173" s="83"/>
      <c r="L173" s="85"/>
      <c r="M173" s="83"/>
      <c r="N173" s="83"/>
      <c r="O173" s="83"/>
      <c r="P173" s="83"/>
      <c r="Q173" s="83"/>
      <c r="R173" s="83"/>
      <c r="S173" s="8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>
      <c r="A174" s="82"/>
      <c r="B174" s="82"/>
      <c r="C174" s="82"/>
      <c r="D174" s="82"/>
      <c r="E174" s="82"/>
      <c r="F174" s="82"/>
      <c r="G174" s="82"/>
      <c r="H174" s="83"/>
      <c r="I174" s="84"/>
      <c r="J174" s="84"/>
      <c r="K174" s="83"/>
      <c r="L174" s="85"/>
      <c r="M174" s="83"/>
      <c r="N174" s="83"/>
      <c r="O174" s="83"/>
      <c r="P174" s="83"/>
      <c r="Q174" s="83"/>
      <c r="R174" s="83"/>
      <c r="S174" s="8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>
      <c r="A175" s="82"/>
      <c r="B175" s="82"/>
      <c r="C175" s="82"/>
      <c r="D175" s="82"/>
      <c r="E175" s="82"/>
      <c r="F175" s="82"/>
      <c r="G175" s="82"/>
      <c r="H175" s="83"/>
      <c r="I175" s="84"/>
      <c r="J175" s="84"/>
      <c r="K175" s="83"/>
      <c r="L175" s="85"/>
      <c r="M175" s="83"/>
      <c r="N175" s="83"/>
      <c r="O175" s="83"/>
      <c r="P175" s="83"/>
      <c r="Q175" s="83"/>
      <c r="R175" s="83"/>
      <c r="S175" s="8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>
      <c r="A176" s="82"/>
      <c r="B176" s="82"/>
      <c r="C176" s="82"/>
      <c r="D176" s="82"/>
      <c r="E176" s="82"/>
      <c r="F176" s="82"/>
      <c r="G176" s="82"/>
      <c r="H176" s="83"/>
      <c r="I176" s="84"/>
      <c r="J176" s="84"/>
      <c r="K176" s="83"/>
      <c r="L176" s="85"/>
      <c r="M176" s="83"/>
      <c r="N176" s="83"/>
      <c r="O176" s="83"/>
      <c r="P176" s="83"/>
      <c r="Q176" s="83"/>
      <c r="R176" s="83"/>
      <c r="S176" s="8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>
      <c r="A177" s="82"/>
      <c r="B177" s="82"/>
      <c r="C177" s="82"/>
      <c r="D177" s="82"/>
      <c r="E177" s="82"/>
      <c r="F177" s="82"/>
      <c r="G177" s="82"/>
      <c r="H177" s="83"/>
      <c r="I177" s="84"/>
      <c r="J177" s="84"/>
      <c r="K177" s="83"/>
      <c r="L177" s="85"/>
      <c r="M177" s="83"/>
      <c r="N177" s="83"/>
      <c r="O177" s="83"/>
      <c r="P177" s="83"/>
      <c r="Q177" s="83"/>
      <c r="R177" s="83"/>
      <c r="S177" s="8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>
      <c r="A178" s="82"/>
      <c r="B178" s="82"/>
      <c r="C178" s="82"/>
      <c r="D178" s="82"/>
      <c r="E178" s="82"/>
      <c r="F178" s="82"/>
      <c r="G178" s="82"/>
      <c r="H178" s="83"/>
      <c r="I178" s="84"/>
      <c r="J178" s="84"/>
      <c r="K178" s="83"/>
      <c r="L178" s="85"/>
      <c r="M178" s="83"/>
      <c r="N178" s="83"/>
      <c r="O178" s="83"/>
      <c r="P178" s="83"/>
      <c r="Q178" s="83"/>
      <c r="R178" s="83"/>
      <c r="S178" s="8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>
      <c r="A179" s="82"/>
      <c r="B179" s="82"/>
      <c r="C179" s="82"/>
      <c r="D179" s="82"/>
      <c r="E179" s="82"/>
      <c r="F179" s="82"/>
      <c r="G179" s="82"/>
      <c r="H179" s="83"/>
      <c r="I179" s="84"/>
      <c r="J179" s="84"/>
      <c r="K179" s="83"/>
      <c r="L179" s="85"/>
      <c r="M179" s="83"/>
      <c r="N179" s="83"/>
      <c r="O179" s="83"/>
      <c r="P179" s="83"/>
      <c r="Q179" s="83"/>
      <c r="R179" s="83"/>
      <c r="S179" s="8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>
      <c r="A180" s="82"/>
      <c r="B180" s="82"/>
      <c r="C180" s="82"/>
      <c r="D180" s="82"/>
      <c r="E180" s="82"/>
      <c r="F180" s="82"/>
      <c r="G180" s="82"/>
      <c r="H180" s="83"/>
      <c r="I180" s="84"/>
      <c r="J180" s="84"/>
      <c r="K180" s="83"/>
      <c r="L180" s="85"/>
      <c r="M180" s="83"/>
      <c r="N180" s="83"/>
      <c r="O180" s="83"/>
      <c r="P180" s="83"/>
      <c r="Q180" s="83"/>
      <c r="R180" s="83"/>
      <c r="S180" s="8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>
      <c r="A181" s="82"/>
      <c r="B181" s="82"/>
      <c r="C181" s="82"/>
      <c r="D181" s="82"/>
      <c r="E181" s="82"/>
      <c r="F181" s="82"/>
      <c r="G181" s="82"/>
      <c r="H181" s="83"/>
      <c r="I181" s="84"/>
      <c r="J181" s="84"/>
      <c r="K181" s="83"/>
      <c r="L181" s="85"/>
      <c r="M181" s="83"/>
      <c r="N181" s="83"/>
      <c r="O181" s="83"/>
      <c r="P181" s="83"/>
      <c r="Q181" s="83"/>
      <c r="R181" s="83"/>
      <c r="S181" s="8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>
      <c r="A182" s="82"/>
      <c r="B182" s="82"/>
      <c r="C182" s="82"/>
      <c r="D182" s="82"/>
      <c r="E182" s="82"/>
      <c r="F182" s="82"/>
      <c r="G182" s="82"/>
      <c r="H182" s="83"/>
      <c r="I182" s="84"/>
      <c r="J182" s="84"/>
      <c r="K182" s="83"/>
      <c r="L182" s="85"/>
      <c r="M182" s="83"/>
      <c r="N182" s="83"/>
      <c r="O182" s="83"/>
      <c r="P182" s="83"/>
      <c r="Q182" s="83"/>
      <c r="R182" s="83"/>
      <c r="S182" s="8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>
      <c r="A183" s="82"/>
      <c r="B183" s="82"/>
      <c r="C183" s="82"/>
      <c r="D183" s="82"/>
      <c r="E183" s="82"/>
      <c r="F183" s="82"/>
      <c r="G183" s="82"/>
      <c r="H183" s="83"/>
      <c r="I183" s="84"/>
      <c r="J183" s="84"/>
      <c r="K183" s="83"/>
      <c r="L183" s="85"/>
      <c r="M183" s="83"/>
      <c r="N183" s="83"/>
      <c r="O183" s="83"/>
      <c r="P183" s="83"/>
      <c r="Q183" s="83"/>
      <c r="R183" s="83"/>
      <c r="S183" s="8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>
      <c r="A184" s="82"/>
      <c r="B184" s="82"/>
      <c r="C184" s="82"/>
      <c r="D184" s="82"/>
      <c r="E184" s="82"/>
      <c r="F184" s="82"/>
      <c r="G184" s="82"/>
      <c r="H184" s="83"/>
      <c r="I184" s="84"/>
      <c r="J184" s="84"/>
      <c r="K184" s="83"/>
      <c r="L184" s="85"/>
      <c r="M184" s="83"/>
      <c r="N184" s="83"/>
      <c r="O184" s="83"/>
      <c r="P184" s="83"/>
      <c r="Q184" s="83"/>
      <c r="R184" s="83"/>
      <c r="S184" s="8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>
      <c r="A185" s="82"/>
      <c r="B185" s="82"/>
      <c r="C185" s="82"/>
      <c r="D185" s="82"/>
      <c r="E185" s="82"/>
      <c r="F185" s="82"/>
      <c r="G185" s="82"/>
      <c r="H185" s="83"/>
      <c r="I185" s="84"/>
      <c r="J185" s="84"/>
      <c r="K185" s="83"/>
      <c r="L185" s="85"/>
      <c r="M185" s="83"/>
      <c r="N185" s="83"/>
      <c r="O185" s="83"/>
      <c r="P185" s="83"/>
      <c r="Q185" s="83"/>
      <c r="R185" s="83"/>
      <c r="S185" s="8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>
      <c r="A186" s="82"/>
      <c r="B186" s="82"/>
      <c r="C186" s="82"/>
      <c r="D186" s="82"/>
      <c r="E186" s="82"/>
      <c r="F186" s="82"/>
      <c r="G186" s="82"/>
      <c r="H186" s="83"/>
      <c r="I186" s="84"/>
      <c r="J186" s="84"/>
      <c r="K186" s="83"/>
      <c r="L186" s="85"/>
      <c r="M186" s="83"/>
      <c r="N186" s="83"/>
      <c r="O186" s="83"/>
      <c r="P186" s="83"/>
      <c r="Q186" s="83"/>
      <c r="R186" s="83"/>
      <c r="S186" s="8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>
      <c r="A187" s="82"/>
      <c r="B187" s="82"/>
      <c r="C187" s="82"/>
      <c r="D187" s="82"/>
      <c r="E187" s="82"/>
      <c r="F187" s="82"/>
      <c r="G187" s="82"/>
      <c r="H187" s="83"/>
      <c r="I187" s="84"/>
      <c r="J187" s="84"/>
      <c r="K187" s="83"/>
      <c r="L187" s="85"/>
      <c r="M187" s="83"/>
      <c r="N187" s="83"/>
      <c r="O187" s="83"/>
      <c r="P187" s="83"/>
      <c r="Q187" s="83"/>
      <c r="R187" s="83"/>
      <c r="S187" s="8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>
      <c r="A188" s="82"/>
      <c r="B188" s="82"/>
      <c r="C188" s="82"/>
      <c r="D188" s="82"/>
      <c r="E188" s="82"/>
      <c r="F188" s="82"/>
      <c r="G188" s="82"/>
      <c r="H188" s="83"/>
      <c r="I188" s="84"/>
      <c r="J188" s="84"/>
      <c r="K188" s="83"/>
      <c r="L188" s="85"/>
      <c r="M188" s="83"/>
      <c r="N188" s="83"/>
      <c r="O188" s="83"/>
      <c r="P188" s="83"/>
      <c r="Q188" s="83"/>
      <c r="R188" s="83"/>
      <c r="S188" s="8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>
      <c r="A189" s="82"/>
      <c r="B189" s="82"/>
      <c r="C189" s="82"/>
      <c r="D189" s="82"/>
      <c r="E189" s="82"/>
      <c r="F189" s="82"/>
      <c r="G189" s="82"/>
      <c r="H189" s="83"/>
      <c r="I189" s="84"/>
      <c r="J189" s="84"/>
      <c r="K189" s="83"/>
      <c r="L189" s="85"/>
      <c r="M189" s="83"/>
      <c r="N189" s="83"/>
      <c r="O189" s="83"/>
      <c r="P189" s="83"/>
      <c r="Q189" s="83"/>
      <c r="R189" s="83"/>
      <c r="S189" s="8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>
      <c r="A190" s="82"/>
      <c r="B190" s="82"/>
      <c r="C190" s="82"/>
      <c r="D190" s="82"/>
      <c r="E190" s="82"/>
      <c r="F190" s="82"/>
      <c r="G190" s="82"/>
      <c r="H190" s="83"/>
      <c r="I190" s="84"/>
      <c r="J190" s="84"/>
      <c r="K190" s="83"/>
      <c r="L190" s="85"/>
      <c r="M190" s="83"/>
      <c r="N190" s="83"/>
      <c r="O190" s="83"/>
      <c r="P190" s="83"/>
      <c r="Q190" s="83"/>
      <c r="R190" s="83"/>
      <c r="S190" s="8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>
      <c r="A191" s="82"/>
      <c r="B191" s="82"/>
      <c r="C191" s="82"/>
      <c r="D191" s="82"/>
      <c r="E191" s="82"/>
      <c r="F191" s="82"/>
      <c r="G191" s="82"/>
      <c r="H191" s="83"/>
      <c r="I191" s="84"/>
      <c r="J191" s="84"/>
      <c r="K191" s="83"/>
      <c r="L191" s="85"/>
      <c r="M191" s="83"/>
      <c r="N191" s="83"/>
      <c r="O191" s="83"/>
      <c r="P191" s="83"/>
      <c r="Q191" s="83"/>
      <c r="R191" s="83"/>
      <c r="S191" s="8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>
      <c r="A192" s="82"/>
      <c r="B192" s="82"/>
      <c r="C192" s="82"/>
      <c r="D192" s="82"/>
      <c r="E192" s="82"/>
      <c r="F192" s="82"/>
      <c r="G192" s="82"/>
      <c r="H192" s="83"/>
      <c r="I192" s="84"/>
      <c r="J192" s="84"/>
      <c r="K192" s="83"/>
      <c r="L192" s="85"/>
      <c r="M192" s="83"/>
      <c r="N192" s="83"/>
      <c r="O192" s="83"/>
      <c r="P192" s="83"/>
      <c r="Q192" s="83"/>
      <c r="R192" s="83"/>
      <c r="S192" s="8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>
      <c r="A193" s="82"/>
      <c r="B193" s="82"/>
      <c r="C193" s="82"/>
      <c r="D193" s="82"/>
      <c r="E193" s="82"/>
      <c r="F193" s="82"/>
      <c r="G193" s="82"/>
      <c r="H193" s="83"/>
      <c r="I193" s="84"/>
      <c r="J193" s="84"/>
      <c r="K193" s="83"/>
      <c r="L193" s="85"/>
      <c r="M193" s="83"/>
      <c r="N193" s="83"/>
      <c r="O193" s="83"/>
      <c r="P193" s="83"/>
      <c r="Q193" s="83"/>
      <c r="R193" s="83"/>
      <c r="S193" s="8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>
      <c r="A194" s="82"/>
      <c r="B194" s="82"/>
      <c r="C194" s="82"/>
      <c r="D194" s="82"/>
      <c r="E194" s="82"/>
      <c r="F194" s="82"/>
      <c r="G194" s="82"/>
      <c r="H194" s="83"/>
      <c r="I194" s="84"/>
      <c r="J194" s="84"/>
      <c r="K194" s="83"/>
      <c r="L194" s="85"/>
      <c r="M194" s="83"/>
      <c r="N194" s="83"/>
      <c r="O194" s="83"/>
      <c r="P194" s="83"/>
      <c r="Q194" s="83"/>
      <c r="R194" s="83"/>
      <c r="S194" s="8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>
      <c r="A195" s="82"/>
      <c r="B195" s="82"/>
      <c r="C195" s="82"/>
      <c r="D195" s="82"/>
      <c r="E195" s="82"/>
      <c r="F195" s="82"/>
      <c r="G195" s="82"/>
      <c r="H195" s="83"/>
      <c r="I195" s="84"/>
      <c r="J195" s="84"/>
      <c r="K195" s="83"/>
      <c r="L195" s="85"/>
      <c r="M195" s="83"/>
      <c r="N195" s="83"/>
      <c r="O195" s="83"/>
      <c r="P195" s="83"/>
      <c r="Q195" s="83"/>
      <c r="R195" s="83"/>
      <c r="S195" s="8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>
      <c r="A196" s="82"/>
      <c r="B196" s="82"/>
      <c r="C196" s="82"/>
      <c r="D196" s="82"/>
      <c r="E196" s="82"/>
      <c r="F196" s="82"/>
      <c r="G196" s="82"/>
      <c r="H196" s="83"/>
      <c r="I196" s="84"/>
      <c r="J196" s="84"/>
      <c r="K196" s="83"/>
      <c r="L196" s="85"/>
      <c r="M196" s="83"/>
      <c r="N196" s="83"/>
      <c r="O196" s="83"/>
      <c r="P196" s="83"/>
      <c r="Q196" s="83"/>
      <c r="R196" s="83"/>
      <c r="S196" s="8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>
      <c r="A197" s="82"/>
      <c r="B197" s="82"/>
      <c r="C197" s="82"/>
      <c r="D197" s="82"/>
      <c r="E197" s="82"/>
      <c r="F197" s="82"/>
      <c r="G197" s="82"/>
      <c r="H197" s="83"/>
      <c r="I197" s="84"/>
      <c r="J197" s="84"/>
      <c r="K197" s="83"/>
      <c r="L197" s="85"/>
      <c r="M197" s="83"/>
      <c r="N197" s="83"/>
      <c r="O197" s="83"/>
      <c r="P197" s="83"/>
      <c r="Q197" s="83"/>
      <c r="R197" s="83"/>
      <c r="S197" s="8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>
      <c r="A198" s="82"/>
      <c r="B198" s="82"/>
      <c r="C198" s="82"/>
      <c r="D198" s="82"/>
      <c r="E198" s="82"/>
      <c r="F198" s="82"/>
      <c r="G198" s="82"/>
      <c r="H198" s="83"/>
      <c r="I198" s="84"/>
      <c r="J198" s="84"/>
      <c r="K198" s="83"/>
      <c r="L198" s="85"/>
      <c r="M198" s="83"/>
      <c r="N198" s="83"/>
      <c r="O198" s="83"/>
      <c r="P198" s="83"/>
      <c r="Q198" s="83"/>
      <c r="R198" s="83"/>
      <c r="S198" s="8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>
      <c r="A199" s="82"/>
      <c r="B199" s="82"/>
      <c r="C199" s="82"/>
      <c r="D199" s="82"/>
      <c r="E199" s="82"/>
      <c r="F199" s="82"/>
      <c r="G199" s="82"/>
      <c r="H199" s="83"/>
      <c r="I199" s="84"/>
      <c r="J199" s="84"/>
      <c r="K199" s="83"/>
      <c r="L199" s="85"/>
      <c r="M199" s="83"/>
      <c r="N199" s="83"/>
      <c r="O199" s="83"/>
      <c r="P199" s="83"/>
      <c r="Q199" s="83"/>
      <c r="R199" s="83"/>
      <c r="S199" s="8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>
      <c r="A200" s="82"/>
      <c r="B200" s="82"/>
      <c r="C200" s="82"/>
      <c r="D200" s="82"/>
      <c r="E200" s="82"/>
      <c r="F200" s="82"/>
      <c r="G200" s="82"/>
      <c r="H200" s="83"/>
      <c r="I200" s="84"/>
      <c r="J200" s="84"/>
      <c r="K200" s="83"/>
      <c r="L200" s="85"/>
      <c r="M200" s="83"/>
      <c r="N200" s="83"/>
      <c r="O200" s="83"/>
      <c r="P200" s="83"/>
      <c r="Q200" s="83"/>
      <c r="R200" s="83"/>
      <c r="S200" s="8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>
      <c r="A201" s="82"/>
      <c r="B201" s="82"/>
      <c r="C201" s="82"/>
      <c r="D201" s="82"/>
      <c r="E201" s="82"/>
      <c r="F201" s="82"/>
      <c r="G201" s="82"/>
      <c r="H201" s="83"/>
      <c r="I201" s="84"/>
      <c r="J201" s="84"/>
      <c r="K201" s="83"/>
      <c r="L201" s="85"/>
      <c r="M201" s="83"/>
      <c r="N201" s="83"/>
      <c r="O201" s="83"/>
      <c r="P201" s="83"/>
      <c r="Q201" s="83"/>
      <c r="R201" s="83"/>
      <c r="S201" s="8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>
      <c r="A202" s="82"/>
      <c r="B202" s="82"/>
      <c r="C202" s="82"/>
      <c r="D202" s="82"/>
      <c r="E202" s="82"/>
      <c r="F202" s="82"/>
      <c r="G202" s="82"/>
      <c r="H202" s="83"/>
      <c r="I202" s="84"/>
      <c r="J202" s="84"/>
      <c r="K202" s="83"/>
      <c r="L202" s="85"/>
      <c r="M202" s="83"/>
      <c r="N202" s="83"/>
      <c r="O202" s="83"/>
      <c r="P202" s="83"/>
      <c r="Q202" s="83"/>
      <c r="R202" s="83"/>
      <c r="S202" s="8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>
      <c r="A203" s="82"/>
      <c r="B203" s="82"/>
      <c r="C203" s="82"/>
      <c r="D203" s="82"/>
      <c r="E203" s="82"/>
      <c r="F203" s="82"/>
      <c r="G203" s="82"/>
      <c r="H203" s="83"/>
      <c r="I203" s="84"/>
      <c r="J203" s="84"/>
      <c r="K203" s="83"/>
      <c r="L203" s="85"/>
      <c r="M203" s="83"/>
      <c r="N203" s="83"/>
      <c r="O203" s="83"/>
      <c r="P203" s="83"/>
      <c r="Q203" s="83"/>
      <c r="R203" s="83"/>
      <c r="S203" s="8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>
      <c r="A204" s="82"/>
      <c r="B204" s="82"/>
      <c r="C204" s="82"/>
      <c r="D204" s="82"/>
      <c r="E204" s="82"/>
      <c r="F204" s="82"/>
      <c r="G204" s="82"/>
      <c r="H204" s="83"/>
      <c r="I204" s="84"/>
      <c r="J204" s="84"/>
      <c r="K204" s="83"/>
      <c r="L204" s="85"/>
      <c r="M204" s="83"/>
      <c r="N204" s="83"/>
      <c r="O204" s="83"/>
      <c r="P204" s="83"/>
      <c r="Q204" s="83"/>
      <c r="R204" s="83"/>
      <c r="S204" s="8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>
      <c r="A205" s="82"/>
      <c r="B205" s="82"/>
      <c r="C205" s="82"/>
      <c r="D205" s="82"/>
      <c r="E205" s="82"/>
      <c r="F205" s="82"/>
      <c r="G205" s="82"/>
      <c r="H205" s="83"/>
      <c r="I205" s="84"/>
      <c r="J205" s="84"/>
      <c r="K205" s="83"/>
      <c r="L205" s="85"/>
      <c r="M205" s="83"/>
      <c r="N205" s="83"/>
      <c r="O205" s="83"/>
      <c r="P205" s="83"/>
      <c r="Q205" s="83"/>
      <c r="R205" s="83"/>
      <c r="S205" s="8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>
      <c r="A206" s="82"/>
      <c r="B206" s="82"/>
      <c r="C206" s="82"/>
      <c r="D206" s="82"/>
      <c r="E206" s="82"/>
      <c r="F206" s="82"/>
      <c r="G206" s="82"/>
      <c r="H206" s="83"/>
      <c r="I206" s="84"/>
      <c r="J206" s="84"/>
      <c r="K206" s="83"/>
      <c r="L206" s="85"/>
      <c r="M206" s="83"/>
      <c r="N206" s="83"/>
      <c r="O206" s="83"/>
      <c r="P206" s="83"/>
      <c r="Q206" s="83"/>
      <c r="R206" s="83"/>
      <c r="S206" s="8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>
      <c r="A207" s="82"/>
      <c r="B207" s="82"/>
      <c r="C207" s="82"/>
      <c r="D207" s="82"/>
      <c r="E207" s="82"/>
      <c r="F207" s="82"/>
      <c r="G207" s="82"/>
      <c r="H207" s="83"/>
      <c r="I207" s="84"/>
      <c r="J207" s="84"/>
      <c r="K207" s="83"/>
      <c r="L207" s="85"/>
      <c r="M207" s="83"/>
      <c r="N207" s="83"/>
      <c r="O207" s="83"/>
      <c r="P207" s="83"/>
      <c r="Q207" s="83"/>
      <c r="R207" s="83"/>
      <c r="S207" s="8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>
      <c r="A208" s="82"/>
      <c r="B208" s="82"/>
      <c r="C208" s="82"/>
      <c r="D208" s="82"/>
      <c r="E208" s="82"/>
      <c r="F208" s="82"/>
      <c r="G208" s="82"/>
      <c r="H208" s="83"/>
      <c r="I208" s="84"/>
      <c r="J208" s="84"/>
      <c r="K208" s="83"/>
      <c r="L208" s="85"/>
      <c r="M208" s="83"/>
      <c r="N208" s="83"/>
      <c r="O208" s="83"/>
      <c r="P208" s="83"/>
      <c r="Q208" s="83"/>
      <c r="R208" s="83"/>
      <c r="S208" s="8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>
      <c r="A209" s="82"/>
      <c r="B209" s="82"/>
      <c r="C209" s="82"/>
      <c r="D209" s="82"/>
      <c r="E209" s="82"/>
      <c r="F209" s="82"/>
      <c r="G209" s="82"/>
      <c r="H209" s="83"/>
      <c r="I209" s="84"/>
      <c r="J209" s="84"/>
      <c r="K209" s="83"/>
      <c r="L209" s="85"/>
      <c r="M209" s="83"/>
      <c r="N209" s="83"/>
      <c r="O209" s="83"/>
      <c r="P209" s="83"/>
      <c r="Q209" s="83"/>
      <c r="R209" s="83"/>
      <c r="S209" s="8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>
      <c r="A210" s="82"/>
      <c r="B210" s="82"/>
      <c r="C210" s="82"/>
      <c r="D210" s="82"/>
      <c r="E210" s="82"/>
      <c r="F210" s="82"/>
      <c r="G210" s="82"/>
      <c r="H210" s="83"/>
      <c r="I210" s="84"/>
      <c r="J210" s="84"/>
      <c r="K210" s="83"/>
      <c r="L210" s="85"/>
      <c r="M210" s="83"/>
      <c r="N210" s="83"/>
      <c r="O210" s="83"/>
      <c r="P210" s="83"/>
      <c r="Q210" s="83"/>
      <c r="R210" s="83"/>
      <c r="S210" s="8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>
      <c r="A211" s="82"/>
      <c r="B211" s="82"/>
      <c r="C211" s="82"/>
      <c r="D211" s="82"/>
      <c r="E211" s="82"/>
      <c r="F211" s="82"/>
      <c r="G211" s="82"/>
      <c r="H211" s="83"/>
      <c r="I211" s="84"/>
      <c r="J211" s="84"/>
      <c r="K211" s="83"/>
      <c r="L211" s="85"/>
      <c r="M211" s="83"/>
      <c r="N211" s="83"/>
      <c r="O211" s="83"/>
      <c r="P211" s="83"/>
      <c r="Q211" s="83"/>
      <c r="R211" s="83"/>
      <c r="S211" s="8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>
      <c r="A212" s="82"/>
      <c r="B212" s="82"/>
      <c r="C212" s="82"/>
      <c r="D212" s="82"/>
      <c r="E212" s="82"/>
      <c r="F212" s="82"/>
      <c r="G212" s="82"/>
      <c r="H212" s="83"/>
      <c r="I212" s="84"/>
      <c r="J212" s="84"/>
      <c r="K212" s="83"/>
      <c r="L212" s="85"/>
      <c r="M212" s="83"/>
      <c r="N212" s="83"/>
      <c r="O212" s="83"/>
      <c r="P212" s="83"/>
      <c r="Q212" s="83"/>
      <c r="R212" s="83"/>
      <c r="S212" s="8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>
      <c r="A213" s="82"/>
      <c r="B213" s="82"/>
      <c r="C213" s="82"/>
      <c r="D213" s="82"/>
      <c r="E213" s="82"/>
      <c r="F213" s="82"/>
      <c r="G213" s="82"/>
      <c r="H213" s="83"/>
      <c r="I213" s="84"/>
      <c r="J213" s="84"/>
      <c r="K213" s="83"/>
      <c r="L213" s="85"/>
      <c r="M213" s="83"/>
      <c r="N213" s="83"/>
      <c r="O213" s="83"/>
      <c r="P213" s="83"/>
      <c r="Q213" s="83"/>
      <c r="R213" s="83"/>
      <c r="S213" s="8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>
      <c r="A214" s="82"/>
      <c r="B214" s="82"/>
      <c r="C214" s="82"/>
      <c r="D214" s="82"/>
      <c r="E214" s="82"/>
      <c r="F214" s="82"/>
      <c r="G214" s="82"/>
      <c r="H214" s="83"/>
      <c r="I214" s="84"/>
      <c r="J214" s="84"/>
      <c r="K214" s="83"/>
      <c r="L214" s="85"/>
      <c r="M214" s="83"/>
      <c r="N214" s="83"/>
      <c r="O214" s="83"/>
      <c r="P214" s="83"/>
      <c r="Q214" s="83"/>
      <c r="R214" s="83"/>
      <c r="S214" s="8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>
      <c r="A215" s="82"/>
      <c r="B215" s="82"/>
      <c r="C215" s="82"/>
      <c r="D215" s="82"/>
      <c r="E215" s="82"/>
      <c r="F215" s="82"/>
      <c r="G215" s="82"/>
      <c r="H215" s="83"/>
      <c r="I215" s="84"/>
      <c r="J215" s="84"/>
      <c r="K215" s="83"/>
      <c r="L215" s="85"/>
      <c r="M215" s="83"/>
      <c r="N215" s="83"/>
      <c r="O215" s="83"/>
      <c r="P215" s="83"/>
      <c r="Q215" s="83"/>
      <c r="R215" s="83"/>
      <c r="S215" s="8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>
      <c r="A216" s="82"/>
      <c r="B216" s="82"/>
      <c r="C216" s="82"/>
      <c r="D216" s="82"/>
      <c r="E216" s="82"/>
      <c r="F216" s="82"/>
      <c r="G216" s="82"/>
      <c r="H216" s="83"/>
      <c r="I216" s="84"/>
      <c r="J216" s="84"/>
      <c r="K216" s="83"/>
      <c r="L216" s="85"/>
      <c r="M216" s="83"/>
      <c r="N216" s="83"/>
      <c r="O216" s="83"/>
      <c r="P216" s="83"/>
      <c r="Q216" s="83"/>
      <c r="R216" s="83"/>
      <c r="S216" s="8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>
      <c r="A217" s="82"/>
      <c r="B217" s="82"/>
      <c r="C217" s="82"/>
      <c r="D217" s="82"/>
      <c r="E217" s="82"/>
      <c r="F217" s="82"/>
      <c r="G217" s="82"/>
      <c r="H217" s="83"/>
      <c r="I217" s="84"/>
      <c r="J217" s="84"/>
      <c r="K217" s="83"/>
      <c r="L217" s="85"/>
      <c r="M217" s="83"/>
      <c r="N217" s="83"/>
      <c r="O217" s="83"/>
      <c r="P217" s="83"/>
      <c r="Q217" s="83"/>
      <c r="R217" s="83"/>
      <c r="S217" s="8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>
      <c r="A218" s="82"/>
      <c r="B218" s="82"/>
      <c r="C218" s="82"/>
      <c r="D218" s="82"/>
      <c r="E218" s="82"/>
      <c r="F218" s="82"/>
      <c r="G218" s="82"/>
      <c r="H218" s="83"/>
      <c r="I218" s="84"/>
      <c r="J218" s="84"/>
      <c r="K218" s="83"/>
      <c r="L218" s="85"/>
      <c r="M218" s="83"/>
      <c r="N218" s="83"/>
      <c r="O218" s="83"/>
      <c r="P218" s="83"/>
      <c r="Q218" s="83"/>
      <c r="R218" s="83"/>
      <c r="S218" s="8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>
      <c r="A219" s="82"/>
      <c r="B219" s="82"/>
      <c r="C219" s="82"/>
      <c r="D219" s="82"/>
      <c r="E219" s="82"/>
      <c r="F219" s="82"/>
      <c r="G219" s="82"/>
      <c r="H219" s="83"/>
      <c r="I219" s="84"/>
      <c r="J219" s="84"/>
      <c r="K219" s="83"/>
      <c r="L219" s="85"/>
      <c r="M219" s="83"/>
      <c r="N219" s="83"/>
      <c r="O219" s="83"/>
      <c r="P219" s="83"/>
      <c r="Q219" s="83"/>
      <c r="R219" s="83"/>
      <c r="S219" s="8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>
      <c r="A220" s="82"/>
      <c r="B220" s="82"/>
      <c r="C220" s="82"/>
      <c r="D220" s="82"/>
      <c r="E220" s="82"/>
      <c r="F220" s="82"/>
      <c r="G220" s="82"/>
      <c r="H220" s="83"/>
      <c r="I220" s="84"/>
      <c r="J220" s="84"/>
      <c r="K220" s="83"/>
      <c r="L220" s="85"/>
      <c r="M220" s="83"/>
      <c r="N220" s="83"/>
      <c r="O220" s="83"/>
      <c r="P220" s="83"/>
      <c r="Q220" s="83"/>
      <c r="R220" s="83"/>
      <c r="S220" s="8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>
      <c r="A221" s="82"/>
      <c r="B221" s="82"/>
      <c r="C221" s="82"/>
      <c r="D221" s="82"/>
      <c r="E221" s="82"/>
      <c r="F221" s="82"/>
      <c r="G221" s="82"/>
      <c r="H221" s="83"/>
      <c r="I221" s="84"/>
      <c r="J221" s="84"/>
      <c r="K221" s="83"/>
      <c r="L221" s="85"/>
      <c r="M221" s="83"/>
      <c r="N221" s="83"/>
      <c r="O221" s="83"/>
      <c r="P221" s="83"/>
      <c r="Q221" s="83"/>
      <c r="R221" s="83"/>
      <c r="S221" s="8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>
      <c r="A222" s="82"/>
      <c r="B222" s="82"/>
      <c r="C222" s="82"/>
      <c r="D222" s="82"/>
      <c r="E222" s="82"/>
      <c r="F222" s="82"/>
      <c r="G222" s="82"/>
      <c r="H222" s="83"/>
      <c r="I222" s="84"/>
      <c r="J222" s="84"/>
      <c r="K222" s="83"/>
      <c r="L222" s="85"/>
      <c r="M222" s="83"/>
      <c r="N222" s="83"/>
      <c r="O222" s="83"/>
      <c r="P222" s="83"/>
      <c r="Q222" s="83"/>
      <c r="R222" s="83"/>
      <c r="S222" s="8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>
      <c r="A223" s="82"/>
      <c r="B223" s="82"/>
      <c r="C223" s="82"/>
      <c r="D223" s="82"/>
      <c r="E223" s="82"/>
      <c r="F223" s="82"/>
      <c r="G223" s="82"/>
      <c r="H223" s="83"/>
      <c r="I223" s="84"/>
      <c r="J223" s="84"/>
      <c r="K223" s="83"/>
      <c r="L223" s="85"/>
      <c r="M223" s="83"/>
      <c r="N223" s="83"/>
      <c r="O223" s="83"/>
      <c r="P223" s="83"/>
      <c r="Q223" s="83"/>
      <c r="R223" s="83"/>
      <c r="S223" s="8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>
      <c r="A224" s="82"/>
      <c r="B224" s="82"/>
      <c r="C224" s="82"/>
      <c r="D224" s="82"/>
      <c r="E224" s="82"/>
      <c r="F224" s="82"/>
      <c r="G224" s="82"/>
      <c r="H224" s="83"/>
      <c r="I224" s="84"/>
      <c r="J224" s="84"/>
      <c r="K224" s="83"/>
      <c r="L224" s="85"/>
      <c r="M224" s="83"/>
      <c r="N224" s="83"/>
      <c r="O224" s="83"/>
      <c r="P224" s="83"/>
      <c r="Q224" s="83"/>
      <c r="R224" s="83"/>
      <c r="S224" s="8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>
      <c r="A225" s="82"/>
      <c r="B225" s="82"/>
      <c r="C225" s="82"/>
      <c r="D225" s="82"/>
      <c r="E225" s="82"/>
      <c r="F225" s="82"/>
      <c r="G225" s="82"/>
      <c r="H225" s="83"/>
      <c r="I225" s="84"/>
      <c r="J225" s="84"/>
      <c r="K225" s="83"/>
      <c r="L225" s="85"/>
      <c r="M225" s="83"/>
      <c r="N225" s="83"/>
      <c r="O225" s="83"/>
      <c r="P225" s="83"/>
      <c r="Q225" s="83"/>
      <c r="R225" s="83"/>
      <c r="S225" s="8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>
      <c r="A226" s="82"/>
      <c r="B226" s="82"/>
      <c r="C226" s="82"/>
      <c r="D226" s="82"/>
      <c r="E226" s="82"/>
      <c r="F226" s="82"/>
      <c r="G226" s="82"/>
      <c r="H226" s="83"/>
      <c r="I226" s="84"/>
      <c r="J226" s="84"/>
      <c r="K226" s="83"/>
      <c r="L226" s="85"/>
      <c r="M226" s="83"/>
      <c r="N226" s="83"/>
      <c r="O226" s="83"/>
      <c r="P226" s="83"/>
      <c r="Q226" s="83"/>
      <c r="R226" s="83"/>
      <c r="S226" s="8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>
      <c r="A227" s="82"/>
      <c r="B227" s="82"/>
      <c r="C227" s="82"/>
      <c r="D227" s="82"/>
      <c r="E227" s="82"/>
      <c r="F227" s="82"/>
      <c r="G227" s="82"/>
      <c r="H227" s="83"/>
      <c r="I227" s="84"/>
      <c r="J227" s="84"/>
      <c r="K227" s="83"/>
      <c r="L227" s="85"/>
      <c r="M227" s="83"/>
      <c r="N227" s="83"/>
      <c r="O227" s="83"/>
      <c r="P227" s="83"/>
      <c r="Q227" s="83"/>
      <c r="R227" s="83"/>
      <c r="S227" s="8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>
      <c r="A228" s="82"/>
      <c r="B228" s="82"/>
      <c r="C228" s="82"/>
      <c r="D228" s="82"/>
      <c r="E228" s="82"/>
      <c r="F228" s="82"/>
      <c r="G228" s="82"/>
      <c r="H228" s="83"/>
      <c r="I228" s="84"/>
      <c r="J228" s="84"/>
      <c r="K228" s="83"/>
      <c r="L228" s="85"/>
      <c r="M228" s="83"/>
      <c r="N228" s="83"/>
      <c r="O228" s="83"/>
      <c r="P228" s="83"/>
      <c r="Q228" s="83"/>
      <c r="R228" s="83"/>
      <c r="S228" s="8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>
      <c r="A229" s="82"/>
      <c r="B229" s="82"/>
      <c r="C229" s="82"/>
      <c r="D229" s="82"/>
      <c r="E229" s="82"/>
      <c r="F229" s="82"/>
      <c r="G229" s="82"/>
      <c r="H229" s="83"/>
      <c r="I229" s="84"/>
      <c r="J229" s="84"/>
      <c r="K229" s="83"/>
      <c r="L229" s="85"/>
      <c r="M229" s="83"/>
      <c r="N229" s="83"/>
      <c r="O229" s="83"/>
      <c r="P229" s="83"/>
      <c r="Q229" s="83"/>
      <c r="R229" s="83"/>
      <c r="S229" s="8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>
      <c r="A230" s="82"/>
      <c r="B230" s="82"/>
      <c r="C230" s="82"/>
      <c r="D230" s="82"/>
      <c r="E230" s="82"/>
      <c r="F230" s="82"/>
      <c r="G230" s="82"/>
      <c r="H230" s="83"/>
      <c r="I230" s="84"/>
      <c r="J230" s="84"/>
      <c r="K230" s="83"/>
      <c r="L230" s="85"/>
      <c r="M230" s="83"/>
      <c r="N230" s="83"/>
      <c r="O230" s="83"/>
      <c r="P230" s="83"/>
      <c r="Q230" s="83"/>
      <c r="R230" s="83"/>
      <c r="S230" s="8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>
      <c r="A231" s="82"/>
      <c r="B231" s="82"/>
      <c r="C231" s="82"/>
      <c r="D231" s="82"/>
      <c r="E231" s="82"/>
      <c r="F231" s="82"/>
      <c r="G231" s="82"/>
      <c r="H231" s="83"/>
      <c r="I231" s="84"/>
      <c r="J231" s="84"/>
      <c r="K231" s="83"/>
      <c r="L231" s="85"/>
      <c r="M231" s="83"/>
      <c r="N231" s="83"/>
      <c r="O231" s="83"/>
      <c r="P231" s="83"/>
      <c r="Q231" s="83"/>
      <c r="R231" s="83"/>
      <c r="S231" s="8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>
      <c r="A232" s="82"/>
      <c r="B232" s="82"/>
      <c r="C232" s="82"/>
      <c r="D232" s="82"/>
      <c r="E232" s="82"/>
      <c r="F232" s="82"/>
      <c r="G232" s="82"/>
      <c r="H232" s="83"/>
      <c r="I232" s="84"/>
      <c r="J232" s="84"/>
      <c r="K232" s="83"/>
      <c r="L232" s="85"/>
      <c r="M232" s="83"/>
      <c r="N232" s="83"/>
      <c r="O232" s="83"/>
      <c r="P232" s="83"/>
      <c r="Q232" s="83"/>
      <c r="R232" s="83"/>
      <c r="S232" s="8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>
      <c r="A233" s="82"/>
      <c r="B233" s="82"/>
      <c r="C233" s="82"/>
      <c r="D233" s="82"/>
      <c r="E233" s="82"/>
      <c r="F233" s="82"/>
      <c r="G233" s="82"/>
      <c r="H233" s="83"/>
      <c r="I233" s="84"/>
      <c r="J233" s="84"/>
      <c r="K233" s="83"/>
      <c r="L233" s="85"/>
      <c r="M233" s="83"/>
      <c r="N233" s="83"/>
      <c r="O233" s="83"/>
      <c r="P233" s="83"/>
      <c r="Q233" s="83"/>
      <c r="R233" s="83"/>
      <c r="S233" s="8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>
      <c r="A234" s="82"/>
      <c r="B234" s="82"/>
      <c r="C234" s="82"/>
      <c r="D234" s="82"/>
      <c r="E234" s="82"/>
      <c r="F234" s="82"/>
      <c r="G234" s="82"/>
      <c r="H234" s="83"/>
      <c r="I234" s="84"/>
      <c r="J234" s="84"/>
      <c r="K234" s="83"/>
      <c r="L234" s="85"/>
      <c r="M234" s="83"/>
      <c r="N234" s="83"/>
      <c r="O234" s="83"/>
      <c r="P234" s="83"/>
      <c r="Q234" s="83"/>
      <c r="R234" s="83"/>
      <c r="S234" s="8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>
      <c r="A235" s="82"/>
      <c r="B235" s="82"/>
      <c r="C235" s="82"/>
      <c r="D235" s="82"/>
      <c r="E235" s="82"/>
      <c r="F235" s="82"/>
      <c r="G235" s="82"/>
      <c r="H235" s="83"/>
      <c r="I235" s="84"/>
      <c r="J235" s="84"/>
      <c r="K235" s="83"/>
      <c r="L235" s="85"/>
      <c r="M235" s="83"/>
      <c r="N235" s="83"/>
      <c r="O235" s="83"/>
      <c r="P235" s="83"/>
      <c r="Q235" s="83"/>
      <c r="R235" s="83"/>
      <c r="S235" s="8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>
      <c r="A236" s="82"/>
      <c r="B236" s="82"/>
      <c r="C236" s="82"/>
      <c r="D236" s="82"/>
      <c r="E236" s="82"/>
      <c r="F236" s="82"/>
      <c r="G236" s="82"/>
      <c r="H236" s="83"/>
      <c r="I236" s="84"/>
      <c r="J236" s="84"/>
      <c r="K236" s="83"/>
      <c r="L236" s="85"/>
      <c r="M236" s="83"/>
      <c r="N236" s="83"/>
      <c r="O236" s="83"/>
      <c r="P236" s="83"/>
      <c r="Q236" s="83"/>
      <c r="R236" s="83"/>
      <c r="S236" s="8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>
      <c r="A237" s="82"/>
      <c r="B237" s="82"/>
      <c r="C237" s="82"/>
      <c r="D237" s="82"/>
      <c r="E237" s="82"/>
      <c r="F237" s="82"/>
      <c r="G237" s="82"/>
      <c r="H237" s="83"/>
      <c r="I237" s="84"/>
      <c r="J237" s="84"/>
      <c r="K237" s="83"/>
      <c r="L237" s="85"/>
      <c r="M237" s="83"/>
      <c r="N237" s="83"/>
      <c r="O237" s="83"/>
      <c r="P237" s="83"/>
      <c r="Q237" s="83"/>
      <c r="R237" s="83"/>
      <c r="S237" s="8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>
      <c r="A238" s="82"/>
      <c r="B238" s="82"/>
      <c r="C238" s="82"/>
      <c r="D238" s="82"/>
      <c r="E238" s="82"/>
      <c r="F238" s="82"/>
      <c r="G238" s="82"/>
      <c r="H238" s="83"/>
      <c r="I238" s="84"/>
      <c r="J238" s="84"/>
      <c r="K238" s="83"/>
      <c r="L238" s="85"/>
      <c r="M238" s="83"/>
      <c r="N238" s="83"/>
      <c r="O238" s="83"/>
      <c r="P238" s="83"/>
      <c r="Q238" s="83"/>
      <c r="R238" s="83"/>
      <c r="S238" s="8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>
      <c r="A239" s="82"/>
      <c r="B239" s="82"/>
      <c r="C239" s="82"/>
      <c r="D239" s="82"/>
      <c r="E239" s="82"/>
      <c r="F239" s="82"/>
      <c r="G239" s="82"/>
      <c r="H239" s="83"/>
      <c r="I239" s="84"/>
      <c r="J239" s="84"/>
      <c r="K239" s="83"/>
      <c r="L239" s="85"/>
      <c r="M239" s="83"/>
      <c r="N239" s="83"/>
      <c r="O239" s="83"/>
      <c r="P239" s="83"/>
      <c r="Q239" s="83"/>
      <c r="R239" s="83"/>
      <c r="S239" s="8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>
      <c r="A240" s="82"/>
      <c r="B240" s="82"/>
      <c r="C240" s="82"/>
      <c r="D240" s="82"/>
      <c r="E240" s="82"/>
      <c r="F240" s="82"/>
      <c r="G240" s="82"/>
      <c r="H240" s="83"/>
      <c r="I240" s="84"/>
      <c r="J240" s="84"/>
      <c r="K240" s="83"/>
      <c r="L240" s="85"/>
      <c r="M240" s="83"/>
      <c r="N240" s="83"/>
      <c r="O240" s="83"/>
      <c r="P240" s="83"/>
      <c r="Q240" s="83"/>
      <c r="R240" s="83"/>
      <c r="S240" s="8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>
      <c r="A241" s="82"/>
      <c r="B241" s="82"/>
      <c r="C241" s="82"/>
      <c r="D241" s="82"/>
      <c r="E241" s="82"/>
      <c r="F241" s="82"/>
      <c r="G241" s="82"/>
      <c r="H241" s="83"/>
      <c r="I241" s="84"/>
      <c r="J241" s="84"/>
      <c r="K241" s="83"/>
      <c r="L241" s="85"/>
      <c r="M241" s="83"/>
      <c r="N241" s="83"/>
      <c r="O241" s="83"/>
      <c r="P241" s="83"/>
      <c r="Q241" s="83"/>
      <c r="R241" s="83"/>
      <c r="S241" s="8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>
      <c r="A242" s="82"/>
      <c r="B242" s="82"/>
      <c r="C242" s="82"/>
      <c r="D242" s="82"/>
      <c r="E242" s="82"/>
      <c r="F242" s="82"/>
      <c r="G242" s="82"/>
      <c r="H242" s="83"/>
      <c r="I242" s="84"/>
      <c r="J242" s="84"/>
      <c r="K242" s="83"/>
      <c r="L242" s="85"/>
      <c r="M242" s="83"/>
      <c r="N242" s="83"/>
      <c r="O242" s="83"/>
      <c r="P242" s="83"/>
      <c r="Q242" s="83"/>
      <c r="R242" s="83"/>
      <c r="S242" s="8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>
      <c r="A243" s="82"/>
      <c r="B243" s="82"/>
      <c r="C243" s="82"/>
      <c r="D243" s="82"/>
      <c r="E243" s="82"/>
      <c r="F243" s="82"/>
      <c r="G243" s="82"/>
      <c r="H243" s="83"/>
      <c r="I243" s="84"/>
      <c r="J243" s="84"/>
      <c r="K243" s="83"/>
      <c r="L243" s="85"/>
      <c r="M243" s="83"/>
      <c r="N243" s="83"/>
      <c r="O243" s="83"/>
      <c r="P243" s="83"/>
      <c r="Q243" s="83"/>
      <c r="R243" s="83"/>
      <c r="S243" s="8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>
      <c r="A244" s="82"/>
      <c r="B244" s="82"/>
      <c r="C244" s="82"/>
      <c r="D244" s="82"/>
      <c r="E244" s="82"/>
      <c r="F244" s="82"/>
      <c r="G244" s="82"/>
      <c r="H244" s="83"/>
      <c r="I244" s="84"/>
      <c r="J244" s="84"/>
      <c r="K244" s="83"/>
      <c r="L244" s="85"/>
      <c r="M244" s="83"/>
      <c r="N244" s="83"/>
      <c r="O244" s="83"/>
      <c r="P244" s="83"/>
      <c r="Q244" s="83"/>
      <c r="R244" s="83"/>
      <c r="S244" s="8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>
      <c r="A245" s="82"/>
      <c r="B245" s="82"/>
      <c r="C245" s="82"/>
      <c r="D245" s="82"/>
      <c r="E245" s="82"/>
      <c r="F245" s="82"/>
      <c r="G245" s="82"/>
      <c r="H245" s="83"/>
      <c r="I245" s="84"/>
      <c r="J245" s="84"/>
      <c r="K245" s="83"/>
      <c r="L245" s="85"/>
      <c r="M245" s="83"/>
      <c r="N245" s="83"/>
      <c r="O245" s="83"/>
      <c r="P245" s="83"/>
      <c r="Q245" s="83"/>
      <c r="R245" s="83"/>
      <c r="S245" s="8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>
      <c r="A246" s="82"/>
      <c r="B246" s="82"/>
      <c r="C246" s="82"/>
      <c r="D246" s="82"/>
      <c r="E246" s="82"/>
      <c r="F246" s="82"/>
      <c r="G246" s="82"/>
      <c r="H246" s="83"/>
      <c r="I246" s="84"/>
      <c r="J246" s="84"/>
      <c r="K246" s="83"/>
      <c r="L246" s="85"/>
      <c r="M246" s="83"/>
      <c r="N246" s="83"/>
      <c r="O246" s="83"/>
      <c r="P246" s="83"/>
      <c r="Q246" s="83"/>
      <c r="R246" s="83"/>
      <c r="S246" s="8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>
      <c r="A247" s="82"/>
      <c r="B247" s="82"/>
      <c r="C247" s="82"/>
      <c r="D247" s="82"/>
      <c r="E247" s="82"/>
      <c r="F247" s="82"/>
      <c r="G247" s="82"/>
      <c r="H247" s="83"/>
      <c r="I247" s="84"/>
      <c r="J247" s="84"/>
      <c r="K247" s="83"/>
      <c r="L247" s="85"/>
      <c r="M247" s="83"/>
      <c r="N247" s="83"/>
      <c r="O247" s="83"/>
      <c r="P247" s="83"/>
      <c r="Q247" s="83"/>
      <c r="R247" s="83"/>
      <c r="S247" s="8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>
      <c r="A248" s="82"/>
      <c r="B248" s="82"/>
      <c r="C248" s="82"/>
      <c r="D248" s="82"/>
      <c r="E248" s="82"/>
      <c r="F248" s="82"/>
      <c r="G248" s="82"/>
      <c r="H248" s="83"/>
      <c r="I248" s="84"/>
      <c r="J248" s="84"/>
      <c r="K248" s="83"/>
      <c r="L248" s="85"/>
      <c r="M248" s="83"/>
      <c r="N248" s="83"/>
      <c r="O248" s="83"/>
      <c r="P248" s="83"/>
      <c r="Q248" s="83"/>
      <c r="R248" s="83"/>
      <c r="S248" s="8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>
      <c r="A249" s="82"/>
      <c r="B249" s="82"/>
      <c r="C249" s="82"/>
      <c r="D249" s="82"/>
      <c r="E249" s="82"/>
      <c r="F249" s="82"/>
      <c r="G249" s="82"/>
      <c r="H249" s="83"/>
      <c r="I249" s="84"/>
      <c r="J249" s="84"/>
      <c r="K249" s="83"/>
      <c r="L249" s="85"/>
      <c r="M249" s="83"/>
      <c r="N249" s="83"/>
      <c r="O249" s="83"/>
      <c r="P249" s="83"/>
      <c r="Q249" s="83"/>
      <c r="R249" s="83"/>
      <c r="S249" s="8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>
      <c r="A250" s="82"/>
      <c r="B250" s="82"/>
      <c r="C250" s="82"/>
      <c r="D250" s="82"/>
      <c r="E250" s="82"/>
      <c r="F250" s="82"/>
      <c r="G250" s="82"/>
      <c r="H250" s="83"/>
      <c r="I250" s="84"/>
      <c r="J250" s="84"/>
      <c r="K250" s="83"/>
      <c r="L250" s="85"/>
      <c r="M250" s="83"/>
      <c r="N250" s="83"/>
      <c r="O250" s="83"/>
      <c r="P250" s="83"/>
      <c r="Q250" s="83"/>
      <c r="R250" s="83"/>
      <c r="S250" s="8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>
      <c r="A251" s="82"/>
      <c r="B251" s="82"/>
      <c r="C251" s="82"/>
      <c r="D251" s="82"/>
      <c r="E251" s="82"/>
      <c r="F251" s="82"/>
      <c r="G251" s="82"/>
      <c r="H251" s="83"/>
      <c r="I251" s="84"/>
      <c r="J251" s="84"/>
      <c r="K251" s="83"/>
      <c r="L251" s="85"/>
      <c r="M251" s="83"/>
      <c r="N251" s="83"/>
      <c r="O251" s="83"/>
      <c r="P251" s="83"/>
      <c r="Q251" s="83"/>
      <c r="R251" s="83"/>
      <c r="S251" s="8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>
      <c r="A252" s="82"/>
      <c r="B252" s="82"/>
      <c r="C252" s="82"/>
      <c r="D252" s="82"/>
      <c r="E252" s="82"/>
      <c r="F252" s="82"/>
      <c r="G252" s="82"/>
      <c r="H252" s="83"/>
      <c r="I252" s="84"/>
      <c r="J252" s="84"/>
      <c r="K252" s="83"/>
      <c r="L252" s="85"/>
      <c r="M252" s="83"/>
      <c r="N252" s="83"/>
      <c r="O252" s="83"/>
      <c r="P252" s="83"/>
      <c r="Q252" s="83"/>
      <c r="R252" s="83"/>
      <c r="S252" s="8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>
      <c r="A253" s="82"/>
      <c r="B253" s="82"/>
      <c r="C253" s="82"/>
      <c r="D253" s="82"/>
      <c r="E253" s="82"/>
      <c r="F253" s="82"/>
      <c r="G253" s="82"/>
      <c r="H253" s="83"/>
      <c r="I253" s="84"/>
      <c r="J253" s="84"/>
      <c r="K253" s="83"/>
      <c r="L253" s="85"/>
      <c r="M253" s="83"/>
      <c r="N253" s="83"/>
      <c r="O253" s="83"/>
      <c r="P253" s="83"/>
      <c r="Q253" s="83"/>
      <c r="R253" s="83"/>
      <c r="S253" s="8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>
      <c r="A254" s="82"/>
      <c r="B254" s="82"/>
      <c r="C254" s="82"/>
      <c r="D254" s="82"/>
      <c r="E254" s="82"/>
      <c r="F254" s="82"/>
      <c r="G254" s="82"/>
      <c r="H254" s="83"/>
      <c r="I254" s="84"/>
      <c r="J254" s="84"/>
      <c r="K254" s="83"/>
      <c r="L254" s="85"/>
      <c r="M254" s="83"/>
      <c r="N254" s="83"/>
      <c r="O254" s="83"/>
      <c r="P254" s="83"/>
      <c r="Q254" s="83"/>
      <c r="R254" s="83"/>
      <c r="S254" s="8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>
      <c r="A255" s="82"/>
      <c r="B255" s="82"/>
      <c r="C255" s="82"/>
      <c r="D255" s="82"/>
      <c r="E255" s="82"/>
      <c r="F255" s="82"/>
      <c r="G255" s="82"/>
      <c r="H255" s="83"/>
      <c r="I255" s="84"/>
      <c r="J255" s="84"/>
      <c r="K255" s="83"/>
      <c r="L255" s="85"/>
      <c r="M255" s="83"/>
      <c r="N255" s="83"/>
      <c r="O255" s="83"/>
      <c r="P255" s="83"/>
      <c r="Q255" s="83"/>
      <c r="R255" s="83"/>
      <c r="S255" s="8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>
      <c r="A256" s="82"/>
      <c r="B256" s="82"/>
      <c r="C256" s="82"/>
      <c r="D256" s="82"/>
      <c r="E256" s="82"/>
      <c r="F256" s="82"/>
      <c r="G256" s="82"/>
      <c r="H256" s="83"/>
      <c r="I256" s="84"/>
      <c r="J256" s="84"/>
      <c r="K256" s="83"/>
      <c r="L256" s="85"/>
      <c r="M256" s="83"/>
      <c r="N256" s="83"/>
      <c r="O256" s="83"/>
      <c r="P256" s="83"/>
      <c r="Q256" s="83"/>
      <c r="R256" s="83"/>
      <c r="S256" s="8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>
      <c r="A257" s="82"/>
      <c r="B257" s="82"/>
      <c r="C257" s="82"/>
      <c r="D257" s="82"/>
      <c r="E257" s="82"/>
      <c r="F257" s="82"/>
      <c r="G257" s="82"/>
      <c r="H257" s="83"/>
      <c r="I257" s="84"/>
      <c r="J257" s="84"/>
      <c r="K257" s="83"/>
      <c r="L257" s="85"/>
      <c r="M257" s="83"/>
      <c r="N257" s="83"/>
      <c r="O257" s="83"/>
      <c r="P257" s="83"/>
      <c r="Q257" s="83"/>
      <c r="R257" s="83"/>
      <c r="S257" s="8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>
      <c r="A258" s="82"/>
      <c r="B258" s="82"/>
      <c r="C258" s="82"/>
      <c r="D258" s="82"/>
      <c r="E258" s="82"/>
      <c r="F258" s="82"/>
      <c r="G258" s="82"/>
      <c r="H258" s="83"/>
      <c r="I258" s="84"/>
      <c r="J258" s="84"/>
      <c r="K258" s="83"/>
      <c r="L258" s="85"/>
      <c r="M258" s="83"/>
      <c r="N258" s="83"/>
      <c r="O258" s="83"/>
      <c r="P258" s="83"/>
      <c r="Q258" s="83"/>
      <c r="R258" s="83"/>
      <c r="S258" s="8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>
      <c r="A259" s="82"/>
      <c r="B259" s="82"/>
      <c r="C259" s="82"/>
      <c r="D259" s="82"/>
      <c r="E259" s="82"/>
      <c r="F259" s="82"/>
      <c r="G259" s="82"/>
      <c r="H259" s="83"/>
      <c r="I259" s="84"/>
      <c r="J259" s="84"/>
      <c r="K259" s="83"/>
      <c r="L259" s="85"/>
      <c r="M259" s="83"/>
      <c r="N259" s="83"/>
      <c r="O259" s="83"/>
      <c r="P259" s="83"/>
      <c r="Q259" s="83"/>
      <c r="R259" s="83"/>
      <c r="S259" s="8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>
      <c r="A260" s="82"/>
      <c r="B260" s="82"/>
      <c r="C260" s="82"/>
      <c r="D260" s="82"/>
      <c r="E260" s="82"/>
      <c r="F260" s="82"/>
      <c r="G260" s="82"/>
      <c r="H260" s="83"/>
      <c r="I260" s="84"/>
      <c r="J260" s="84"/>
      <c r="K260" s="83"/>
      <c r="L260" s="85"/>
      <c r="M260" s="83"/>
      <c r="N260" s="83"/>
      <c r="O260" s="83"/>
      <c r="P260" s="83"/>
      <c r="Q260" s="83"/>
      <c r="R260" s="83"/>
      <c r="S260" s="8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>
      <c r="A261" s="82"/>
      <c r="B261" s="82"/>
      <c r="C261" s="82"/>
      <c r="D261" s="82"/>
      <c r="E261" s="82"/>
      <c r="F261" s="82"/>
      <c r="G261" s="82"/>
      <c r="H261" s="83"/>
      <c r="I261" s="84"/>
      <c r="J261" s="84"/>
      <c r="K261" s="83"/>
      <c r="L261" s="85"/>
      <c r="M261" s="83"/>
      <c r="N261" s="83"/>
      <c r="O261" s="83"/>
      <c r="P261" s="83"/>
      <c r="Q261" s="83"/>
      <c r="R261" s="83"/>
      <c r="S261" s="8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>
      <c r="A262" s="82"/>
      <c r="B262" s="82"/>
      <c r="C262" s="82"/>
      <c r="D262" s="82"/>
      <c r="E262" s="82"/>
      <c r="F262" s="82"/>
      <c r="G262" s="82"/>
      <c r="H262" s="83"/>
      <c r="I262" s="84"/>
      <c r="J262" s="84"/>
      <c r="K262" s="83"/>
      <c r="L262" s="85"/>
      <c r="M262" s="83"/>
      <c r="N262" s="83"/>
      <c r="O262" s="83"/>
      <c r="P262" s="83"/>
      <c r="Q262" s="83"/>
      <c r="R262" s="83"/>
      <c r="S262" s="8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>
      <c r="A263" s="82"/>
      <c r="B263" s="82"/>
      <c r="C263" s="82"/>
      <c r="D263" s="82"/>
      <c r="E263" s="82"/>
      <c r="F263" s="82"/>
      <c r="G263" s="82"/>
      <c r="H263" s="83"/>
      <c r="I263" s="84"/>
      <c r="J263" s="84"/>
      <c r="K263" s="83"/>
      <c r="L263" s="85"/>
      <c r="M263" s="83"/>
      <c r="N263" s="83"/>
      <c r="O263" s="83"/>
      <c r="P263" s="83"/>
      <c r="Q263" s="83"/>
      <c r="R263" s="83"/>
      <c r="S263" s="8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>
      <c r="A264" s="82"/>
      <c r="B264" s="82"/>
      <c r="C264" s="82"/>
      <c r="D264" s="82"/>
      <c r="E264" s="82"/>
      <c r="F264" s="82"/>
      <c r="G264" s="82"/>
      <c r="H264" s="83"/>
      <c r="I264" s="84"/>
      <c r="J264" s="84"/>
      <c r="K264" s="83"/>
      <c r="L264" s="85"/>
      <c r="M264" s="83"/>
      <c r="N264" s="83"/>
      <c r="O264" s="83"/>
      <c r="P264" s="83"/>
      <c r="Q264" s="83"/>
      <c r="R264" s="83"/>
      <c r="S264" s="8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>
      <c r="A265" s="82"/>
      <c r="B265" s="82"/>
      <c r="C265" s="82"/>
      <c r="D265" s="82"/>
      <c r="E265" s="82"/>
      <c r="F265" s="82"/>
      <c r="G265" s="82"/>
      <c r="H265" s="83"/>
      <c r="I265" s="84"/>
      <c r="J265" s="84"/>
      <c r="K265" s="83"/>
      <c r="L265" s="85"/>
      <c r="M265" s="83"/>
      <c r="N265" s="83"/>
      <c r="O265" s="83"/>
      <c r="P265" s="83"/>
      <c r="Q265" s="83"/>
      <c r="R265" s="83"/>
      <c r="S265" s="8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>
      <c r="A266" s="82"/>
      <c r="B266" s="82"/>
      <c r="C266" s="82"/>
      <c r="D266" s="82"/>
      <c r="E266" s="82"/>
      <c r="F266" s="82"/>
      <c r="G266" s="82"/>
      <c r="H266" s="83"/>
      <c r="I266" s="84"/>
      <c r="J266" s="84"/>
      <c r="K266" s="83"/>
      <c r="L266" s="85"/>
      <c r="M266" s="83"/>
      <c r="N266" s="83"/>
      <c r="O266" s="83"/>
      <c r="P266" s="83"/>
      <c r="Q266" s="83"/>
      <c r="R266" s="83"/>
      <c r="S266" s="8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>
      <c r="A267" s="82"/>
      <c r="B267" s="82"/>
      <c r="C267" s="82"/>
      <c r="D267" s="82"/>
      <c r="E267" s="82"/>
      <c r="F267" s="82"/>
      <c r="G267" s="82"/>
      <c r="H267" s="83"/>
      <c r="I267" s="84"/>
      <c r="J267" s="84"/>
      <c r="K267" s="83"/>
      <c r="L267" s="85"/>
      <c r="M267" s="83"/>
      <c r="N267" s="83"/>
      <c r="O267" s="83"/>
      <c r="P267" s="83"/>
      <c r="Q267" s="83"/>
      <c r="R267" s="83"/>
      <c r="S267" s="8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>
      <c r="A268" s="82"/>
      <c r="B268" s="82"/>
      <c r="C268" s="82"/>
      <c r="D268" s="82"/>
      <c r="E268" s="82"/>
      <c r="F268" s="82"/>
      <c r="G268" s="82"/>
      <c r="H268" s="83"/>
      <c r="I268" s="84"/>
      <c r="J268" s="84"/>
      <c r="K268" s="83"/>
      <c r="L268" s="85"/>
      <c r="M268" s="83"/>
      <c r="N268" s="83"/>
      <c r="O268" s="83"/>
      <c r="P268" s="83"/>
      <c r="Q268" s="83"/>
      <c r="R268" s="83"/>
      <c r="S268" s="8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>
      <c r="A269" s="82"/>
      <c r="B269" s="82"/>
      <c r="C269" s="82"/>
      <c r="D269" s="82"/>
      <c r="E269" s="82"/>
      <c r="F269" s="82"/>
      <c r="G269" s="82"/>
      <c r="H269" s="83"/>
      <c r="I269" s="84"/>
      <c r="J269" s="84"/>
      <c r="K269" s="83"/>
      <c r="L269" s="85"/>
      <c r="M269" s="83"/>
      <c r="N269" s="83"/>
      <c r="O269" s="83"/>
      <c r="P269" s="83"/>
      <c r="Q269" s="83"/>
      <c r="R269" s="83"/>
      <c r="S269" s="8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>
      <c r="A270" s="82"/>
      <c r="B270" s="82"/>
      <c r="C270" s="82"/>
      <c r="D270" s="82"/>
      <c r="E270" s="82"/>
      <c r="F270" s="82"/>
      <c r="G270" s="82"/>
      <c r="H270" s="83"/>
      <c r="I270" s="84"/>
      <c r="J270" s="84"/>
      <c r="K270" s="83"/>
      <c r="L270" s="85"/>
      <c r="M270" s="83"/>
      <c r="N270" s="83"/>
      <c r="O270" s="83"/>
      <c r="P270" s="83"/>
      <c r="Q270" s="83"/>
      <c r="R270" s="83"/>
      <c r="S270" s="8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>
      <c r="A271" s="82"/>
      <c r="B271" s="82"/>
      <c r="C271" s="82"/>
      <c r="D271" s="82"/>
      <c r="E271" s="82"/>
      <c r="F271" s="82"/>
      <c r="G271" s="82"/>
      <c r="H271" s="83"/>
      <c r="I271" s="84"/>
      <c r="J271" s="84"/>
      <c r="K271" s="83"/>
      <c r="L271" s="85"/>
      <c r="M271" s="83"/>
      <c r="N271" s="83"/>
      <c r="O271" s="83"/>
      <c r="P271" s="83"/>
      <c r="Q271" s="83"/>
      <c r="R271" s="83"/>
      <c r="S271" s="8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>
      <c r="A272" s="82"/>
      <c r="B272" s="82"/>
      <c r="C272" s="82"/>
      <c r="D272" s="82"/>
      <c r="E272" s="82"/>
      <c r="F272" s="82"/>
      <c r="G272" s="82"/>
      <c r="H272" s="83"/>
      <c r="I272" s="84"/>
      <c r="J272" s="84"/>
      <c r="K272" s="83"/>
      <c r="L272" s="85"/>
      <c r="M272" s="83"/>
      <c r="N272" s="83"/>
      <c r="O272" s="83"/>
      <c r="P272" s="83"/>
      <c r="Q272" s="83"/>
      <c r="R272" s="83"/>
      <c r="S272" s="8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>
      <c r="A273" s="82"/>
      <c r="B273" s="82"/>
      <c r="C273" s="82"/>
      <c r="D273" s="82"/>
      <c r="E273" s="82"/>
      <c r="F273" s="82"/>
      <c r="G273" s="82"/>
      <c r="H273" s="83"/>
      <c r="I273" s="84"/>
      <c r="J273" s="84"/>
      <c r="K273" s="83"/>
      <c r="L273" s="85"/>
      <c r="M273" s="83"/>
      <c r="N273" s="83"/>
      <c r="O273" s="83"/>
      <c r="P273" s="83"/>
      <c r="Q273" s="83"/>
      <c r="R273" s="83"/>
      <c r="S273" s="8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>
      <c r="A274" s="82"/>
      <c r="B274" s="82"/>
      <c r="C274" s="82"/>
      <c r="D274" s="82"/>
      <c r="E274" s="82"/>
      <c r="F274" s="82"/>
      <c r="G274" s="82"/>
      <c r="H274" s="83"/>
      <c r="I274" s="84"/>
      <c r="J274" s="84"/>
      <c r="K274" s="83"/>
      <c r="L274" s="85"/>
      <c r="M274" s="83"/>
      <c r="N274" s="83"/>
      <c r="O274" s="83"/>
      <c r="P274" s="83"/>
      <c r="Q274" s="83"/>
      <c r="R274" s="83"/>
      <c r="S274" s="8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>
      <c r="A275" s="82"/>
      <c r="B275" s="82"/>
      <c r="C275" s="82"/>
      <c r="D275" s="82"/>
      <c r="E275" s="82"/>
      <c r="F275" s="82"/>
      <c r="G275" s="82"/>
      <c r="H275" s="83"/>
      <c r="I275" s="84"/>
      <c r="J275" s="84"/>
      <c r="K275" s="83"/>
      <c r="L275" s="85"/>
      <c r="M275" s="83"/>
      <c r="N275" s="83"/>
      <c r="O275" s="83"/>
      <c r="P275" s="83"/>
      <c r="Q275" s="83"/>
      <c r="R275" s="83"/>
      <c r="S275" s="8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>
      <c r="A276" s="82"/>
      <c r="B276" s="82"/>
      <c r="C276" s="82"/>
      <c r="D276" s="82"/>
      <c r="E276" s="82"/>
      <c r="F276" s="82"/>
      <c r="G276" s="82"/>
      <c r="H276" s="83"/>
      <c r="I276" s="84"/>
      <c r="J276" s="84"/>
      <c r="K276" s="83"/>
      <c r="L276" s="85"/>
      <c r="M276" s="83"/>
      <c r="N276" s="83"/>
      <c r="O276" s="83"/>
      <c r="P276" s="83"/>
      <c r="Q276" s="83"/>
      <c r="R276" s="83"/>
      <c r="S276" s="8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>
      <c r="A277" s="82"/>
      <c r="B277" s="82"/>
      <c r="C277" s="82"/>
      <c r="D277" s="82"/>
      <c r="E277" s="82"/>
      <c r="F277" s="82"/>
      <c r="G277" s="82"/>
      <c r="H277" s="83"/>
      <c r="I277" s="84"/>
      <c r="J277" s="84"/>
      <c r="K277" s="83"/>
      <c r="L277" s="85"/>
      <c r="M277" s="83"/>
      <c r="N277" s="83"/>
      <c r="O277" s="83"/>
      <c r="P277" s="83"/>
      <c r="Q277" s="83"/>
      <c r="R277" s="83"/>
      <c r="S277" s="8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>
      <c r="A278" s="82"/>
      <c r="B278" s="82"/>
      <c r="C278" s="82"/>
      <c r="D278" s="82"/>
      <c r="E278" s="82"/>
      <c r="F278" s="82"/>
      <c r="G278" s="82"/>
      <c r="H278" s="83"/>
      <c r="I278" s="84"/>
      <c r="J278" s="84"/>
      <c r="K278" s="83"/>
      <c r="L278" s="85"/>
      <c r="M278" s="83"/>
      <c r="N278" s="83"/>
      <c r="O278" s="83"/>
      <c r="P278" s="83"/>
      <c r="Q278" s="83"/>
      <c r="R278" s="83"/>
      <c r="S278" s="8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>
      <c r="A279" s="82"/>
      <c r="B279" s="82"/>
      <c r="C279" s="82"/>
      <c r="D279" s="82"/>
      <c r="E279" s="82"/>
      <c r="F279" s="82"/>
      <c r="G279" s="82"/>
      <c r="H279" s="83"/>
      <c r="I279" s="84"/>
      <c r="J279" s="84"/>
      <c r="K279" s="83"/>
      <c r="L279" s="85"/>
      <c r="M279" s="83"/>
      <c r="N279" s="83"/>
      <c r="O279" s="83"/>
      <c r="P279" s="83"/>
      <c r="Q279" s="83"/>
      <c r="R279" s="83"/>
      <c r="S279" s="8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>
      <c r="A280" s="82"/>
      <c r="B280" s="82"/>
      <c r="C280" s="82"/>
      <c r="D280" s="82"/>
      <c r="E280" s="82"/>
      <c r="F280" s="82"/>
      <c r="G280" s="82"/>
      <c r="H280" s="83"/>
      <c r="I280" s="84"/>
      <c r="J280" s="84"/>
      <c r="K280" s="83"/>
      <c r="L280" s="85"/>
      <c r="M280" s="83"/>
      <c r="N280" s="83"/>
      <c r="O280" s="83"/>
      <c r="P280" s="83"/>
      <c r="Q280" s="83"/>
      <c r="R280" s="83"/>
      <c r="S280" s="8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>
      <c r="A281" s="82"/>
      <c r="B281" s="82"/>
      <c r="C281" s="82"/>
      <c r="D281" s="82"/>
      <c r="E281" s="82"/>
      <c r="F281" s="82"/>
      <c r="G281" s="82"/>
      <c r="H281" s="83"/>
      <c r="I281" s="84"/>
      <c r="J281" s="84"/>
      <c r="K281" s="83"/>
      <c r="L281" s="85"/>
      <c r="M281" s="83"/>
      <c r="N281" s="83"/>
      <c r="O281" s="83"/>
      <c r="P281" s="83"/>
      <c r="Q281" s="83"/>
      <c r="R281" s="83"/>
      <c r="S281" s="8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>
      <c r="A282" s="82"/>
      <c r="B282" s="82"/>
      <c r="C282" s="82"/>
      <c r="D282" s="82"/>
      <c r="E282" s="82"/>
      <c r="F282" s="82"/>
      <c r="G282" s="82"/>
      <c r="H282" s="83"/>
      <c r="I282" s="84"/>
      <c r="J282" s="84"/>
      <c r="K282" s="83"/>
      <c r="L282" s="85"/>
      <c r="M282" s="83"/>
      <c r="N282" s="83"/>
      <c r="O282" s="83"/>
      <c r="P282" s="83"/>
      <c r="Q282" s="83"/>
      <c r="R282" s="83"/>
      <c r="S282" s="8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>
      <c r="A283" s="82"/>
      <c r="B283" s="82"/>
      <c r="C283" s="82"/>
      <c r="D283" s="82"/>
      <c r="E283" s="82"/>
      <c r="F283" s="82"/>
      <c r="G283" s="82"/>
      <c r="H283" s="83"/>
      <c r="I283" s="84"/>
      <c r="J283" s="84"/>
      <c r="K283" s="83"/>
      <c r="L283" s="85"/>
      <c r="M283" s="83"/>
      <c r="N283" s="83"/>
      <c r="O283" s="83"/>
      <c r="P283" s="83"/>
      <c r="Q283" s="83"/>
      <c r="R283" s="83"/>
      <c r="S283" s="8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>
      <c r="A284" s="82"/>
      <c r="B284" s="82"/>
      <c r="C284" s="82"/>
      <c r="D284" s="82"/>
      <c r="E284" s="82"/>
      <c r="F284" s="82"/>
      <c r="G284" s="82"/>
      <c r="H284" s="83"/>
      <c r="I284" s="84"/>
      <c r="J284" s="84"/>
      <c r="K284" s="83"/>
      <c r="L284" s="85"/>
      <c r="M284" s="83"/>
      <c r="N284" s="83"/>
      <c r="O284" s="83"/>
      <c r="P284" s="83"/>
      <c r="Q284" s="83"/>
      <c r="R284" s="83"/>
      <c r="S284" s="8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>
      <c r="A285" s="82"/>
      <c r="B285" s="82"/>
      <c r="C285" s="82"/>
      <c r="D285" s="82"/>
      <c r="E285" s="82"/>
      <c r="F285" s="82"/>
      <c r="G285" s="82"/>
      <c r="H285" s="83"/>
      <c r="I285" s="84"/>
      <c r="J285" s="84"/>
      <c r="K285" s="83"/>
      <c r="L285" s="85"/>
      <c r="M285" s="83"/>
      <c r="N285" s="83"/>
      <c r="O285" s="83"/>
      <c r="P285" s="83"/>
      <c r="Q285" s="83"/>
      <c r="R285" s="83"/>
      <c r="S285" s="8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>
      <c r="A286" s="82"/>
      <c r="B286" s="82"/>
      <c r="C286" s="82"/>
      <c r="D286" s="82"/>
      <c r="E286" s="82"/>
      <c r="F286" s="82"/>
      <c r="G286" s="82"/>
      <c r="H286" s="83"/>
      <c r="I286" s="84"/>
      <c r="J286" s="84"/>
      <c r="K286" s="83"/>
      <c r="L286" s="85"/>
      <c r="M286" s="83"/>
      <c r="N286" s="83"/>
      <c r="O286" s="83"/>
      <c r="P286" s="83"/>
      <c r="Q286" s="83"/>
      <c r="R286" s="83"/>
      <c r="S286" s="8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>
      <c r="A287" s="82"/>
      <c r="B287" s="82"/>
      <c r="C287" s="82"/>
      <c r="D287" s="82"/>
      <c r="E287" s="82"/>
      <c r="F287" s="82"/>
      <c r="G287" s="82"/>
      <c r="H287" s="83"/>
      <c r="I287" s="84"/>
      <c r="J287" s="84"/>
      <c r="K287" s="83"/>
      <c r="L287" s="85"/>
      <c r="M287" s="83"/>
      <c r="N287" s="83"/>
      <c r="O287" s="83"/>
      <c r="P287" s="83"/>
      <c r="Q287" s="83"/>
      <c r="R287" s="83"/>
      <c r="S287" s="8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>
      <c r="A288" s="82"/>
      <c r="B288" s="82"/>
      <c r="C288" s="82"/>
      <c r="D288" s="82"/>
      <c r="E288" s="82"/>
      <c r="F288" s="82"/>
      <c r="G288" s="82"/>
      <c r="H288" s="83"/>
      <c r="I288" s="84"/>
      <c r="J288" s="84"/>
      <c r="K288" s="83"/>
      <c r="L288" s="85"/>
      <c r="M288" s="83"/>
      <c r="N288" s="83"/>
      <c r="O288" s="83"/>
      <c r="P288" s="83"/>
      <c r="Q288" s="83"/>
      <c r="R288" s="83"/>
      <c r="S288" s="8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>
      <c r="A289" s="82"/>
      <c r="B289" s="82"/>
      <c r="C289" s="82"/>
      <c r="D289" s="82"/>
      <c r="E289" s="82"/>
      <c r="F289" s="82"/>
      <c r="G289" s="82"/>
      <c r="H289" s="83"/>
      <c r="I289" s="84"/>
      <c r="J289" s="84"/>
      <c r="K289" s="83"/>
      <c r="L289" s="85"/>
      <c r="M289" s="83"/>
      <c r="N289" s="83"/>
      <c r="O289" s="83"/>
      <c r="P289" s="83"/>
      <c r="Q289" s="83"/>
      <c r="R289" s="83"/>
      <c r="S289" s="8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>
      <c r="A290" s="82"/>
      <c r="B290" s="82"/>
      <c r="C290" s="82"/>
      <c r="D290" s="82"/>
      <c r="E290" s="82"/>
      <c r="F290" s="82"/>
      <c r="G290" s="82"/>
      <c r="H290" s="83"/>
      <c r="I290" s="84"/>
      <c r="J290" s="84"/>
      <c r="K290" s="83"/>
      <c r="L290" s="85"/>
      <c r="M290" s="83"/>
      <c r="N290" s="83"/>
      <c r="O290" s="83"/>
      <c r="P290" s="83"/>
      <c r="Q290" s="83"/>
      <c r="R290" s="83"/>
      <c r="S290" s="8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>
      <c r="A291" s="82"/>
      <c r="B291" s="82"/>
      <c r="C291" s="82"/>
      <c r="D291" s="82"/>
      <c r="E291" s="82"/>
      <c r="F291" s="82"/>
      <c r="G291" s="82"/>
      <c r="H291" s="83"/>
      <c r="I291" s="84"/>
      <c r="J291" s="84"/>
      <c r="K291" s="83"/>
      <c r="L291" s="85"/>
      <c r="M291" s="83"/>
      <c r="N291" s="83"/>
      <c r="O291" s="83"/>
      <c r="P291" s="83"/>
      <c r="Q291" s="83"/>
      <c r="R291" s="83"/>
      <c r="S291" s="8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>
      <c r="A292" s="82"/>
      <c r="B292" s="82"/>
      <c r="C292" s="82"/>
      <c r="D292" s="82"/>
      <c r="E292" s="82"/>
      <c r="F292" s="82"/>
      <c r="G292" s="82"/>
      <c r="H292" s="83"/>
      <c r="I292" s="84"/>
      <c r="J292" s="84"/>
      <c r="K292" s="83"/>
      <c r="L292" s="85"/>
      <c r="M292" s="83"/>
      <c r="N292" s="83"/>
      <c r="O292" s="83"/>
      <c r="P292" s="83"/>
      <c r="Q292" s="83"/>
      <c r="R292" s="83"/>
      <c r="S292" s="8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>
      <c r="A293" s="82"/>
      <c r="B293" s="82"/>
      <c r="C293" s="82"/>
      <c r="D293" s="82"/>
      <c r="E293" s="82"/>
      <c r="F293" s="82"/>
      <c r="G293" s="82"/>
      <c r="H293" s="83"/>
      <c r="I293" s="84"/>
      <c r="J293" s="84"/>
      <c r="K293" s="83"/>
      <c r="L293" s="85"/>
      <c r="M293" s="83"/>
      <c r="N293" s="83"/>
      <c r="O293" s="83"/>
      <c r="P293" s="83"/>
      <c r="Q293" s="83"/>
      <c r="R293" s="83"/>
      <c r="S293" s="8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>
      <c r="A294" s="82"/>
      <c r="B294" s="82"/>
      <c r="C294" s="82"/>
      <c r="D294" s="82"/>
      <c r="E294" s="82"/>
      <c r="F294" s="82"/>
      <c r="G294" s="82"/>
      <c r="H294" s="83"/>
      <c r="I294" s="84"/>
      <c r="J294" s="84"/>
      <c r="K294" s="83"/>
      <c r="L294" s="85"/>
      <c r="M294" s="83"/>
      <c r="N294" s="83"/>
      <c r="O294" s="83"/>
      <c r="P294" s="83"/>
      <c r="Q294" s="83"/>
      <c r="R294" s="83"/>
      <c r="S294" s="8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>
      <c r="A295" s="82"/>
      <c r="B295" s="82"/>
      <c r="C295" s="82"/>
      <c r="D295" s="82"/>
      <c r="E295" s="82"/>
      <c r="F295" s="82"/>
      <c r="G295" s="82"/>
      <c r="H295" s="83"/>
      <c r="I295" s="84"/>
      <c r="J295" s="84"/>
      <c r="K295" s="83"/>
      <c r="L295" s="85"/>
      <c r="M295" s="83"/>
      <c r="N295" s="83"/>
      <c r="O295" s="83"/>
      <c r="P295" s="83"/>
      <c r="Q295" s="83"/>
      <c r="R295" s="83"/>
      <c r="S295" s="8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>
      <c r="A296" s="82"/>
      <c r="B296" s="82"/>
      <c r="C296" s="82"/>
      <c r="D296" s="82"/>
      <c r="E296" s="82"/>
      <c r="F296" s="82"/>
      <c r="G296" s="82"/>
      <c r="H296" s="83"/>
      <c r="I296" s="84"/>
      <c r="J296" s="84"/>
      <c r="K296" s="83"/>
      <c r="L296" s="85"/>
      <c r="M296" s="83"/>
      <c r="N296" s="83"/>
      <c r="O296" s="83"/>
      <c r="P296" s="83"/>
      <c r="Q296" s="83"/>
      <c r="R296" s="83"/>
      <c r="S296" s="8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>
      <c r="A297" s="82"/>
      <c r="B297" s="82"/>
      <c r="C297" s="82"/>
      <c r="D297" s="82"/>
      <c r="E297" s="82"/>
      <c r="F297" s="82"/>
      <c r="G297" s="82"/>
      <c r="H297" s="83"/>
      <c r="I297" s="84"/>
      <c r="J297" s="84"/>
      <c r="K297" s="83"/>
      <c r="L297" s="85"/>
      <c r="M297" s="83"/>
      <c r="N297" s="83"/>
      <c r="O297" s="83"/>
      <c r="P297" s="83"/>
      <c r="Q297" s="83"/>
      <c r="R297" s="83"/>
      <c r="S297" s="8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>
      <c r="A298" s="82"/>
      <c r="B298" s="82"/>
      <c r="C298" s="82"/>
      <c r="D298" s="82"/>
      <c r="E298" s="82"/>
      <c r="F298" s="82"/>
      <c r="G298" s="82"/>
      <c r="H298" s="83"/>
      <c r="I298" s="84"/>
      <c r="J298" s="84"/>
      <c r="K298" s="83"/>
      <c r="L298" s="85"/>
      <c r="M298" s="83"/>
      <c r="N298" s="83"/>
      <c r="O298" s="83"/>
      <c r="P298" s="83"/>
      <c r="Q298" s="83"/>
      <c r="R298" s="83"/>
      <c r="S298" s="8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>
      <c r="A299" s="82"/>
      <c r="B299" s="82"/>
      <c r="C299" s="82"/>
      <c r="D299" s="82"/>
      <c r="E299" s="82"/>
      <c r="F299" s="82"/>
      <c r="G299" s="82"/>
      <c r="H299" s="83"/>
      <c r="I299" s="84"/>
      <c r="J299" s="84"/>
      <c r="K299" s="83"/>
      <c r="L299" s="85"/>
      <c r="M299" s="83"/>
      <c r="N299" s="83"/>
      <c r="O299" s="83"/>
      <c r="P299" s="83"/>
      <c r="Q299" s="83"/>
      <c r="R299" s="83"/>
      <c r="S299" s="8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>
      <c r="A300" s="82"/>
      <c r="B300" s="82"/>
      <c r="C300" s="82"/>
      <c r="D300" s="82"/>
      <c r="E300" s="82"/>
      <c r="F300" s="82"/>
      <c r="G300" s="82"/>
      <c r="H300" s="83"/>
      <c r="I300" s="84"/>
      <c r="J300" s="84"/>
      <c r="K300" s="83"/>
      <c r="L300" s="85"/>
      <c r="M300" s="83"/>
      <c r="N300" s="83"/>
      <c r="O300" s="83"/>
      <c r="P300" s="83"/>
      <c r="Q300" s="83"/>
      <c r="R300" s="83"/>
      <c r="S300" s="8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>
      <c r="A301" s="82"/>
      <c r="B301" s="82"/>
      <c r="C301" s="82"/>
      <c r="D301" s="82"/>
      <c r="E301" s="82"/>
      <c r="F301" s="82"/>
      <c r="G301" s="82"/>
      <c r="H301" s="83"/>
      <c r="I301" s="84"/>
      <c r="J301" s="84"/>
      <c r="K301" s="83"/>
      <c r="L301" s="85"/>
      <c r="M301" s="83"/>
      <c r="N301" s="83"/>
      <c r="O301" s="83"/>
      <c r="P301" s="83"/>
      <c r="Q301" s="83"/>
      <c r="R301" s="83"/>
      <c r="S301" s="8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>
      <c r="A302" s="82"/>
      <c r="B302" s="82"/>
      <c r="C302" s="82"/>
      <c r="D302" s="82"/>
      <c r="E302" s="82"/>
      <c r="F302" s="82"/>
      <c r="G302" s="82"/>
      <c r="H302" s="83"/>
      <c r="I302" s="84"/>
      <c r="J302" s="84"/>
      <c r="K302" s="83"/>
      <c r="L302" s="85"/>
      <c r="M302" s="83"/>
      <c r="N302" s="83"/>
      <c r="O302" s="83"/>
      <c r="P302" s="83"/>
      <c r="Q302" s="83"/>
      <c r="R302" s="83"/>
      <c r="S302" s="8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>
      <c r="A303" s="82"/>
      <c r="B303" s="82"/>
      <c r="C303" s="82"/>
      <c r="D303" s="82"/>
      <c r="E303" s="82"/>
      <c r="F303" s="82"/>
      <c r="G303" s="82"/>
      <c r="H303" s="83"/>
      <c r="I303" s="84"/>
      <c r="J303" s="84"/>
      <c r="K303" s="83"/>
      <c r="L303" s="85"/>
      <c r="M303" s="83"/>
      <c r="N303" s="83"/>
      <c r="O303" s="83"/>
      <c r="P303" s="83"/>
      <c r="Q303" s="83"/>
      <c r="R303" s="83"/>
      <c r="S303" s="8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>
      <c r="A304" s="82"/>
      <c r="B304" s="82"/>
      <c r="C304" s="82"/>
      <c r="D304" s="82"/>
      <c r="E304" s="82"/>
      <c r="F304" s="82"/>
      <c r="G304" s="82"/>
      <c r="H304" s="83"/>
      <c r="I304" s="84"/>
      <c r="J304" s="84"/>
      <c r="K304" s="83"/>
      <c r="L304" s="85"/>
      <c r="M304" s="83"/>
      <c r="N304" s="83"/>
      <c r="O304" s="83"/>
      <c r="P304" s="83"/>
      <c r="Q304" s="83"/>
      <c r="R304" s="83"/>
      <c r="S304" s="8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>
      <c r="A305" s="82"/>
      <c r="B305" s="82"/>
      <c r="C305" s="82"/>
      <c r="D305" s="82"/>
      <c r="E305" s="82"/>
      <c r="F305" s="82"/>
      <c r="G305" s="82"/>
      <c r="H305" s="83"/>
      <c r="I305" s="84"/>
      <c r="J305" s="84"/>
      <c r="K305" s="83"/>
      <c r="L305" s="85"/>
      <c r="M305" s="83"/>
      <c r="N305" s="83"/>
      <c r="O305" s="83"/>
      <c r="P305" s="83"/>
      <c r="Q305" s="83"/>
      <c r="R305" s="83"/>
      <c r="S305" s="8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>
      <c r="A306" s="82"/>
      <c r="B306" s="82"/>
      <c r="C306" s="82"/>
      <c r="D306" s="82"/>
      <c r="E306" s="82"/>
      <c r="F306" s="82"/>
      <c r="G306" s="82"/>
      <c r="H306" s="83"/>
      <c r="I306" s="84"/>
      <c r="J306" s="84"/>
      <c r="K306" s="83"/>
      <c r="L306" s="85"/>
      <c r="M306" s="83"/>
      <c r="N306" s="83"/>
      <c r="O306" s="83"/>
      <c r="P306" s="83"/>
      <c r="Q306" s="83"/>
      <c r="R306" s="83"/>
      <c r="S306" s="8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>
      <c r="A307" s="82"/>
      <c r="B307" s="82"/>
      <c r="C307" s="82"/>
      <c r="D307" s="82"/>
      <c r="E307" s="82"/>
      <c r="F307" s="82"/>
      <c r="G307" s="82"/>
      <c r="H307" s="83"/>
      <c r="I307" s="84"/>
      <c r="J307" s="84"/>
      <c r="K307" s="83"/>
      <c r="L307" s="85"/>
      <c r="M307" s="83"/>
      <c r="N307" s="83"/>
      <c r="O307" s="83"/>
      <c r="P307" s="83"/>
      <c r="Q307" s="83"/>
      <c r="R307" s="83"/>
      <c r="S307" s="8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>
      <c r="A308" s="82"/>
      <c r="B308" s="82"/>
      <c r="C308" s="82"/>
      <c r="D308" s="82"/>
      <c r="E308" s="82"/>
      <c r="F308" s="82"/>
      <c r="G308" s="82"/>
      <c r="H308" s="83"/>
      <c r="I308" s="84"/>
      <c r="J308" s="84"/>
      <c r="K308" s="83"/>
      <c r="L308" s="85"/>
      <c r="M308" s="83"/>
      <c r="N308" s="83"/>
      <c r="O308" s="83"/>
      <c r="P308" s="83"/>
      <c r="Q308" s="83"/>
      <c r="R308" s="83"/>
      <c r="S308" s="8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>
      <c r="A309" s="82"/>
      <c r="B309" s="82"/>
      <c r="C309" s="82"/>
      <c r="D309" s="82"/>
      <c r="E309" s="82"/>
      <c r="F309" s="82"/>
      <c r="G309" s="82"/>
      <c r="H309" s="83"/>
      <c r="I309" s="84"/>
      <c r="J309" s="84"/>
      <c r="K309" s="83"/>
      <c r="L309" s="85"/>
      <c r="M309" s="83"/>
      <c r="N309" s="83"/>
      <c r="O309" s="83"/>
      <c r="P309" s="83"/>
      <c r="Q309" s="83"/>
      <c r="R309" s="83"/>
      <c r="S309" s="8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>
      <c r="A310" s="82"/>
      <c r="B310" s="82"/>
      <c r="C310" s="82"/>
      <c r="D310" s="82"/>
      <c r="E310" s="82"/>
      <c r="F310" s="82"/>
      <c r="G310" s="82"/>
      <c r="H310" s="83"/>
      <c r="I310" s="84"/>
      <c r="J310" s="84"/>
      <c r="K310" s="83"/>
      <c r="L310" s="85"/>
      <c r="M310" s="83"/>
      <c r="N310" s="83"/>
      <c r="O310" s="83"/>
      <c r="P310" s="83"/>
      <c r="Q310" s="83"/>
      <c r="R310" s="83"/>
      <c r="S310" s="8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>
      <c r="A311" s="82"/>
      <c r="B311" s="82"/>
      <c r="C311" s="82"/>
      <c r="D311" s="82"/>
      <c r="E311" s="82"/>
      <c r="F311" s="82"/>
      <c r="G311" s="82"/>
      <c r="H311" s="83"/>
      <c r="I311" s="84"/>
      <c r="J311" s="84"/>
      <c r="K311" s="83"/>
      <c r="L311" s="85"/>
      <c r="M311" s="83"/>
      <c r="N311" s="83"/>
      <c r="O311" s="83"/>
      <c r="P311" s="83"/>
      <c r="Q311" s="83"/>
      <c r="R311" s="83"/>
      <c r="S311" s="8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>
      <c r="A312" s="82"/>
      <c r="B312" s="82"/>
      <c r="C312" s="82"/>
      <c r="D312" s="82"/>
      <c r="E312" s="82"/>
      <c r="F312" s="82"/>
      <c r="G312" s="82"/>
      <c r="H312" s="83"/>
      <c r="I312" s="84"/>
      <c r="J312" s="84"/>
      <c r="K312" s="83"/>
      <c r="L312" s="85"/>
      <c r="M312" s="83"/>
      <c r="N312" s="83"/>
      <c r="O312" s="83"/>
      <c r="P312" s="83"/>
      <c r="Q312" s="83"/>
      <c r="R312" s="83"/>
      <c r="S312" s="8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>
      <c r="A313" s="82"/>
      <c r="B313" s="82"/>
      <c r="C313" s="82"/>
      <c r="D313" s="82"/>
      <c r="E313" s="82"/>
      <c r="F313" s="82"/>
      <c r="G313" s="82"/>
      <c r="H313" s="83"/>
      <c r="I313" s="84"/>
      <c r="J313" s="84"/>
      <c r="K313" s="83"/>
      <c r="L313" s="85"/>
      <c r="M313" s="83"/>
      <c r="N313" s="83"/>
      <c r="O313" s="83"/>
      <c r="P313" s="83"/>
      <c r="Q313" s="83"/>
      <c r="R313" s="83"/>
      <c r="S313" s="8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>
      <c r="A314" s="82"/>
      <c r="B314" s="82"/>
      <c r="C314" s="82"/>
      <c r="D314" s="82"/>
      <c r="E314" s="82"/>
      <c r="F314" s="82"/>
      <c r="G314" s="82"/>
      <c r="H314" s="83"/>
      <c r="I314" s="84"/>
      <c r="J314" s="84"/>
      <c r="K314" s="83"/>
      <c r="L314" s="85"/>
      <c r="M314" s="83"/>
      <c r="N314" s="83"/>
      <c r="O314" s="83"/>
      <c r="P314" s="83"/>
      <c r="Q314" s="83"/>
      <c r="R314" s="83"/>
      <c r="S314" s="8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>
      <c r="A315" s="82"/>
      <c r="B315" s="82"/>
      <c r="C315" s="82"/>
      <c r="D315" s="82"/>
      <c r="E315" s="82"/>
      <c r="F315" s="82"/>
      <c r="G315" s="82"/>
      <c r="H315" s="83"/>
      <c r="I315" s="84"/>
      <c r="J315" s="84"/>
      <c r="K315" s="83"/>
      <c r="L315" s="85"/>
      <c r="M315" s="83"/>
      <c r="N315" s="83"/>
      <c r="O315" s="83"/>
      <c r="P315" s="83"/>
      <c r="Q315" s="83"/>
      <c r="R315" s="83"/>
      <c r="S315" s="8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>
      <c r="A316" s="82"/>
      <c r="B316" s="82"/>
      <c r="C316" s="82"/>
      <c r="D316" s="82"/>
      <c r="E316" s="82"/>
      <c r="F316" s="82"/>
      <c r="G316" s="82"/>
      <c r="H316" s="83"/>
      <c r="I316" s="84"/>
      <c r="J316" s="84"/>
      <c r="K316" s="83"/>
      <c r="L316" s="85"/>
      <c r="M316" s="83"/>
      <c r="N316" s="83"/>
      <c r="O316" s="83"/>
      <c r="P316" s="83"/>
      <c r="Q316" s="83"/>
      <c r="R316" s="83"/>
      <c r="S316" s="8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>
      <c r="A317" s="82"/>
      <c r="B317" s="82"/>
      <c r="C317" s="82"/>
      <c r="D317" s="82"/>
      <c r="E317" s="82"/>
      <c r="F317" s="82"/>
      <c r="G317" s="82"/>
      <c r="H317" s="83"/>
      <c r="I317" s="84"/>
      <c r="J317" s="84"/>
      <c r="K317" s="83"/>
      <c r="L317" s="85"/>
      <c r="M317" s="83"/>
      <c r="N317" s="83"/>
      <c r="O317" s="83"/>
      <c r="P317" s="83"/>
      <c r="Q317" s="83"/>
      <c r="R317" s="83"/>
      <c r="S317" s="8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>
      <c r="A318" s="82"/>
      <c r="B318" s="82"/>
      <c r="C318" s="82"/>
      <c r="D318" s="82"/>
      <c r="E318" s="82"/>
      <c r="F318" s="82"/>
      <c r="G318" s="82"/>
      <c r="H318" s="83"/>
      <c r="I318" s="84"/>
      <c r="J318" s="84"/>
      <c r="K318" s="83"/>
      <c r="L318" s="85"/>
      <c r="M318" s="83"/>
      <c r="N318" s="83"/>
      <c r="O318" s="83"/>
      <c r="P318" s="83"/>
      <c r="Q318" s="83"/>
      <c r="R318" s="83"/>
      <c r="S318" s="8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>
      <c r="A319" s="82"/>
      <c r="B319" s="82"/>
      <c r="C319" s="82"/>
      <c r="D319" s="82"/>
      <c r="E319" s="82"/>
      <c r="F319" s="82"/>
      <c r="G319" s="82"/>
      <c r="H319" s="83"/>
      <c r="I319" s="84"/>
      <c r="J319" s="84"/>
      <c r="K319" s="83"/>
      <c r="L319" s="85"/>
      <c r="M319" s="83"/>
      <c r="N319" s="83"/>
      <c r="O319" s="83"/>
      <c r="P319" s="83"/>
      <c r="Q319" s="83"/>
      <c r="R319" s="83"/>
      <c r="S319" s="8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>
      <c r="A320" s="82"/>
      <c r="B320" s="82"/>
      <c r="C320" s="82"/>
      <c r="D320" s="82"/>
      <c r="E320" s="82"/>
      <c r="F320" s="82"/>
      <c r="G320" s="82"/>
      <c r="H320" s="83"/>
      <c r="I320" s="84"/>
      <c r="J320" s="84"/>
      <c r="K320" s="83"/>
      <c r="L320" s="85"/>
      <c r="M320" s="83"/>
      <c r="N320" s="83"/>
      <c r="O320" s="83"/>
      <c r="P320" s="83"/>
      <c r="Q320" s="83"/>
      <c r="R320" s="83"/>
      <c r="S320" s="8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>
      <c r="A321" s="82"/>
      <c r="B321" s="82"/>
      <c r="C321" s="82"/>
      <c r="D321" s="82"/>
      <c r="E321" s="82"/>
      <c r="F321" s="82"/>
      <c r="G321" s="82"/>
      <c r="H321" s="83"/>
      <c r="I321" s="84"/>
      <c r="J321" s="84"/>
      <c r="K321" s="83"/>
      <c r="L321" s="85"/>
      <c r="M321" s="83"/>
      <c r="N321" s="83"/>
      <c r="O321" s="83"/>
      <c r="P321" s="83"/>
      <c r="Q321" s="83"/>
      <c r="R321" s="83"/>
      <c r="S321" s="8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>
      <c r="A322" s="82"/>
      <c r="B322" s="82"/>
      <c r="C322" s="82"/>
      <c r="D322" s="82"/>
      <c r="E322" s="82"/>
      <c r="F322" s="82"/>
      <c r="G322" s="82"/>
      <c r="H322" s="83"/>
      <c r="I322" s="84"/>
      <c r="J322" s="84"/>
      <c r="K322" s="83"/>
      <c r="L322" s="85"/>
      <c r="M322" s="83"/>
      <c r="N322" s="83"/>
      <c r="O322" s="83"/>
      <c r="P322" s="83"/>
      <c r="Q322" s="83"/>
      <c r="R322" s="83"/>
      <c r="S322" s="8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>
      <c r="A323" s="82"/>
      <c r="B323" s="82"/>
      <c r="C323" s="82"/>
      <c r="D323" s="82"/>
      <c r="E323" s="82"/>
      <c r="F323" s="82"/>
      <c r="G323" s="82"/>
      <c r="H323" s="83"/>
      <c r="I323" s="84"/>
      <c r="J323" s="84"/>
      <c r="K323" s="83"/>
      <c r="L323" s="85"/>
      <c r="M323" s="83"/>
      <c r="N323" s="83"/>
      <c r="O323" s="83"/>
      <c r="P323" s="83"/>
      <c r="Q323" s="83"/>
      <c r="R323" s="83"/>
      <c r="S323" s="8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>
      <c r="A324" s="82"/>
      <c r="B324" s="82"/>
      <c r="C324" s="82"/>
      <c r="D324" s="82"/>
      <c r="E324" s="82"/>
      <c r="F324" s="82"/>
      <c r="G324" s="82"/>
      <c r="H324" s="83"/>
      <c r="I324" s="84"/>
      <c r="J324" s="84"/>
      <c r="K324" s="83"/>
      <c r="L324" s="85"/>
      <c r="M324" s="83"/>
      <c r="N324" s="83"/>
      <c r="O324" s="83"/>
      <c r="P324" s="83"/>
      <c r="Q324" s="83"/>
      <c r="R324" s="83"/>
      <c r="S324" s="8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82"/>
      <c r="B325" s="82"/>
      <c r="C325" s="82"/>
      <c r="D325" s="82"/>
      <c r="E325" s="82"/>
      <c r="F325" s="82"/>
      <c r="G325" s="82"/>
      <c r="H325" s="83"/>
      <c r="I325" s="84"/>
      <c r="J325" s="84"/>
      <c r="K325" s="83"/>
      <c r="L325" s="85"/>
      <c r="M325" s="83"/>
      <c r="N325" s="83"/>
      <c r="O325" s="83"/>
      <c r="P325" s="83"/>
      <c r="Q325" s="83"/>
      <c r="R325" s="83"/>
      <c r="S325" s="8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>
      <c r="A326" s="82"/>
      <c r="B326" s="82"/>
      <c r="C326" s="82"/>
      <c r="D326" s="82"/>
      <c r="E326" s="82"/>
      <c r="F326" s="82"/>
      <c r="G326" s="82"/>
      <c r="H326" s="83"/>
      <c r="I326" s="84"/>
      <c r="J326" s="84"/>
      <c r="K326" s="83"/>
      <c r="L326" s="85"/>
      <c r="M326" s="83"/>
      <c r="N326" s="83"/>
      <c r="O326" s="83"/>
      <c r="P326" s="83"/>
      <c r="Q326" s="83"/>
      <c r="R326" s="83"/>
      <c r="S326" s="8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>
      <c r="A327" s="82"/>
      <c r="B327" s="82"/>
      <c r="C327" s="82"/>
      <c r="D327" s="82"/>
      <c r="E327" s="82"/>
      <c r="F327" s="82"/>
      <c r="G327" s="82"/>
      <c r="H327" s="83"/>
      <c r="I327" s="84"/>
      <c r="J327" s="84"/>
      <c r="K327" s="83"/>
      <c r="L327" s="85"/>
      <c r="M327" s="83"/>
      <c r="N327" s="83"/>
      <c r="O327" s="83"/>
      <c r="P327" s="83"/>
      <c r="Q327" s="83"/>
      <c r="R327" s="83"/>
      <c r="S327" s="8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>
      <c r="A328" s="82"/>
      <c r="B328" s="82"/>
      <c r="C328" s="82"/>
      <c r="D328" s="82"/>
      <c r="E328" s="82"/>
      <c r="F328" s="82"/>
      <c r="G328" s="82"/>
      <c r="H328" s="83"/>
      <c r="I328" s="84"/>
      <c r="J328" s="84"/>
      <c r="K328" s="83"/>
      <c r="L328" s="85"/>
      <c r="M328" s="83"/>
      <c r="N328" s="83"/>
      <c r="O328" s="83"/>
      <c r="P328" s="83"/>
      <c r="Q328" s="83"/>
      <c r="R328" s="83"/>
      <c r="S328" s="8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>
      <c r="A329" s="82"/>
      <c r="B329" s="82"/>
      <c r="C329" s="82"/>
      <c r="D329" s="82"/>
      <c r="E329" s="82"/>
      <c r="F329" s="82"/>
      <c r="G329" s="82"/>
      <c r="H329" s="83"/>
      <c r="I329" s="84"/>
      <c r="J329" s="84"/>
      <c r="K329" s="83"/>
      <c r="L329" s="85"/>
      <c r="M329" s="83"/>
      <c r="N329" s="83"/>
      <c r="O329" s="83"/>
      <c r="P329" s="83"/>
      <c r="Q329" s="83"/>
      <c r="R329" s="83"/>
      <c r="S329" s="8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>
      <c r="A330" s="82"/>
      <c r="B330" s="82"/>
      <c r="C330" s="82"/>
      <c r="D330" s="82"/>
      <c r="E330" s="82"/>
      <c r="F330" s="82"/>
      <c r="G330" s="82"/>
      <c r="H330" s="83"/>
      <c r="I330" s="84"/>
      <c r="J330" s="84"/>
      <c r="K330" s="83"/>
      <c r="L330" s="85"/>
      <c r="M330" s="83"/>
      <c r="N330" s="83"/>
      <c r="O330" s="83"/>
      <c r="P330" s="83"/>
      <c r="Q330" s="83"/>
      <c r="R330" s="83"/>
      <c r="S330" s="8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>
      <c r="A331" s="82"/>
      <c r="B331" s="82"/>
      <c r="C331" s="82"/>
      <c r="D331" s="82"/>
      <c r="E331" s="82"/>
      <c r="F331" s="82"/>
      <c r="G331" s="82"/>
      <c r="H331" s="83"/>
      <c r="I331" s="84"/>
      <c r="J331" s="84"/>
      <c r="K331" s="83"/>
      <c r="L331" s="85"/>
      <c r="M331" s="83"/>
      <c r="N331" s="83"/>
      <c r="O331" s="83"/>
      <c r="P331" s="83"/>
      <c r="Q331" s="83"/>
      <c r="R331" s="83"/>
      <c r="S331" s="8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>
      <c r="A332" s="82"/>
      <c r="B332" s="82"/>
      <c r="C332" s="82"/>
      <c r="D332" s="82"/>
      <c r="E332" s="82"/>
      <c r="F332" s="82"/>
      <c r="G332" s="82"/>
      <c r="H332" s="83"/>
      <c r="I332" s="84"/>
      <c r="J332" s="84"/>
      <c r="K332" s="83"/>
      <c r="L332" s="85"/>
      <c r="M332" s="83"/>
      <c r="N332" s="83"/>
      <c r="O332" s="83"/>
      <c r="P332" s="83"/>
      <c r="Q332" s="83"/>
      <c r="R332" s="83"/>
      <c r="S332" s="8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>
      <c r="A333" s="82"/>
      <c r="B333" s="82"/>
      <c r="C333" s="82"/>
      <c r="D333" s="82"/>
      <c r="E333" s="82"/>
      <c r="F333" s="82"/>
      <c r="G333" s="82"/>
      <c r="H333" s="83"/>
      <c r="I333" s="84"/>
      <c r="J333" s="84"/>
      <c r="K333" s="83"/>
      <c r="L333" s="85"/>
      <c r="M333" s="83"/>
      <c r="N333" s="83"/>
      <c r="O333" s="83"/>
      <c r="P333" s="83"/>
      <c r="Q333" s="83"/>
      <c r="R333" s="83"/>
      <c r="S333" s="8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>
      <c r="A334" s="82"/>
      <c r="B334" s="82"/>
      <c r="C334" s="82"/>
      <c r="D334" s="82"/>
      <c r="E334" s="82"/>
      <c r="F334" s="82"/>
      <c r="G334" s="82"/>
      <c r="H334" s="83"/>
      <c r="I334" s="84"/>
      <c r="J334" s="84"/>
      <c r="K334" s="83"/>
      <c r="L334" s="85"/>
      <c r="M334" s="83"/>
      <c r="N334" s="83"/>
      <c r="O334" s="83"/>
      <c r="P334" s="83"/>
      <c r="Q334" s="83"/>
      <c r="R334" s="83"/>
      <c r="S334" s="8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>
      <c r="A335" s="82"/>
      <c r="B335" s="82"/>
      <c r="C335" s="82"/>
      <c r="D335" s="82"/>
      <c r="E335" s="82"/>
      <c r="F335" s="82"/>
      <c r="G335" s="82"/>
      <c r="H335" s="83"/>
      <c r="I335" s="84"/>
      <c r="J335" s="84"/>
      <c r="K335" s="83"/>
      <c r="L335" s="85"/>
      <c r="M335" s="83"/>
      <c r="N335" s="83"/>
      <c r="O335" s="83"/>
      <c r="P335" s="83"/>
      <c r="Q335" s="83"/>
      <c r="R335" s="83"/>
      <c r="S335" s="8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>
      <c r="A336" s="82"/>
      <c r="B336" s="82"/>
      <c r="C336" s="82"/>
      <c r="D336" s="82"/>
      <c r="E336" s="82"/>
      <c r="F336" s="82"/>
      <c r="G336" s="82"/>
      <c r="H336" s="83"/>
      <c r="I336" s="84"/>
      <c r="J336" s="84"/>
      <c r="K336" s="83"/>
      <c r="L336" s="85"/>
      <c r="M336" s="83"/>
      <c r="N336" s="83"/>
      <c r="O336" s="83"/>
      <c r="P336" s="83"/>
      <c r="Q336" s="83"/>
      <c r="R336" s="83"/>
      <c r="S336" s="8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>
      <c r="A337" s="82"/>
      <c r="B337" s="82"/>
      <c r="C337" s="82"/>
      <c r="D337" s="82"/>
      <c r="E337" s="82"/>
      <c r="F337" s="82"/>
      <c r="G337" s="82"/>
      <c r="H337" s="83"/>
      <c r="I337" s="84"/>
      <c r="J337" s="84"/>
      <c r="K337" s="83"/>
      <c r="L337" s="85"/>
      <c r="M337" s="83"/>
      <c r="N337" s="83"/>
      <c r="O337" s="83"/>
      <c r="P337" s="83"/>
      <c r="Q337" s="83"/>
      <c r="R337" s="83"/>
      <c r="S337" s="8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>
      <c r="A338" s="82"/>
      <c r="B338" s="82"/>
      <c r="C338" s="82"/>
      <c r="D338" s="82"/>
      <c r="E338" s="82"/>
      <c r="F338" s="82"/>
      <c r="G338" s="82"/>
      <c r="H338" s="83"/>
      <c r="I338" s="84"/>
      <c r="J338" s="84"/>
      <c r="K338" s="83"/>
      <c r="L338" s="85"/>
      <c r="M338" s="83"/>
      <c r="N338" s="83"/>
      <c r="O338" s="83"/>
      <c r="P338" s="83"/>
      <c r="Q338" s="83"/>
      <c r="R338" s="83"/>
      <c r="S338" s="8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>
      <c r="A339" s="82"/>
      <c r="B339" s="82"/>
      <c r="C339" s="82"/>
      <c r="D339" s="82"/>
      <c r="E339" s="82"/>
      <c r="F339" s="82"/>
      <c r="G339" s="82"/>
      <c r="H339" s="83"/>
      <c r="I339" s="84"/>
      <c r="J339" s="84"/>
      <c r="K339" s="83"/>
      <c r="L339" s="85"/>
      <c r="M339" s="83"/>
      <c r="N339" s="83"/>
      <c r="O339" s="83"/>
      <c r="P339" s="83"/>
      <c r="Q339" s="83"/>
      <c r="R339" s="83"/>
      <c r="S339" s="8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>
      <c r="A340" s="82"/>
      <c r="B340" s="82"/>
      <c r="C340" s="82"/>
      <c r="D340" s="82"/>
      <c r="E340" s="82"/>
      <c r="F340" s="82"/>
      <c r="G340" s="82"/>
      <c r="H340" s="83"/>
      <c r="I340" s="84"/>
      <c r="J340" s="84"/>
      <c r="K340" s="83"/>
      <c r="L340" s="85"/>
      <c r="M340" s="83"/>
      <c r="N340" s="83"/>
      <c r="O340" s="83"/>
      <c r="P340" s="83"/>
      <c r="Q340" s="83"/>
      <c r="R340" s="83"/>
      <c r="S340" s="8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>
      <c r="A341" s="82"/>
      <c r="B341" s="82"/>
      <c r="C341" s="82"/>
      <c r="D341" s="82"/>
      <c r="E341" s="82"/>
      <c r="F341" s="82"/>
      <c r="G341" s="82"/>
      <c r="H341" s="83"/>
      <c r="I341" s="84"/>
      <c r="J341" s="84"/>
      <c r="K341" s="83"/>
      <c r="L341" s="85"/>
      <c r="M341" s="83"/>
      <c r="N341" s="83"/>
      <c r="O341" s="83"/>
      <c r="P341" s="83"/>
      <c r="Q341" s="83"/>
      <c r="R341" s="83"/>
      <c r="S341" s="8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>
      <c r="A342" s="82"/>
      <c r="B342" s="82"/>
      <c r="C342" s="82"/>
      <c r="D342" s="82"/>
      <c r="E342" s="82"/>
      <c r="F342" s="82"/>
      <c r="G342" s="82"/>
      <c r="H342" s="83"/>
      <c r="I342" s="84"/>
      <c r="J342" s="84"/>
      <c r="K342" s="83"/>
      <c r="L342" s="85"/>
      <c r="M342" s="83"/>
      <c r="N342" s="83"/>
      <c r="O342" s="83"/>
      <c r="P342" s="83"/>
      <c r="Q342" s="83"/>
      <c r="R342" s="83"/>
      <c r="S342" s="8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>
      <c r="A343" s="82"/>
      <c r="B343" s="82"/>
      <c r="C343" s="82"/>
      <c r="D343" s="82"/>
      <c r="E343" s="82"/>
      <c r="F343" s="82"/>
      <c r="G343" s="82"/>
      <c r="H343" s="83"/>
      <c r="I343" s="84"/>
      <c r="J343" s="84"/>
      <c r="K343" s="83"/>
      <c r="L343" s="85"/>
      <c r="M343" s="83"/>
      <c r="N343" s="83"/>
      <c r="O343" s="83"/>
      <c r="P343" s="83"/>
      <c r="Q343" s="83"/>
      <c r="R343" s="83"/>
      <c r="S343" s="8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>
      <c r="A344" s="82"/>
      <c r="B344" s="82"/>
      <c r="C344" s="82"/>
      <c r="D344" s="82"/>
      <c r="E344" s="82"/>
      <c r="F344" s="82"/>
      <c r="G344" s="82"/>
      <c r="H344" s="83"/>
      <c r="I344" s="84"/>
      <c r="J344" s="84"/>
      <c r="K344" s="83"/>
      <c r="L344" s="85"/>
      <c r="M344" s="83"/>
      <c r="N344" s="83"/>
      <c r="O344" s="83"/>
      <c r="P344" s="83"/>
      <c r="Q344" s="83"/>
      <c r="R344" s="83"/>
      <c r="S344" s="8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>
      <c r="A345" s="82"/>
      <c r="B345" s="82"/>
      <c r="C345" s="82"/>
      <c r="D345" s="82"/>
      <c r="E345" s="82"/>
      <c r="F345" s="82"/>
      <c r="G345" s="82"/>
      <c r="H345" s="83"/>
      <c r="I345" s="84"/>
      <c r="J345" s="84"/>
      <c r="K345" s="83"/>
      <c r="L345" s="85"/>
      <c r="M345" s="83"/>
      <c r="N345" s="83"/>
      <c r="O345" s="83"/>
      <c r="P345" s="83"/>
      <c r="Q345" s="83"/>
      <c r="R345" s="83"/>
      <c r="S345" s="8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>
      <c r="A346" s="82"/>
      <c r="B346" s="82"/>
      <c r="C346" s="82"/>
      <c r="D346" s="82"/>
      <c r="E346" s="82"/>
      <c r="F346" s="82"/>
      <c r="G346" s="82"/>
      <c r="H346" s="83"/>
      <c r="I346" s="84"/>
      <c r="J346" s="84"/>
      <c r="K346" s="83"/>
      <c r="L346" s="85"/>
      <c r="M346" s="83"/>
      <c r="N346" s="83"/>
      <c r="O346" s="83"/>
      <c r="P346" s="83"/>
      <c r="Q346" s="83"/>
      <c r="R346" s="83"/>
      <c r="S346" s="8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>
      <c r="A347" s="82"/>
      <c r="B347" s="82"/>
      <c r="C347" s="82"/>
      <c r="D347" s="82"/>
      <c r="E347" s="82"/>
      <c r="F347" s="82"/>
      <c r="G347" s="82"/>
      <c r="H347" s="83"/>
      <c r="I347" s="84"/>
      <c r="J347" s="84"/>
      <c r="K347" s="83"/>
      <c r="L347" s="85"/>
      <c r="M347" s="83"/>
      <c r="N347" s="83"/>
      <c r="O347" s="83"/>
      <c r="P347" s="83"/>
      <c r="Q347" s="83"/>
      <c r="R347" s="83"/>
      <c r="S347" s="8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>
      <c r="A348" s="82"/>
      <c r="B348" s="82"/>
      <c r="C348" s="82"/>
      <c r="D348" s="82"/>
      <c r="E348" s="82"/>
      <c r="F348" s="82"/>
      <c r="G348" s="82"/>
      <c r="H348" s="83"/>
      <c r="I348" s="84"/>
      <c r="J348" s="84"/>
      <c r="K348" s="83"/>
      <c r="L348" s="85"/>
      <c r="M348" s="83"/>
      <c r="N348" s="83"/>
      <c r="O348" s="83"/>
      <c r="P348" s="83"/>
      <c r="Q348" s="83"/>
      <c r="R348" s="83"/>
      <c r="S348" s="8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>
      <c r="A349" s="82"/>
      <c r="B349" s="82"/>
      <c r="C349" s="82"/>
      <c r="D349" s="82"/>
      <c r="E349" s="82"/>
      <c r="F349" s="82"/>
      <c r="G349" s="82"/>
      <c r="H349" s="83"/>
      <c r="I349" s="84"/>
      <c r="J349" s="84"/>
      <c r="K349" s="83"/>
      <c r="L349" s="85"/>
      <c r="M349" s="83"/>
      <c r="N349" s="83"/>
      <c r="O349" s="83"/>
      <c r="P349" s="83"/>
      <c r="Q349" s="83"/>
      <c r="R349" s="83"/>
      <c r="S349" s="8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>
      <c r="A350" s="82"/>
      <c r="B350" s="82"/>
      <c r="C350" s="82"/>
      <c r="D350" s="82"/>
      <c r="E350" s="82"/>
      <c r="F350" s="82"/>
      <c r="G350" s="82"/>
      <c r="H350" s="83"/>
      <c r="I350" s="84"/>
      <c r="J350" s="84"/>
      <c r="K350" s="83"/>
      <c r="L350" s="85"/>
      <c r="M350" s="83"/>
      <c r="N350" s="83"/>
      <c r="O350" s="83"/>
      <c r="P350" s="83"/>
      <c r="Q350" s="83"/>
      <c r="R350" s="83"/>
      <c r="S350" s="8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>
      <c r="A351" s="82"/>
      <c r="B351" s="82"/>
      <c r="C351" s="82"/>
      <c r="D351" s="82"/>
      <c r="E351" s="82"/>
      <c r="F351" s="82"/>
      <c r="G351" s="82"/>
      <c r="H351" s="83"/>
      <c r="I351" s="84"/>
      <c r="J351" s="84"/>
      <c r="K351" s="83"/>
      <c r="L351" s="85"/>
      <c r="M351" s="83"/>
      <c r="N351" s="83"/>
      <c r="O351" s="83"/>
      <c r="P351" s="83"/>
      <c r="Q351" s="83"/>
      <c r="R351" s="83"/>
      <c r="S351" s="8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>
      <c r="A352" s="82"/>
      <c r="B352" s="82"/>
      <c r="C352" s="82"/>
      <c r="D352" s="82"/>
      <c r="E352" s="82"/>
      <c r="F352" s="82"/>
      <c r="G352" s="82"/>
      <c r="H352" s="83"/>
      <c r="I352" s="84"/>
      <c r="J352" s="84"/>
      <c r="K352" s="83"/>
      <c r="L352" s="85"/>
      <c r="M352" s="83"/>
      <c r="N352" s="83"/>
      <c r="O352" s="83"/>
      <c r="P352" s="83"/>
      <c r="Q352" s="83"/>
      <c r="R352" s="83"/>
      <c r="S352" s="8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>
      <c r="A353" s="82"/>
      <c r="B353" s="82"/>
      <c r="C353" s="82"/>
      <c r="D353" s="82"/>
      <c r="E353" s="82"/>
      <c r="F353" s="82"/>
      <c r="G353" s="82"/>
      <c r="H353" s="83"/>
      <c r="I353" s="84"/>
      <c r="J353" s="84"/>
      <c r="K353" s="83"/>
      <c r="L353" s="85"/>
      <c r="M353" s="83"/>
      <c r="N353" s="83"/>
      <c r="O353" s="83"/>
      <c r="P353" s="83"/>
      <c r="Q353" s="83"/>
      <c r="R353" s="83"/>
      <c r="S353" s="8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>
      <c r="A354" s="82"/>
      <c r="B354" s="82"/>
      <c r="C354" s="82"/>
      <c r="D354" s="82"/>
      <c r="E354" s="82"/>
      <c r="F354" s="82"/>
      <c r="G354" s="82"/>
      <c r="H354" s="83"/>
      <c r="I354" s="84"/>
      <c r="J354" s="84"/>
      <c r="K354" s="83"/>
      <c r="L354" s="85"/>
      <c r="M354" s="83"/>
      <c r="N354" s="83"/>
      <c r="O354" s="83"/>
      <c r="P354" s="83"/>
      <c r="Q354" s="83"/>
      <c r="R354" s="83"/>
      <c r="S354" s="8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>
      <c r="A355" s="82"/>
      <c r="B355" s="82"/>
      <c r="C355" s="82"/>
      <c r="D355" s="82"/>
      <c r="E355" s="82"/>
      <c r="F355" s="82"/>
      <c r="G355" s="82"/>
      <c r="H355" s="83"/>
      <c r="I355" s="84"/>
      <c r="J355" s="84"/>
      <c r="K355" s="83"/>
      <c r="L355" s="85"/>
      <c r="M355" s="83"/>
      <c r="N355" s="83"/>
      <c r="O355" s="83"/>
      <c r="P355" s="83"/>
      <c r="Q355" s="83"/>
      <c r="R355" s="83"/>
      <c r="S355" s="8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>
      <c r="A356" s="82"/>
      <c r="B356" s="82"/>
      <c r="C356" s="82"/>
      <c r="D356" s="82"/>
      <c r="E356" s="82"/>
      <c r="F356" s="82"/>
      <c r="G356" s="82"/>
      <c r="H356" s="83"/>
      <c r="I356" s="84"/>
      <c r="J356" s="84"/>
      <c r="K356" s="83"/>
      <c r="L356" s="85"/>
      <c r="M356" s="83"/>
      <c r="N356" s="83"/>
      <c r="O356" s="83"/>
      <c r="P356" s="83"/>
      <c r="Q356" s="83"/>
      <c r="R356" s="83"/>
      <c r="S356" s="8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>
      <c r="A357" s="82"/>
      <c r="B357" s="82"/>
      <c r="C357" s="82"/>
      <c r="D357" s="82"/>
      <c r="E357" s="82"/>
      <c r="F357" s="82"/>
      <c r="G357" s="82"/>
      <c r="H357" s="83"/>
      <c r="I357" s="84"/>
      <c r="J357" s="84"/>
      <c r="K357" s="83"/>
      <c r="L357" s="85"/>
      <c r="M357" s="83"/>
      <c r="N357" s="83"/>
      <c r="O357" s="83"/>
      <c r="P357" s="83"/>
      <c r="Q357" s="83"/>
      <c r="R357" s="83"/>
      <c r="S357" s="8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>
      <c r="A358" s="82"/>
      <c r="B358" s="82"/>
      <c r="C358" s="82"/>
      <c r="D358" s="82"/>
      <c r="E358" s="82"/>
      <c r="F358" s="82"/>
      <c r="G358" s="82"/>
      <c r="H358" s="83"/>
      <c r="I358" s="84"/>
      <c r="J358" s="84"/>
      <c r="K358" s="83"/>
      <c r="L358" s="85"/>
      <c r="M358" s="83"/>
      <c r="N358" s="83"/>
      <c r="O358" s="83"/>
      <c r="P358" s="83"/>
      <c r="Q358" s="83"/>
      <c r="R358" s="83"/>
      <c r="S358" s="8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>
      <c r="A359" s="82"/>
      <c r="B359" s="82"/>
      <c r="C359" s="82"/>
      <c r="D359" s="82"/>
      <c r="E359" s="82"/>
      <c r="F359" s="82"/>
      <c r="G359" s="82"/>
      <c r="H359" s="83"/>
      <c r="I359" s="84"/>
      <c r="J359" s="84"/>
      <c r="K359" s="83"/>
      <c r="L359" s="85"/>
      <c r="M359" s="83"/>
      <c r="N359" s="83"/>
      <c r="O359" s="83"/>
      <c r="P359" s="83"/>
      <c r="Q359" s="83"/>
      <c r="R359" s="83"/>
      <c r="S359" s="8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>
      <c r="A360" s="82"/>
      <c r="B360" s="82"/>
      <c r="C360" s="82"/>
      <c r="D360" s="82"/>
      <c r="E360" s="82"/>
      <c r="F360" s="82"/>
      <c r="G360" s="82"/>
      <c r="H360" s="83"/>
      <c r="I360" s="84"/>
      <c r="J360" s="84"/>
      <c r="K360" s="83"/>
      <c r="L360" s="85"/>
      <c r="M360" s="83"/>
      <c r="N360" s="83"/>
      <c r="O360" s="83"/>
      <c r="P360" s="83"/>
      <c r="Q360" s="83"/>
      <c r="R360" s="83"/>
      <c r="S360" s="8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>
      <c r="A361" s="82"/>
      <c r="B361" s="82"/>
      <c r="C361" s="82"/>
      <c r="D361" s="82"/>
      <c r="E361" s="82"/>
      <c r="F361" s="82"/>
      <c r="G361" s="82"/>
      <c r="H361" s="83"/>
      <c r="I361" s="84"/>
      <c r="J361" s="84"/>
      <c r="K361" s="83"/>
      <c r="L361" s="85"/>
      <c r="M361" s="83"/>
      <c r="N361" s="83"/>
      <c r="O361" s="83"/>
      <c r="P361" s="83"/>
      <c r="Q361" s="83"/>
      <c r="R361" s="83"/>
      <c r="S361" s="8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>
      <c r="A362" s="82"/>
      <c r="B362" s="82"/>
      <c r="C362" s="82"/>
      <c r="D362" s="82"/>
      <c r="E362" s="82"/>
      <c r="F362" s="82"/>
      <c r="G362" s="82"/>
      <c r="H362" s="83"/>
      <c r="I362" s="84"/>
      <c r="J362" s="84"/>
      <c r="K362" s="83"/>
      <c r="L362" s="85"/>
      <c r="M362" s="83"/>
      <c r="N362" s="83"/>
      <c r="O362" s="83"/>
      <c r="P362" s="83"/>
      <c r="Q362" s="83"/>
      <c r="R362" s="83"/>
      <c r="S362" s="8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>
      <c r="A363" s="82"/>
      <c r="B363" s="82"/>
      <c r="C363" s="82"/>
      <c r="D363" s="82"/>
      <c r="E363" s="82"/>
      <c r="F363" s="82"/>
      <c r="G363" s="82"/>
      <c r="H363" s="83"/>
      <c r="I363" s="84"/>
      <c r="J363" s="84"/>
      <c r="K363" s="83"/>
      <c r="L363" s="85"/>
      <c r="M363" s="83"/>
      <c r="N363" s="83"/>
      <c r="O363" s="83"/>
      <c r="P363" s="83"/>
      <c r="Q363" s="83"/>
      <c r="R363" s="83"/>
      <c r="S363" s="8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>
      <c r="A364" s="82"/>
      <c r="B364" s="82"/>
      <c r="C364" s="82"/>
      <c r="D364" s="82"/>
      <c r="E364" s="82"/>
      <c r="F364" s="82"/>
      <c r="G364" s="82"/>
      <c r="H364" s="83"/>
      <c r="I364" s="84"/>
      <c r="J364" s="84"/>
      <c r="K364" s="83"/>
      <c r="L364" s="85"/>
      <c r="M364" s="83"/>
      <c r="N364" s="83"/>
      <c r="O364" s="83"/>
      <c r="P364" s="83"/>
      <c r="Q364" s="83"/>
      <c r="R364" s="83"/>
      <c r="S364" s="8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>
      <c r="A365" s="82"/>
      <c r="B365" s="82"/>
      <c r="C365" s="82"/>
      <c r="D365" s="82"/>
      <c r="E365" s="82"/>
      <c r="F365" s="82"/>
      <c r="G365" s="82"/>
      <c r="H365" s="83"/>
      <c r="I365" s="84"/>
      <c r="J365" s="84"/>
      <c r="K365" s="83"/>
      <c r="L365" s="85"/>
      <c r="M365" s="83"/>
      <c r="N365" s="83"/>
      <c r="O365" s="83"/>
      <c r="P365" s="83"/>
      <c r="Q365" s="83"/>
      <c r="R365" s="83"/>
      <c r="S365" s="8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>
      <c r="A366" s="82"/>
      <c r="B366" s="82"/>
      <c r="C366" s="82"/>
      <c r="D366" s="82"/>
      <c r="E366" s="82"/>
      <c r="F366" s="82"/>
      <c r="G366" s="82"/>
      <c r="H366" s="83"/>
      <c r="I366" s="84"/>
      <c r="J366" s="84"/>
      <c r="K366" s="83"/>
      <c r="L366" s="85"/>
      <c r="M366" s="83"/>
      <c r="N366" s="83"/>
      <c r="O366" s="83"/>
      <c r="P366" s="83"/>
      <c r="Q366" s="83"/>
      <c r="R366" s="83"/>
      <c r="S366" s="8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>
      <c r="A367" s="82"/>
      <c r="B367" s="82"/>
      <c r="C367" s="82"/>
      <c r="D367" s="82"/>
      <c r="E367" s="82"/>
      <c r="F367" s="82"/>
      <c r="G367" s="82"/>
      <c r="H367" s="83"/>
      <c r="I367" s="84"/>
      <c r="J367" s="84"/>
      <c r="K367" s="83"/>
      <c r="L367" s="85"/>
      <c r="M367" s="83"/>
      <c r="N367" s="83"/>
      <c r="O367" s="83"/>
      <c r="P367" s="83"/>
      <c r="Q367" s="83"/>
      <c r="R367" s="83"/>
      <c r="S367" s="8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>
      <c r="A368" s="82"/>
      <c r="B368" s="82"/>
      <c r="C368" s="82"/>
      <c r="D368" s="82"/>
      <c r="E368" s="82"/>
      <c r="F368" s="82"/>
      <c r="G368" s="82"/>
      <c r="H368" s="83"/>
      <c r="I368" s="84"/>
      <c r="J368" s="84"/>
      <c r="K368" s="83"/>
      <c r="L368" s="85"/>
      <c r="M368" s="83"/>
      <c r="N368" s="83"/>
      <c r="O368" s="83"/>
      <c r="P368" s="83"/>
      <c r="Q368" s="83"/>
      <c r="R368" s="83"/>
      <c r="S368" s="8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>
      <c r="A369" s="82"/>
      <c r="B369" s="82"/>
      <c r="C369" s="82"/>
      <c r="D369" s="82"/>
      <c r="E369" s="82"/>
      <c r="F369" s="82"/>
      <c r="G369" s="82"/>
      <c r="H369" s="83"/>
      <c r="I369" s="84"/>
      <c r="J369" s="84"/>
      <c r="K369" s="83"/>
      <c r="L369" s="85"/>
      <c r="M369" s="83"/>
      <c r="N369" s="83"/>
      <c r="O369" s="83"/>
      <c r="P369" s="83"/>
      <c r="Q369" s="83"/>
      <c r="R369" s="83"/>
      <c r="S369" s="8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>
      <c r="A370" s="82"/>
      <c r="B370" s="82"/>
      <c r="C370" s="82"/>
      <c r="D370" s="82"/>
      <c r="E370" s="82"/>
      <c r="F370" s="82"/>
      <c r="G370" s="82"/>
      <c r="H370" s="83"/>
      <c r="I370" s="84"/>
      <c r="J370" s="84"/>
      <c r="K370" s="83"/>
      <c r="L370" s="85"/>
      <c r="M370" s="83"/>
      <c r="N370" s="83"/>
      <c r="O370" s="83"/>
      <c r="P370" s="83"/>
      <c r="Q370" s="83"/>
      <c r="R370" s="83"/>
      <c r="S370" s="8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>
      <c r="A371" s="82"/>
      <c r="B371" s="82"/>
      <c r="C371" s="82"/>
      <c r="D371" s="82"/>
      <c r="E371" s="82"/>
      <c r="F371" s="82"/>
      <c r="G371" s="82"/>
      <c r="H371" s="83"/>
      <c r="I371" s="84"/>
      <c r="J371" s="84"/>
      <c r="K371" s="83"/>
      <c r="L371" s="85"/>
      <c r="M371" s="83"/>
      <c r="N371" s="83"/>
      <c r="O371" s="83"/>
      <c r="P371" s="83"/>
      <c r="Q371" s="83"/>
      <c r="R371" s="83"/>
      <c r="S371" s="8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>
      <c r="A372" s="82"/>
      <c r="B372" s="82"/>
      <c r="C372" s="82"/>
      <c r="D372" s="82"/>
      <c r="E372" s="82"/>
      <c r="F372" s="82"/>
      <c r="G372" s="82"/>
      <c r="H372" s="83"/>
      <c r="I372" s="84"/>
      <c r="J372" s="84"/>
      <c r="K372" s="83"/>
      <c r="L372" s="85"/>
      <c r="M372" s="83"/>
      <c r="N372" s="83"/>
      <c r="O372" s="83"/>
      <c r="P372" s="83"/>
      <c r="Q372" s="83"/>
      <c r="R372" s="83"/>
      <c r="S372" s="8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>
      <c r="A373" s="82"/>
      <c r="B373" s="82"/>
      <c r="C373" s="82"/>
      <c r="D373" s="82"/>
      <c r="E373" s="82"/>
      <c r="F373" s="82"/>
      <c r="G373" s="82"/>
      <c r="H373" s="83"/>
      <c r="I373" s="84"/>
      <c r="J373" s="84"/>
      <c r="K373" s="83"/>
      <c r="L373" s="85"/>
      <c r="M373" s="83"/>
      <c r="N373" s="83"/>
      <c r="O373" s="83"/>
      <c r="P373" s="83"/>
      <c r="Q373" s="83"/>
      <c r="R373" s="83"/>
      <c r="S373" s="8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>
      <c r="A374" s="82"/>
      <c r="B374" s="82"/>
      <c r="C374" s="82"/>
      <c r="D374" s="82"/>
      <c r="E374" s="82"/>
      <c r="F374" s="82"/>
      <c r="G374" s="82"/>
      <c r="H374" s="83"/>
      <c r="I374" s="84"/>
      <c r="J374" s="84"/>
      <c r="K374" s="83"/>
      <c r="L374" s="85"/>
      <c r="M374" s="83"/>
      <c r="N374" s="83"/>
      <c r="O374" s="83"/>
      <c r="P374" s="83"/>
      <c r="Q374" s="83"/>
      <c r="R374" s="83"/>
      <c r="S374" s="8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>
      <c r="A375" s="82"/>
      <c r="B375" s="82"/>
      <c r="C375" s="82"/>
      <c r="D375" s="82"/>
      <c r="E375" s="82"/>
      <c r="F375" s="82"/>
      <c r="G375" s="82"/>
      <c r="H375" s="83"/>
      <c r="I375" s="84"/>
      <c r="J375" s="84"/>
      <c r="K375" s="83"/>
      <c r="L375" s="85"/>
      <c r="M375" s="83"/>
      <c r="N375" s="83"/>
      <c r="O375" s="83"/>
      <c r="P375" s="83"/>
      <c r="Q375" s="83"/>
      <c r="R375" s="83"/>
      <c r="S375" s="8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>
      <c r="A376" s="82"/>
      <c r="B376" s="82"/>
      <c r="C376" s="82"/>
      <c r="D376" s="82"/>
      <c r="E376" s="82"/>
      <c r="F376" s="82"/>
      <c r="G376" s="82"/>
      <c r="H376" s="83"/>
      <c r="I376" s="84"/>
      <c r="J376" s="84"/>
      <c r="K376" s="83"/>
      <c r="L376" s="85"/>
      <c r="M376" s="83"/>
      <c r="N376" s="83"/>
      <c r="O376" s="83"/>
      <c r="P376" s="83"/>
      <c r="Q376" s="83"/>
      <c r="R376" s="83"/>
      <c r="S376" s="8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>
      <c r="A377" s="82"/>
      <c r="B377" s="82"/>
      <c r="C377" s="82"/>
      <c r="D377" s="82"/>
      <c r="E377" s="82"/>
      <c r="F377" s="82"/>
      <c r="G377" s="82"/>
      <c r="H377" s="83"/>
      <c r="I377" s="84"/>
      <c r="J377" s="84"/>
      <c r="K377" s="83"/>
      <c r="L377" s="85"/>
      <c r="M377" s="83"/>
      <c r="N377" s="83"/>
      <c r="O377" s="83"/>
      <c r="P377" s="83"/>
      <c r="Q377" s="83"/>
      <c r="R377" s="83"/>
      <c r="S377" s="8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>
      <c r="A378" s="82"/>
      <c r="B378" s="82"/>
      <c r="C378" s="82"/>
      <c r="D378" s="82"/>
      <c r="E378" s="82"/>
      <c r="F378" s="82"/>
      <c r="G378" s="82"/>
      <c r="H378" s="83"/>
      <c r="I378" s="84"/>
      <c r="J378" s="84"/>
      <c r="K378" s="83"/>
      <c r="L378" s="85"/>
      <c r="M378" s="83"/>
      <c r="N378" s="83"/>
      <c r="O378" s="83"/>
      <c r="P378" s="83"/>
      <c r="Q378" s="83"/>
      <c r="R378" s="83"/>
      <c r="S378" s="8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>
      <c r="A379" s="82"/>
      <c r="B379" s="82"/>
      <c r="C379" s="82"/>
      <c r="D379" s="82"/>
      <c r="E379" s="82"/>
      <c r="F379" s="82"/>
      <c r="G379" s="82"/>
      <c r="H379" s="83"/>
      <c r="I379" s="84"/>
      <c r="J379" s="84"/>
      <c r="K379" s="83"/>
      <c r="L379" s="85"/>
      <c r="M379" s="83"/>
      <c r="N379" s="83"/>
      <c r="O379" s="83"/>
      <c r="P379" s="83"/>
      <c r="Q379" s="83"/>
      <c r="R379" s="83"/>
      <c r="S379" s="8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>
      <c r="A380" s="82"/>
      <c r="B380" s="82"/>
      <c r="C380" s="82"/>
      <c r="D380" s="82"/>
      <c r="E380" s="82"/>
      <c r="F380" s="82"/>
      <c r="G380" s="82"/>
      <c r="H380" s="83"/>
      <c r="I380" s="84"/>
      <c r="J380" s="84"/>
      <c r="K380" s="83"/>
      <c r="L380" s="85"/>
      <c r="M380" s="83"/>
      <c r="N380" s="83"/>
      <c r="O380" s="83"/>
      <c r="P380" s="83"/>
      <c r="Q380" s="83"/>
      <c r="R380" s="83"/>
      <c r="S380" s="8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>
      <c r="A381" s="82"/>
      <c r="B381" s="82"/>
      <c r="C381" s="82"/>
      <c r="D381" s="82"/>
      <c r="E381" s="82"/>
      <c r="F381" s="82"/>
      <c r="G381" s="82"/>
      <c r="H381" s="83"/>
      <c r="I381" s="84"/>
      <c r="J381" s="84"/>
      <c r="K381" s="83"/>
      <c r="L381" s="85"/>
      <c r="M381" s="83"/>
      <c r="N381" s="83"/>
      <c r="O381" s="83"/>
      <c r="P381" s="83"/>
      <c r="Q381" s="83"/>
      <c r="R381" s="83"/>
      <c r="S381" s="8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>
      <c r="A382" s="82"/>
      <c r="B382" s="82"/>
      <c r="C382" s="82"/>
      <c r="D382" s="82"/>
      <c r="E382" s="82"/>
      <c r="F382" s="82"/>
      <c r="G382" s="82"/>
      <c r="H382" s="83"/>
      <c r="I382" s="84"/>
      <c r="J382" s="84"/>
      <c r="K382" s="83"/>
      <c r="L382" s="85"/>
      <c r="M382" s="83"/>
      <c r="N382" s="83"/>
      <c r="O382" s="83"/>
      <c r="P382" s="83"/>
      <c r="Q382" s="83"/>
      <c r="R382" s="83"/>
      <c r="S382" s="8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>
      <c r="A383" s="82"/>
      <c r="B383" s="82"/>
      <c r="C383" s="82"/>
      <c r="D383" s="82"/>
      <c r="E383" s="82"/>
      <c r="F383" s="82"/>
      <c r="G383" s="82"/>
      <c r="H383" s="83"/>
      <c r="I383" s="84"/>
      <c r="J383" s="84"/>
      <c r="K383" s="83"/>
      <c r="L383" s="85"/>
      <c r="M383" s="83"/>
      <c r="N383" s="83"/>
      <c r="O383" s="83"/>
      <c r="P383" s="83"/>
      <c r="Q383" s="83"/>
      <c r="R383" s="83"/>
      <c r="S383" s="8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>
      <c r="A384" s="82"/>
      <c r="B384" s="82"/>
      <c r="C384" s="82"/>
      <c r="D384" s="82"/>
      <c r="E384" s="82"/>
      <c r="F384" s="82"/>
      <c r="G384" s="82"/>
      <c r="H384" s="83"/>
      <c r="I384" s="84"/>
      <c r="J384" s="84"/>
      <c r="K384" s="83"/>
      <c r="L384" s="85"/>
      <c r="M384" s="83"/>
      <c r="N384" s="83"/>
      <c r="O384" s="83"/>
      <c r="P384" s="83"/>
      <c r="Q384" s="83"/>
      <c r="R384" s="83"/>
      <c r="S384" s="8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>
      <c r="A385" s="82"/>
      <c r="B385" s="82"/>
      <c r="C385" s="82"/>
      <c r="D385" s="82"/>
      <c r="E385" s="82"/>
      <c r="F385" s="82"/>
      <c r="G385" s="82"/>
      <c r="H385" s="83"/>
      <c r="I385" s="84"/>
      <c r="J385" s="84"/>
      <c r="K385" s="83"/>
      <c r="L385" s="85"/>
      <c r="M385" s="83"/>
      <c r="N385" s="83"/>
      <c r="O385" s="83"/>
      <c r="P385" s="83"/>
      <c r="Q385" s="83"/>
      <c r="R385" s="83"/>
      <c r="S385" s="8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>
      <c r="A386" s="82"/>
      <c r="B386" s="82"/>
      <c r="C386" s="82"/>
      <c r="D386" s="82"/>
      <c r="E386" s="82"/>
      <c r="F386" s="82"/>
      <c r="G386" s="82"/>
      <c r="H386" s="83"/>
      <c r="I386" s="84"/>
      <c r="J386" s="84"/>
      <c r="K386" s="83"/>
      <c r="L386" s="85"/>
      <c r="M386" s="83"/>
      <c r="N386" s="83"/>
      <c r="O386" s="83"/>
      <c r="P386" s="83"/>
      <c r="Q386" s="83"/>
      <c r="R386" s="83"/>
      <c r="S386" s="8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>
      <c r="A387" s="82"/>
      <c r="B387" s="82"/>
      <c r="C387" s="82"/>
      <c r="D387" s="82"/>
      <c r="E387" s="82"/>
      <c r="F387" s="82"/>
      <c r="G387" s="82"/>
      <c r="H387" s="83"/>
      <c r="I387" s="84"/>
      <c r="J387" s="84"/>
      <c r="K387" s="83"/>
      <c r="L387" s="85"/>
      <c r="M387" s="83"/>
      <c r="N387" s="83"/>
      <c r="O387" s="83"/>
      <c r="P387" s="83"/>
      <c r="Q387" s="83"/>
      <c r="R387" s="83"/>
      <c r="S387" s="8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>
      <c r="A388" s="82"/>
      <c r="B388" s="82"/>
      <c r="C388" s="82"/>
      <c r="D388" s="82"/>
      <c r="E388" s="82"/>
      <c r="F388" s="82"/>
      <c r="G388" s="82"/>
      <c r="H388" s="83"/>
      <c r="I388" s="84"/>
      <c r="J388" s="84"/>
      <c r="K388" s="83"/>
      <c r="L388" s="85"/>
      <c r="M388" s="83"/>
      <c r="N388" s="83"/>
      <c r="O388" s="83"/>
      <c r="P388" s="83"/>
      <c r="Q388" s="83"/>
      <c r="R388" s="83"/>
      <c r="S388" s="8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>
      <c r="A389" s="82"/>
      <c r="B389" s="82"/>
      <c r="C389" s="82"/>
      <c r="D389" s="82"/>
      <c r="E389" s="82"/>
      <c r="F389" s="82"/>
      <c r="G389" s="82"/>
      <c r="H389" s="83"/>
      <c r="I389" s="84"/>
      <c r="J389" s="84"/>
      <c r="K389" s="83"/>
      <c r="L389" s="85"/>
      <c r="M389" s="83"/>
      <c r="N389" s="83"/>
      <c r="O389" s="83"/>
      <c r="P389" s="83"/>
      <c r="Q389" s="83"/>
      <c r="R389" s="83"/>
      <c r="S389" s="8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>
      <c r="A390" s="82"/>
      <c r="B390" s="82"/>
      <c r="C390" s="82"/>
      <c r="D390" s="82"/>
      <c r="E390" s="82"/>
      <c r="F390" s="82"/>
      <c r="G390" s="82"/>
      <c r="H390" s="83"/>
      <c r="I390" s="84"/>
      <c r="J390" s="84"/>
      <c r="K390" s="83"/>
      <c r="L390" s="85"/>
      <c r="M390" s="83"/>
      <c r="N390" s="83"/>
      <c r="O390" s="83"/>
      <c r="P390" s="83"/>
      <c r="Q390" s="83"/>
      <c r="R390" s="83"/>
      <c r="S390" s="8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>
      <c r="A391" s="82"/>
      <c r="B391" s="82"/>
      <c r="C391" s="82"/>
      <c r="D391" s="82"/>
      <c r="E391" s="82"/>
      <c r="F391" s="82"/>
      <c r="G391" s="82"/>
      <c r="H391" s="83"/>
      <c r="I391" s="84"/>
      <c r="J391" s="84"/>
      <c r="K391" s="83"/>
      <c r="L391" s="85"/>
      <c r="M391" s="83"/>
      <c r="N391" s="83"/>
      <c r="O391" s="83"/>
      <c r="P391" s="83"/>
      <c r="Q391" s="83"/>
      <c r="R391" s="83"/>
      <c r="S391" s="8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>
      <c r="A392" s="82"/>
      <c r="B392" s="82"/>
      <c r="C392" s="82"/>
      <c r="D392" s="82"/>
      <c r="E392" s="82"/>
      <c r="F392" s="82"/>
      <c r="G392" s="82"/>
      <c r="H392" s="83"/>
      <c r="I392" s="84"/>
      <c r="J392" s="84"/>
      <c r="K392" s="83"/>
      <c r="L392" s="85"/>
      <c r="M392" s="83"/>
      <c r="N392" s="83"/>
      <c r="O392" s="83"/>
      <c r="P392" s="83"/>
      <c r="Q392" s="83"/>
      <c r="R392" s="83"/>
      <c r="S392" s="8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>
      <c r="A393" s="82"/>
      <c r="B393" s="82"/>
      <c r="C393" s="82"/>
      <c r="D393" s="82"/>
      <c r="E393" s="82"/>
      <c r="F393" s="82"/>
      <c r="G393" s="82"/>
      <c r="H393" s="83"/>
      <c r="I393" s="84"/>
      <c r="J393" s="84"/>
      <c r="K393" s="83"/>
      <c r="L393" s="85"/>
      <c r="M393" s="83"/>
      <c r="N393" s="83"/>
      <c r="O393" s="83"/>
      <c r="P393" s="83"/>
      <c r="Q393" s="83"/>
      <c r="R393" s="83"/>
      <c r="S393" s="8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>
      <c r="A394" s="82"/>
      <c r="B394" s="82"/>
      <c r="C394" s="82"/>
      <c r="D394" s="82"/>
      <c r="E394" s="82"/>
      <c r="F394" s="82"/>
      <c r="G394" s="82"/>
      <c r="H394" s="83"/>
      <c r="I394" s="84"/>
      <c r="J394" s="84"/>
      <c r="K394" s="83"/>
      <c r="L394" s="85"/>
      <c r="M394" s="83"/>
      <c r="N394" s="83"/>
      <c r="O394" s="83"/>
      <c r="P394" s="83"/>
      <c r="Q394" s="83"/>
      <c r="R394" s="83"/>
      <c r="S394" s="8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>
      <c r="A395" s="82"/>
      <c r="B395" s="82"/>
      <c r="C395" s="82"/>
      <c r="D395" s="82"/>
      <c r="E395" s="82"/>
      <c r="F395" s="82"/>
      <c r="G395" s="82"/>
      <c r="H395" s="83"/>
      <c r="I395" s="84"/>
      <c r="J395" s="84"/>
      <c r="K395" s="83"/>
      <c r="L395" s="85"/>
      <c r="M395" s="83"/>
      <c r="N395" s="83"/>
      <c r="O395" s="83"/>
      <c r="P395" s="83"/>
      <c r="Q395" s="83"/>
      <c r="R395" s="83"/>
      <c r="S395" s="8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>
      <c r="A396" s="82"/>
      <c r="B396" s="82"/>
      <c r="C396" s="82"/>
      <c r="D396" s="82"/>
      <c r="E396" s="82"/>
      <c r="F396" s="82"/>
      <c r="G396" s="82"/>
      <c r="H396" s="83"/>
      <c r="I396" s="84"/>
      <c r="J396" s="84"/>
      <c r="K396" s="83"/>
      <c r="L396" s="85"/>
      <c r="M396" s="83"/>
      <c r="N396" s="83"/>
      <c r="O396" s="83"/>
      <c r="P396" s="83"/>
      <c r="Q396" s="83"/>
      <c r="R396" s="83"/>
      <c r="S396" s="8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>
      <c r="A397" s="82"/>
      <c r="B397" s="82"/>
      <c r="C397" s="82"/>
      <c r="D397" s="82"/>
      <c r="E397" s="82"/>
      <c r="F397" s="82"/>
      <c r="G397" s="82"/>
      <c r="H397" s="83"/>
      <c r="I397" s="84"/>
      <c r="J397" s="84"/>
      <c r="K397" s="83"/>
      <c r="L397" s="85"/>
      <c r="M397" s="83"/>
      <c r="N397" s="83"/>
      <c r="O397" s="83"/>
      <c r="P397" s="83"/>
      <c r="Q397" s="83"/>
      <c r="R397" s="83"/>
      <c r="S397" s="8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>
      <c r="A398" s="82"/>
      <c r="B398" s="82"/>
      <c r="C398" s="82"/>
      <c r="D398" s="82"/>
      <c r="E398" s="82"/>
      <c r="F398" s="82"/>
      <c r="G398" s="82"/>
      <c r="H398" s="83"/>
      <c r="I398" s="84"/>
      <c r="J398" s="84"/>
      <c r="K398" s="83"/>
      <c r="L398" s="85"/>
      <c r="M398" s="83"/>
      <c r="N398" s="83"/>
      <c r="O398" s="83"/>
      <c r="P398" s="83"/>
      <c r="Q398" s="83"/>
      <c r="R398" s="83"/>
      <c r="S398" s="8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>
      <c r="A399" s="82"/>
      <c r="B399" s="82"/>
      <c r="C399" s="82"/>
      <c r="D399" s="82"/>
      <c r="E399" s="82"/>
      <c r="F399" s="82"/>
      <c r="G399" s="82"/>
      <c r="H399" s="83"/>
      <c r="I399" s="84"/>
      <c r="J399" s="84"/>
      <c r="K399" s="83"/>
      <c r="L399" s="85"/>
      <c r="M399" s="83"/>
      <c r="N399" s="83"/>
      <c r="O399" s="83"/>
      <c r="P399" s="83"/>
      <c r="Q399" s="83"/>
      <c r="R399" s="83"/>
      <c r="S399" s="8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>
      <c r="A400" s="82"/>
      <c r="B400" s="82"/>
      <c r="C400" s="82"/>
      <c r="D400" s="82"/>
      <c r="E400" s="82"/>
      <c r="F400" s="82"/>
      <c r="G400" s="82"/>
      <c r="H400" s="83"/>
      <c r="I400" s="84"/>
      <c r="J400" s="84"/>
      <c r="K400" s="83"/>
      <c r="L400" s="85"/>
      <c r="M400" s="83"/>
      <c r="N400" s="83"/>
      <c r="O400" s="83"/>
      <c r="P400" s="83"/>
      <c r="Q400" s="83"/>
      <c r="R400" s="83"/>
      <c r="S400" s="8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>
      <c r="A401" s="82"/>
      <c r="B401" s="82"/>
      <c r="C401" s="82"/>
      <c r="D401" s="82"/>
      <c r="E401" s="82"/>
      <c r="F401" s="82"/>
      <c r="G401" s="82"/>
      <c r="H401" s="83"/>
      <c r="I401" s="84"/>
      <c r="J401" s="84"/>
      <c r="K401" s="83"/>
      <c r="L401" s="85"/>
      <c r="M401" s="83"/>
      <c r="N401" s="83"/>
      <c r="O401" s="83"/>
      <c r="P401" s="83"/>
      <c r="Q401" s="83"/>
      <c r="R401" s="83"/>
      <c r="S401" s="8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>
      <c r="A402" s="82"/>
      <c r="B402" s="82"/>
      <c r="C402" s="82"/>
      <c r="D402" s="82"/>
      <c r="E402" s="82"/>
      <c r="F402" s="82"/>
      <c r="G402" s="82"/>
      <c r="H402" s="83"/>
      <c r="I402" s="84"/>
      <c r="J402" s="84"/>
      <c r="K402" s="83"/>
      <c r="L402" s="85"/>
      <c r="M402" s="83"/>
      <c r="N402" s="83"/>
      <c r="O402" s="83"/>
      <c r="P402" s="83"/>
      <c r="Q402" s="83"/>
      <c r="R402" s="83"/>
      <c r="S402" s="8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>
      <c r="A403" s="82"/>
      <c r="B403" s="82"/>
      <c r="C403" s="82"/>
      <c r="D403" s="82"/>
      <c r="E403" s="82"/>
      <c r="F403" s="82"/>
      <c r="G403" s="82"/>
      <c r="H403" s="83"/>
      <c r="I403" s="84"/>
      <c r="J403" s="84"/>
      <c r="K403" s="83"/>
      <c r="L403" s="85"/>
      <c r="M403" s="83"/>
      <c r="N403" s="83"/>
      <c r="O403" s="83"/>
      <c r="P403" s="83"/>
      <c r="Q403" s="83"/>
      <c r="R403" s="83"/>
      <c r="S403" s="8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>
      <c r="A404" s="82"/>
      <c r="B404" s="82"/>
      <c r="C404" s="82"/>
      <c r="D404" s="82"/>
      <c r="E404" s="82"/>
      <c r="F404" s="82"/>
      <c r="G404" s="82"/>
      <c r="H404" s="83"/>
      <c r="I404" s="84"/>
      <c r="J404" s="84"/>
      <c r="K404" s="83"/>
      <c r="L404" s="85"/>
      <c r="M404" s="83"/>
      <c r="N404" s="83"/>
      <c r="O404" s="83"/>
      <c r="P404" s="83"/>
      <c r="Q404" s="83"/>
      <c r="R404" s="83"/>
      <c r="S404" s="8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>
      <c r="A405" s="82"/>
      <c r="B405" s="82"/>
      <c r="C405" s="82"/>
      <c r="D405" s="82"/>
      <c r="E405" s="82"/>
      <c r="F405" s="82"/>
      <c r="G405" s="82"/>
      <c r="H405" s="83"/>
      <c r="I405" s="84"/>
      <c r="J405" s="84"/>
      <c r="K405" s="83"/>
      <c r="L405" s="85"/>
      <c r="M405" s="83"/>
      <c r="N405" s="83"/>
      <c r="O405" s="83"/>
      <c r="P405" s="83"/>
      <c r="Q405" s="83"/>
      <c r="R405" s="83"/>
      <c r="S405" s="8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>
      <c r="A406" s="82"/>
      <c r="B406" s="82"/>
      <c r="C406" s="82"/>
      <c r="D406" s="82"/>
      <c r="E406" s="82"/>
      <c r="F406" s="82"/>
      <c r="G406" s="82"/>
      <c r="H406" s="83"/>
      <c r="I406" s="84"/>
      <c r="J406" s="84"/>
      <c r="K406" s="83"/>
      <c r="L406" s="85"/>
      <c r="M406" s="83"/>
      <c r="N406" s="83"/>
      <c r="O406" s="83"/>
      <c r="P406" s="83"/>
      <c r="Q406" s="83"/>
      <c r="R406" s="83"/>
      <c r="S406" s="8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>
      <c r="A407" s="82"/>
      <c r="B407" s="82"/>
      <c r="C407" s="82"/>
      <c r="D407" s="82"/>
      <c r="E407" s="82"/>
      <c r="F407" s="82"/>
      <c r="G407" s="82"/>
      <c r="H407" s="83"/>
      <c r="I407" s="84"/>
      <c r="J407" s="84"/>
      <c r="K407" s="83"/>
      <c r="L407" s="85"/>
      <c r="M407" s="83"/>
      <c r="N407" s="83"/>
      <c r="O407" s="83"/>
      <c r="P407" s="83"/>
      <c r="Q407" s="83"/>
      <c r="R407" s="83"/>
      <c r="S407" s="8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>
      <c r="A408" s="82"/>
      <c r="B408" s="82"/>
      <c r="C408" s="82"/>
      <c r="D408" s="82"/>
      <c r="E408" s="82"/>
      <c r="F408" s="82"/>
      <c r="G408" s="82"/>
      <c r="H408" s="83"/>
      <c r="I408" s="84"/>
      <c r="J408" s="84"/>
      <c r="K408" s="83"/>
      <c r="L408" s="85"/>
      <c r="M408" s="83"/>
      <c r="N408" s="83"/>
      <c r="O408" s="83"/>
      <c r="P408" s="83"/>
      <c r="Q408" s="83"/>
      <c r="R408" s="83"/>
      <c r="S408" s="8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>
      <c r="A409" s="82"/>
      <c r="B409" s="82"/>
      <c r="C409" s="82"/>
      <c r="D409" s="82"/>
      <c r="E409" s="82"/>
      <c r="F409" s="82"/>
      <c r="G409" s="82"/>
      <c r="H409" s="83"/>
      <c r="I409" s="84"/>
      <c r="J409" s="84"/>
      <c r="K409" s="83"/>
      <c r="L409" s="85"/>
      <c r="M409" s="83"/>
      <c r="N409" s="83"/>
      <c r="O409" s="83"/>
      <c r="P409" s="83"/>
      <c r="Q409" s="83"/>
      <c r="R409" s="83"/>
      <c r="S409" s="8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>
      <c r="A410" s="82"/>
      <c r="B410" s="82"/>
      <c r="C410" s="82"/>
      <c r="D410" s="82"/>
      <c r="E410" s="82"/>
      <c r="F410" s="82"/>
      <c r="G410" s="82"/>
      <c r="H410" s="83"/>
      <c r="I410" s="84"/>
      <c r="J410" s="84"/>
      <c r="K410" s="83"/>
      <c r="L410" s="85"/>
      <c r="M410" s="83"/>
      <c r="N410" s="83"/>
      <c r="O410" s="83"/>
      <c r="P410" s="83"/>
      <c r="Q410" s="83"/>
      <c r="R410" s="83"/>
      <c r="S410" s="8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>
      <c r="A411" s="82"/>
      <c r="B411" s="82"/>
      <c r="C411" s="82"/>
      <c r="D411" s="82"/>
      <c r="E411" s="82"/>
      <c r="F411" s="82"/>
      <c r="G411" s="82"/>
      <c r="H411" s="83"/>
      <c r="I411" s="84"/>
      <c r="J411" s="84"/>
      <c r="K411" s="83"/>
      <c r="L411" s="85"/>
      <c r="M411" s="83"/>
      <c r="N411" s="83"/>
      <c r="O411" s="83"/>
      <c r="P411" s="83"/>
      <c r="Q411" s="83"/>
      <c r="R411" s="83"/>
      <c r="S411" s="8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>
      <c r="A412" s="82"/>
      <c r="B412" s="82"/>
      <c r="C412" s="82"/>
      <c r="D412" s="82"/>
      <c r="E412" s="82"/>
      <c r="F412" s="82"/>
      <c r="G412" s="82"/>
      <c r="H412" s="83"/>
      <c r="I412" s="84"/>
      <c r="J412" s="84"/>
      <c r="K412" s="83"/>
      <c r="L412" s="85"/>
      <c r="M412" s="83"/>
      <c r="N412" s="83"/>
      <c r="O412" s="83"/>
      <c r="P412" s="83"/>
      <c r="Q412" s="83"/>
      <c r="R412" s="83"/>
      <c r="S412" s="8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>
      <c r="A413" s="82"/>
      <c r="B413" s="82"/>
      <c r="C413" s="82"/>
      <c r="D413" s="82"/>
      <c r="E413" s="82"/>
      <c r="F413" s="82"/>
      <c r="G413" s="82"/>
      <c r="H413" s="83"/>
      <c r="I413" s="84"/>
      <c r="J413" s="84"/>
      <c r="K413" s="83"/>
      <c r="L413" s="85"/>
      <c r="M413" s="83"/>
      <c r="N413" s="83"/>
      <c r="O413" s="83"/>
      <c r="P413" s="83"/>
      <c r="Q413" s="83"/>
      <c r="R413" s="83"/>
      <c r="S413" s="8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>
      <c r="A414" s="82"/>
      <c r="B414" s="82"/>
      <c r="C414" s="82"/>
      <c r="D414" s="82"/>
      <c r="E414" s="82"/>
      <c r="F414" s="82"/>
      <c r="G414" s="82"/>
      <c r="H414" s="83"/>
      <c r="I414" s="84"/>
      <c r="J414" s="84"/>
      <c r="K414" s="83"/>
      <c r="L414" s="85"/>
      <c r="M414" s="83"/>
      <c r="N414" s="83"/>
      <c r="O414" s="83"/>
      <c r="P414" s="83"/>
      <c r="Q414" s="83"/>
      <c r="R414" s="83"/>
      <c r="S414" s="8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>
      <c r="A415" s="82"/>
      <c r="B415" s="82"/>
      <c r="C415" s="82"/>
      <c r="D415" s="82"/>
      <c r="E415" s="82"/>
      <c r="F415" s="82"/>
      <c r="G415" s="82"/>
      <c r="H415" s="83"/>
      <c r="I415" s="84"/>
      <c r="J415" s="84"/>
      <c r="K415" s="83"/>
      <c r="L415" s="85"/>
      <c r="M415" s="83"/>
      <c r="N415" s="83"/>
      <c r="O415" s="83"/>
      <c r="P415" s="83"/>
      <c r="Q415" s="83"/>
      <c r="R415" s="83"/>
      <c r="S415" s="8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>
      <c r="A416" s="82"/>
      <c r="B416" s="82"/>
      <c r="C416" s="82"/>
      <c r="D416" s="82"/>
      <c r="E416" s="82"/>
      <c r="F416" s="82"/>
      <c r="G416" s="82"/>
      <c r="H416" s="83"/>
      <c r="I416" s="84"/>
      <c r="J416" s="84"/>
      <c r="K416" s="83"/>
      <c r="L416" s="85"/>
      <c r="M416" s="83"/>
      <c r="N416" s="83"/>
      <c r="O416" s="83"/>
      <c r="P416" s="83"/>
      <c r="Q416" s="83"/>
      <c r="R416" s="83"/>
      <c r="S416" s="8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>
      <c r="A417" s="82"/>
      <c r="B417" s="82"/>
      <c r="C417" s="82"/>
      <c r="D417" s="82"/>
      <c r="E417" s="82"/>
      <c r="F417" s="82"/>
      <c r="G417" s="82"/>
      <c r="H417" s="83"/>
      <c r="I417" s="84"/>
      <c r="J417" s="84"/>
      <c r="K417" s="83"/>
      <c r="L417" s="85"/>
      <c r="M417" s="83"/>
      <c r="N417" s="83"/>
      <c r="O417" s="83"/>
      <c r="P417" s="83"/>
      <c r="Q417" s="83"/>
      <c r="R417" s="83"/>
      <c r="S417" s="8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>
      <c r="A418" s="82"/>
      <c r="B418" s="82"/>
      <c r="C418" s="82"/>
      <c r="D418" s="82"/>
      <c r="E418" s="82"/>
      <c r="F418" s="82"/>
      <c r="G418" s="82"/>
      <c r="H418" s="83"/>
      <c r="I418" s="84"/>
      <c r="J418" s="84"/>
      <c r="K418" s="83"/>
      <c r="L418" s="85"/>
      <c r="M418" s="83"/>
      <c r="N418" s="83"/>
      <c r="O418" s="83"/>
      <c r="P418" s="83"/>
      <c r="Q418" s="83"/>
      <c r="R418" s="83"/>
      <c r="S418" s="8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>
      <c r="A419" s="82"/>
      <c r="B419" s="82"/>
      <c r="C419" s="82"/>
      <c r="D419" s="82"/>
      <c r="E419" s="82"/>
      <c r="F419" s="82"/>
      <c r="G419" s="82"/>
      <c r="H419" s="83"/>
      <c r="I419" s="84"/>
      <c r="J419" s="84"/>
      <c r="K419" s="83"/>
      <c r="L419" s="85"/>
      <c r="M419" s="83"/>
      <c r="N419" s="83"/>
      <c r="O419" s="83"/>
      <c r="P419" s="83"/>
      <c r="Q419" s="83"/>
      <c r="R419" s="83"/>
      <c r="S419" s="8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>
      <c r="A420" s="82"/>
      <c r="B420" s="82"/>
      <c r="C420" s="82"/>
      <c r="D420" s="82"/>
      <c r="E420" s="82"/>
      <c r="F420" s="82"/>
      <c r="G420" s="82"/>
      <c r="H420" s="83"/>
      <c r="I420" s="84"/>
      <c r="J420" s="84"/>
      <c r="K420" s="83"/>
      <c r="L420" s="85"/>
      <c r="M420" s="83"/>
      <c r="N420" s="83"/>
      <c r="O420" s="83"/>
      <c r="P420" s="83"/>
      <c r="Q420" s="83"/>
      <c r="R420" s="83"/>
      <c r="S420" s="8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>
      <c r="A421" s="82"/>
      <c r="B421" s="82"/>
      <c r="C421" s="82"/>
      <c r="D421" s="82"/>
      <c r="E421" s="82"/>
      <c r="F421" s="82"/>
      <c r="G421" s="82"/>
      <c r="H421" s="83"/>
      <c r="I421" s="84"/>
      <c r="J421" s="84"/>
      <c r="K421" s="83"/>
      <c r="L421" s="85"/>
      <c r="M421" s="83"/>
      <c r="N421" s="83"/>
      <c r="O421" s="83"/>
      <c r="P421" s="83"/>
      <c r="Q421" s="83"/>
      <c r="R421" s="83"/>
      <c r="S421" s="8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>
      <c r="A422" s="82"/>
      <c r="B422" s="82"/>
      <c r="C422" s="82"/>
      <c r="D422" s="82"/>
      <c r="E422" s="82"/>
      <c r="F422" s="82"/>
      <c r="G422" s="82"/>
      <c r="H422" s="83"/>
      <c r="I422" s="84"/>
      <c r="J422" s="84"/>
      <c r="K422" s="83"/>
      <c r="L422" s="85"/>
      <c r="M422" s="83"/>
      <c r="N422" s="83"/>
      <c r="O422" s="83"/>
      <c r="P422" s="83"/>
      <c r="Q422" s="83"/>
      <c r="R422" s="83"/>
      <c r="S422" s="8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>
      <c r="A423" s="82"/>
      <c r="B423" s="82"/>
      <c r="C423" s="82"/>
      <c r="D423" s="82"/>
      <c r="E423" s="82"/>
      <c r="F423" s="82"/>
      <c r="G423" s="82"/>
      <c r="H423" s="83"/>
      <c r="I423" s="84"/>
      <c r="J423" s="84"/>
      <c r="K423" s="83"/>
      <c r="L423" s="85"/>
      <c r="M423" s="83"/>
      <c r="N423" s="83"/>
      <c r="O423" s="83"/>
      <c r="P423" s="83"/>
      <c r="Q423" s="83"/>
      <c r="R423" s="83"/>
      <c r="S423" s="8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>
      <c r="A424" s="82"/>
      <c r="B424" s="82"/>
      <c r="C424" s="82"/>
      <c r="D424" s="82"/>
      <c r="E424" s="82"/>
      <c r="F424" s="82"/>
      <c r="G424" s="82"/>
      <c r="H424" s="83"/>
      <c r="I424" s="84"/>
      <c r="J424" s="84"/>
      <c r="K424" s="83"/>
      <c r="L424" s="85"/>
      <c r="M424" s="83"/>
      <c r="N424" s="83"/>
      <c r="O424" s="83"/>
      <c r="P424" s="83"/>
      <c r="Q424" s="83"/>
      <c r="R424" s="83"/>
      <c r="S424" s="8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>
      <c r="A425" s="82"/>
      <c r="B425" s="82"/>
      <c r="C425" s="82"/>
      <c r="D425" s="82"/>
      <c r="E425" s="82"/>
      <c r="F425" s="82"/>
      <c r="G425" s="82"/>
      <c r="H425" s="83"/>
      <c r="I425" s="84"/>
      <c r="J425" s="84"/>
      <c r="K425" s="83"/>
      <c r="L425" s="85"/>
      <c r="M425" s="83"/>
      <c r="N425" s="83"/>
      <c r="O425" s="83"/>
      <c r="P425" s="83"/>
      <c r="Q425" s="83"/>
      <c r="R425" s="83"/>
      <c r="S425" s="8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>
      <c r="A426" s="82"/>
      <c r="B426" s="82"/>
      <c r="C426" s="82"/>
      <c r="D426" s="82"/>
      <c r="E426" s="82"/>
      <c r="F426" s="82"/>
      <c r="G426" s="82"/>
      <c r="H426" s="83"/>
      <c r="I426" s="84"/>
      <c r="J426" s="84"/>
      <c r="K426" s="83"/>
      <c r="L426" s="85"/>
      <c r="M426" s="83"/>
      <c r="N426" s="83"/>
      <c r="O426" s="83"/>
      <c r="P426" s="83"/>
      <c r="Q426" s="83"/>
      <c r="R426" s="83"/>
      <c r="S426" s="8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>
      <c r="A427" s="82"/>
      <c r="B427" s="82"/>
      <c r="C427" s="82"/>
      <c r="D427" s="82"/>
      <c r="E427" s="82"/>
      <c r="F427" s="82"/>
      <c r="G427" s="82"/>
      <c r="H427" s="83"/>
      <c r="I427" s="84"/>
      <c r="J427" s="84"/>
      <c r="K427" s="83"/>
      <c r="L427" s="85"/>
      <c r="M427" s="83"/>
      <c r="N427" s="83"/>
      <c r="O427" s="83"/>
      <c r="P427" s="83"/>
      <c r="Q427" s="83"/>
      <c r="R427" s="83"/>
      <c r="S427" s="8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>
      <c r="A428" s="82"/>
      <c r="B428" s="82"/>
      <c r="C428" s="82"/>
      <c r="D428" s="82"/>
      <c r="E428" s="82"/>
      <c r="F428" s="82"/>
      <c r="G428" s="82"/>
      <c r="H428" s="83"/>
      <c r="I428" s="84"/>
      <c r="J428" s="84"/>
      <c r="K428" s="83"/>
      <c r="L428" s="85"/>
      <c r="M428" s="83"/>
      <c r="N428" s="83"/>
      <c r="O428" s="83"/>
      <c r="P428" s="83"/>
      <c r="Q428" s="83"/>
      <c r="R428" s="83"/>
      <c r="S428" s="8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>
      <c r="A429" s="82"/>
      <c r="B429" s="82"/>
      <c r="C429" s="82"/>
      <c r="D429" s="82"/>
      <c r="E429" s="82"/>
      <c r="F429" s="82"/>
      <c r="G429" s="82"/>
      <c r="H429" s="83"/>
      <c r="I429" s="84"/>
      <c r="J429" s="84"/>
      <c r="K429" s="83"/>
      <c r="L429" s="85"/>
      <c r="M429" s="83"/>
      <c r="N429" s="83"/>
      <c r="O429" s="83"/>
      <c r="P429" s="83"/>
      <c r="Q429" s="83"/>
      <c r="R429" s="83"/>
      <c r="S429" s="8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>
      <c r="A430" s="82"/>
      <c r="B430" s="82"/>
      <c r="C430" s="82"/>
      <c r="D430" s="82"/>
      <c r="E430" s="82"/>
      <c r="F430" s="82"/>
      <c r="G430" s="82"/>
      <c r="H430" s="83"/>
      <c r="I430" s="84"/>
      <c r="J430" s="84"/>
      <c r="K430" s="83"/>
      <c r="L430" s="85"/>
      <c r="M430" s="83"/>
      <c r="N430" s="83"/>
      <c r="O430" s="83"/>
      <c r="P430" s="83"/>
      <c r="Q430" s="83"/>
      <c r="R430" s="83"/>
      <c r="S430" s="8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>
      <c r="A431" s="82"/>
      <c r="B431" s="82"/>
      <c r="C431" s="82"/>
      <c r="D431" s="82"/>
      <c r="E431" s="82"/>
      <c r="F431" s="82"/>
      <c r="G431" s="82"/>
      <c r="H431" s="83"/>
      <c r="I431" s="84"/>
      <c r="J431" s="84"/>
      <c r="K431" s="83"/>
      <c r="L431" s="85"/>
      <c r="M431" s="83"/>
      <c r="N431" s="83"/>
      <c r="O431" s="83"/>
      <c r="P431" s="83"/>
      <c r="Q431" s="83"/>
      <c r="R431" s="83"/>
      <c r="S431" s="8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>
      <c r="A432" s="82"/>
      <c r="B432" s="82"/>
      <c r="C432" s="82"/>
      <c r="D432" s="82"/>
      <c r="E432" s="82"/>
      <c r="F432" s="82"/>
      <c r="G432" s="82"/>
      <c r="H432" s="83"/>
      <c r="I432" s="84"/>
      <c r="J432" s="84"/>
      <c r="K432" s="83"/>
      <c r="L432" s="85"/>
      <c r="M432" s="83"/>
      <c r="N432" s="83"/>
      <c r="O432" s="83"/>
      <c r="P432" s="83"/>
      <c r="Q432" s="83"/>
      <c r="R432" s="83"/>
      <c r="S432" s="8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>
      <c r="A433" s="82"/>
      <c r="B433" s="82"/>
      <c r="C433" s="82"/>
      <c r="D433" s="82"/>
      <c r="E433" s="82"/>
      <c r="F433" s="82"/>
      <c r="G433" s="82"/>
      <c r="H433" s="83"/>
      <c r="I433" s="84"/>
      <c r="J433" s="84"/>
      <c r="K433" s="83"/>
      <c r="L433" s="85"/>
      <c r="M433" s="83"/>
      <c r="N433" s="83"/>
      <c r="O433" s="83"/>
      <c r="P433" s="83"/>
      <c r="Q433" s="83"/>
      <c r="R433" s="83"/>
      <c r="S433" s="8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>
      <c r="A434" s="82"/>
      <c r="B434" s="82"/>
      <c r="C434" s="82"/>
      <c r="D434" s="82"/>
      <c r="E434" s="82"/>
      <c r="F434" s="82"/>
      <c r="G434" s="82"/>
      <c r="H434" s="83"/>
      <c r="I434" s="84"/>
      <c r="J434" s="84"/>
      <c r="K434" s="83"/>
      <c r="L434" s="85"/>
      <c r="M434" s="83"/>
      <c r="N434" s="83"/>
      <c r="O434" s="83"/>
      <c r="P434" s="83"/>
      <c r="Q434" s="83"/>
      <c r="R434" s="83"/>
      <c r="S434" s="8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>
      <c r="A435" s="82"/>
      <c r="B435" s="82"/>
      <c r="C435" s="82"/>
      <c r="D435" s="82"/>
      <c r="E435" s="82"/>
      <c r="F435" s="82"/>
      <c r="G435" s="82"/>
      <c r="H435" s="83"/>
      <c r="I435" s="84"/>
      <c r="J435" s="84"/>
      <c r="K435" s="83"/>
      <c r="L435" s="85"/>
      <c r="M435" s="83"/>
      <c r="N435" s="83"/>
      <c r="O435" s="83"/>
      <c r="P435" s="83"/>
      <c r="Q435" s="83"/>
      <c r="R435" s="83"/>
      <c r="S435" s="8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>
      <c r="A436" s="82"/>
      <c r="B436" s="82"/>
      <c r="C436" s="82"/>
      <c r="D436" s="82"/>
      <c r="E436" s="82"/>
      <c r="F436" s="82"/>
      <c r="G436" s="82"/>
      <c r="H436" s="83"/>
      <c r="I436" s="84"/>
      <c r="J436" s="84"/>
      <c r="K436" s="83"/>
      <c r="L436" s="85"/>
      <c r="M436" s="83"/>
      <c r="N436" s="83"/>
      <c r="O436" s="83"/>
      <c r="P436" s="83"/>
      <c r="Q436" s="83"/>
      <c r="R436" s="83"/>
      <c r="S436" s="8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>
      <c r="A437" s="82"/>
      <c r="B437" s="82"/>
      <c r="C437" s="82"/>
      <c r="D437" s="82"/>
      <c r="E437" s="82"/>
      <c r="F437" s="82"/>
      <c r="G437" s="82"/>
      <c r="H437" s="83"/>
      <c r="I437" s="84"/>
      <c r="J437" s="84"/>
      <c r="K437" s="83"/>
      <c r="L437" s="85"/>
      <c r="M437" s="83"/>
      <c r="N437" s="83"/>
      <c r="O437" s="83"/>
      <c r="P437" s="83"/>
      <c r="Q437" s="83"/>
      <c r="R437" s="83"/>
      <c r="S437" s="8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>
      <c r="A438" s="82"/>
      <c r="B438" s="82"/>
      <c r="C438" s="82"/>
      <c r="D438" s="82"/>
      <c r="E438" s="82"/>
      <c r="F438" s="82"/>
      <c r="G438" s="82"/>
      <c r="H438" s="83"/>
      <c r="I438" s="84"/>
      <c r="J438" s="84"/>
      <c r="K438" s="83"/>
      <c r="L438" s="85"/>
      <c r="M438" s="83"/>
      <c r="N438" s="83"/>
      <c r="O438" s="83"/>
      <c r="P438" s="83"/>
      <c r="Q438" s="83"/>
      <c r="R438" s="83"/>
      <c r="S438" s="8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>
      <c r="A439" s="82"/>
      <c r="B439" s="82"/>
      <c r="C439" s="82"/>
      <c r="D439" s="82"/>
      <c r="E439" s="82"/>
      <c r="F439" s="82"/>
      <c r="G439" s="82"/>
      <c r="H439" s="83"/>
      <c r="I439" s="84"/>
      <c r="J439" s="84"/>
      <c r="K439" s="83"/>
      <c r="L439" s="85"/>
      <c r="M439" s="83"/>
      <c r="N439" s="83"/>
      <c r="O439" s="83"/>
      <c r="P439" s="83"/>
      <c r="Q439" s="83"/>
      <c r="R439" s="83"/>
      <c r="S439" s="8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>
      <c r="A440" s="82"/>
      <c r="B440" s="82"/>
      <c r="C440" s="82"/>
      <c r="D440" s="82"/>
      <c r="E440" s="82"/>
      <c r="F440" s="82"/>
      <c r="G440" s="82"/>
      <c r="H440" s="83"/>
      <c r="I440" s="84"/>
      <c r="J440" s="84"/>
      <c r="K440" s="83"/>
      <c r="L440" s="85"/>
      <c r="M440" s="83"/>
      <c r="N440" s="83"/>
      <c r="O440" s="83"/>
      <c r="P440" s="83"/>
      <c r="Q440" s="83"/>
      <c r="R440" s="83"/>
      <c r="S440" s="8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>
      <c r="A441" s="82"/>
      <c r="B441" s="82"/>
      <c r="C441" s="82"/>
      <c r="D441" s="82"/>
      <c r="E441" s="82"/>
      <c r="F441" s="82"/>
      <c r="G441" s="82"/>
      <c r="H441" s="83"/>
      <c r="I441" s="84"/>
      <c r="J441" s="84"/>
      <c r="K441" s="83"/>
      <c r="L441" s="85"/>
      <c r="M441" s="83"/>
      <c r="N441" s="83"/>
      <c r="O441" s="83"/>
      <c r="P441" s="83"/>
      <c r="Q441" s="83"/>
      <c r="R441" s="83"/>
      <c r="S441" s="8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>
      <c r="A442" s="82"/>
      <c r="B442" s="82"/>
      <c r="C442" s="82"/>
      <c r="D442" s="82"/>
      <c r="E442" s="82"/>
      <c r="F442" s="82"/>
      <c r="G442" s="82"/>
      <c r="H442" s="83"/>
      <c r="I442" s="84"/>
      <c r="J442" s="84"/>
      <c r="K442" s="83"/>
      <c r="L442" s="85"/>
      <c r="M442" s="83"/>
      <c r="N442" s="83"/>
      <c r="O442" s="83"/>
      <c r="P442" s="83"/>
      <c r="Q442" s="83"/>
      <c r="R442" s="83"/>
      <c r="S442" s="8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>
      <c r="A443" s="82"/>
      <c r="B443" s="82"/>
      <c r="C443" s="82"/>
      <c r="D443" s="82"/>
      <c r="E443" s="82"/>
      <c r="F443" s="82"/>
      <c r="G443" s="82"/>
      <c r="H443" s="83"/>
      <c r="I443" s="84"/>
      <c r="J443" s="84"/>
      <c r="K443" s="83"/>
      <c r="L443" s="85"/>
      <c r="M443" s="83"/>
      <c r="N443" s="83"/>
      <c r="O443" s="83"/>
      <c r="P443" s="83"/>
      <c r="Q443" s="83"/>
      <c r="R443" s="83"/>
      <c r="S443" s="8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>
      <c r="A444" s="82"/>
      <c r="B444" s="82"/>
      <c r="C444" s="82"/>
      <c r="D444" s="82"/>
      <c r="E444" s="82"/>
      <c r="F444" s="82"/>
      <c r="G444" s="82"/>
      <c r="H444" s="83"/>
      <c r="I444" s="84"/>
      <c r="J444" s="84"/>
      <c r="K444" s="83"/>
      <c r="L444" s="85"/>
      <c r="M444" s="83"/>
      <c r="N444" s="83"/>
      <c r="O444" s="83"/>
      <c r="P444" s="83"/>
      <c r="Q444" s="83"/>
      <c r="R444" s="83"/>
      <c r="S444" s="8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>
      <c r="A445" s="82"/>
      <c r="B445" s="82"/>
      <c r="C445" s="82"/>
      <c r="D445" s="82"/>
      <c r="E445" s="82"/>
      <c r="F445" s="82"/>
      <c r="G445" s="82"/>
      <c r="H445" s="83"/>
      <c r="I445" s="84"/>
      <c r="J445" s="84"/>
      <c r="K445" s="83"/>
      <c r="L445" s="85"/>
      <c r="M445" s="83"/>
      <c r="N445" s="83"/>
      <c r="O445" s="83"/>
      <c r="P445" s="83"/>
      <c r="Q445" s="83"/>
      <c r="R445" s="83"/>
      <c r="S445" s="8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>
      <c r="A446" s="82"/>
      <c r="B446" s="82"/>
      <c r="C446" s="82"/>
      <c r="D446" s="82"/>
      <c r="E446" s="82"/>
      <c r="F446" s="82"/>
      <c r="G446" s="82"/>
      <c r="H446" s="83"/>
      <c r="I446" s="84"/>
      <c r="J446" s="84"/>
      <c r="K446" s="83"/>
      <c r="L446" s="85"/>
      <c r="M446" s="83"/>
      <c r="N446" s="83"/>
      <c r="O446" s="83"/>
      <c r="P446" s="83"/>
      <c r="Q446" s="83"/>
      <c r="R446" s="83"/>
      <c r="S446" s="8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>
      <c r="A447" s="82"/>
      <c r="B447" s="82"/>
      <c r="C447" s="82"/>
      <c r="D447" s="82"/>
      <c r="E447" s="82"/>
      <c r="F447" s="82"/>
      <c r="G447" s="82"/>
      <c r="H447" s="83"/>
      <c r="I447" s="84"/>
      <c r="J447" s="84"/>
      <c r="K447" s="83"/>
      <c r="L447" s="85"/>
      <c r="M447" s="83"/>
      <c r="N447" s="83"/>
      <c r="O447" s="83"/>
      <c r="P447" s="83"/>
      <c r="Q447" s="83"/>
      <c r="R447" s="83"/>
      <c r="S447" s="8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>
      <c r="A448" s="82"/>
      <c r="B448" s="82"/>
      <c r="C448" s="82"/>
      <c r="D448" s="82"/>
      <c r="E448" s="82"/>
      <c r="F448" s="82"/>
      <c r="G448" s="82"/>
      <c r="H448" s="83"/>
      <c r="I448" s="84"/>
      <c r="J448" s="84"/>
      <c r="K448" s="83"/>
      <c r="L448" s="85"/>
      <c r="M448" s="83"/>
      <c r="N448" s="83"/>
      <c r="O448" s="83"/>
      <c r="P448" s="83"/>
      <c r="Q448" s="83"/>
      <c r="R448" s="83"/>
      <c r="S448" s="8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>
      <c r="A449" s="82"/>
      <c r="B449" s="82"/>
      <c r="C449" s="82"/>
      <c r="D449" s="82"/>
      <c r="E449" s="82"/>
      <c r="F449" s="82"/>
      <c r="G449" s="82"/>
      <c r="H449" s="83"/>
      <c r="I449" s="84"/>
      <c r="J449" s="84"/>
      <c r="K449" s="83"/>
      <c r="L449" s="85"/>
      <c r="M449" s="83"/>
      <c r="N449" s="83"/>
      <c r="O449" s="83"/>
      <c r="P449" s="83"/>
      <c r="Q449" s="83"/>
      <c r="R449" s="83"/>
      <c r="S449" s="8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>
      <c r="A450" s="82"/>
      <c r="B450" s="82"/>
      <c r="C450" s="82"/>
      <c r="D450" s="82"/>
      <c r="E450" s="82"/>
      <c r="F450" s="82"/>
      <c r="G450" s="82"/>
      <c r="H450" s="83"/>
      <c r="I450" s="84"/>
      <c r="J450" s="84"/>
      <c r="K450" s="83"/>
      <c r="L450" s="85"/>
      <c r="M450" s="83"/>
      <c r="N450" s="83"/>
      <c r="O450" s="83"/>
      <c r="P450" s="83"/>
      <c r="Q450" s="83"/>
      <c r="R450" s="83"/>
      <c r="S450" s="8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>
      <c r="A451" s="82"/>
      <c r="B451" s="82"/>
      <c r="C451" s="82"/>
      <c r="D451" s="82"/>
      <c r="E451" s="82"/>
      <c r="F451" s="82"/>
      <c r="G451" s="82"/>
      <c r="H451" s="83"/>
      <c r="I451" s="84"/>
      <c r="J451" s="84"/>
      <c r="K451" s="83"/>
      <c r="L451" s="85"/>
      <c r="M451" s="83"/>
      <c r="N451" s="83"/>
      <c r="O451" s="83"/>
      <c r="P451" s="83"/>
      <c r="Q451" s="83"/>
      <c r="R451" s="83"/>
      <c r="S451" s="8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>
      <c r="A452" s="82"/>
      <c r="B452" s="82"/>
      <c r="C452" s="82"/>
      <c r="D452" s="82"/>
      <c r="E452" s="82"/>
      <c r="F452" s="82"/>
      <c r="G452" s="82"/>
      <c r="H452" s="83"/>
      <c r="I452" s="84"/>
      <c r="J452" s="84"/>
      <c r="K452" s="83"/>
      <c r="L452" s="85"/>
      <c r="M452" s="83"/>
      <c r="N452" s="83"/>
      <c r="O452" s="83"/>
      <c r="P452" s="83"/>
      <c r="Q452" s="83"/>
      <c r="R452" s="83"/>
      <c r="S452" s="8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>
      <c r="A453" s="82"/>
      <c r="B453" s="82"/>
      <c r="C453" s="82"/>
      <c r="D453" s="82"/>
      <c r="E453" s="82"/>
      <c r="F453" s="82"/>
      <c r="G453" s="82"/>
      <c r="H453" s="83"/>
      <c r="I453" s="84"/>
      <c r="J453" s="84"/>
      <c r="K453" s="83"/>
      <c r="L453" s="85"/>
      <c r="M453" s="83"/>
      <c r="N453" s="83"/>
      <c r="O453" s="83"/>
      <c r="P453" s="83"/>
      <c r="Q453" s="83"/>
      <c r="R453" s="83"/>
      <c r="S453" s="8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>
      <c r="A454" s="82"/>
      <c r="B454" s="82"/>
      <c r="C454" s="82"/>
      <c r="D454" s="82"/>
      <c r="E454" s="82"/>
      <c r="F454" s="82"/>
      <c r="G454" s="82"/>
      <c r="H454" s="83"/>
      <c r="I454" s="84"/>
      <c r="J454" s="84"/>
      <c r="K454" s="83"/>
      <c r="L454" s="85"/>
      <c r="M454" s="83"/>
      <c r="N454" s="83"/>
      <c r="O454" s="83"/>
      <c r="P454" s="83"/>
      <c r="Q454" s="83"/>
      <c r="R454" s="83"/>
      <c r="S454" s="8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>
      <c r="A455" s="82"/>
      <c r="B455" s="82"/>
      <c r="C455" s="82"/>
      <c r="D455" s="82"/>
      <c r="E455" s="82"/>
      <c r="F455" s="82"/>
      <c r="G455" s="82"/>
      <c r="H455" s="83"/>
      <c r="I455" s="84"/>
      <c r="J455" s="84"/>
      <c r="K455" s="83"/>
      <c r="L455" s="85"/>
      <c r="M455" s="83"/>
      <c r="N455" s="83"/>
      <c r="O455" s="83"/>
      <c r="P455" s="83"/>
      <c r="Q455" s="83"/>
      <c r="R455" s="83"/>
      <c r="S455" s="8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>
      <c r="A456" s="82"/>
      <c r="B456" s="82"/>
      <c r="C456" s="82"/>
      <c r="D456" s="82"/>
      <c r="E456" s="82"/>
      <c r="F456" s="82"/>
      <c r="G456" s="82"/>
      <c r="H456" s="83"/>
      <c r="I456" s="84"/>
      <c r="J456" s="84"/>
      <c r="K456" s="83"/>
      <c r="L456" s="85"/>
      <c r="M456" s="83"/>
      <c r="N456" s="83"/>
      <c r="O456" s="83"/>
      <c r="P456" s="83"/>
      <c r="Q456" s="83"/>
      <c r="R456" s="83"/>
      <c r="S456" s="8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>
      <c r="A457" s="82"/>
      <c r="B457" s="82"/>
      <c r="C457" s="82"/>
      <c r="D457" s="82"/>
      <c r="E457" s="82"/>
      <c r="F457" s="82"/>
      <c r="G457" s="82"/>
      <c r="H457" s="83"/>
      <c r="I457" s="84"/>
      <c r="J457" s="84"/>
      <c r="K457" s="83"/>
      <c r="L457" s="85"/>
      <c r="M457" s="83"/>
      <c r="N457" s="83"/>
      <c r="O457" s="83"/>
      <c r="P457" s="83"/>
      <c r="Q457" s="83"/>
      <c r="R457" s="83"/>
      <c r="S457" s="8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>
      <c r="A458" s="82"/>
      <c r="B458" s="82"/>
      <c r="C458" s="82"/>
      <c r="D458" s="82"/>
      <c r="E458" s="82"/>
      <c r="F458" s="82"/>
      <c r="G458" s="82"/>
      <c r="H458" s="83"/>
      <c r="I458" s="84"/>
      <c r="J458" s="84"/>
      <c r="K458" s="83"/>
      <c r="L458" s="85"/>
      <c r="M458" s="83"/>
      <c r="N458" s="83"/>
      <c r="O458" s="83"/>
      <c r="P458" s="83"/>
      <c r="Q458" s="83"/>
      <c r="R458" s="83"/>
      <c r="S458" s="8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>
      <c r="A459" s="82"/>
      <c r="B459" s="82"/>
      <c r="C459" s="82"/>
      <c r="D459" s="82"/>
      <c r="E459" s="82"/>
      <c r="F459" s="82"/>
      <c r="G459" s="82"/>
      <c r="H459" s="83"/>
      <c r="I459" s="84"/>
      <c r="J459" s="84"/>
      <c r="K459" s="83"/>
      <c r="L459" s="85"/>
      <c r="M459" s="83"/>
      <c r="N459" s="83"/>
      <c r="O459" s="83"/>
      <c r="P459" s="83"/>
      <c r="Q459" s="83"/>
      <c r="R459" s="83"/>
      <c r="S459" s="8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>
      <c r="A460" s="82"/>
      <c r="B460" s="82"/>
      <c r="C460" s="82"/>
      <c r="D460" s="82"/>
      <c r="E460" s="82"/>
      <c r="F460" s="82"/>
      <c r="G460" s="82"/>
      <c r="H460" s="83"/>
      <c r="I460" s="84"/>
      <c r="J460" s="84"/>
      <c r="K460" s="83"/>
      <c r="L460" s="85"/>
      <c r="M460" s="83"/>
      <c r="N460" s="83"/>
      <c r="O460" s="83"/>
      <c r="P460" s="83"/>
      <c r="Q460" s="83"/>
      <c r="R460" s="83"/>
      <c r="S460" s="8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>
      <c r="A461" s="82"/>
      <c r="B461" s="82"/>
      <c r="C461" s="82"/>
      <c r="D461" s="82"/>
      <c r="E461" s="82"/>
      <c r="F461" s="82"/>
      <c r="G461" s="82"/>
      <c r="H461" s="83"/>
      <c r="I461" s="84"/>
      <c r="J461" s="84"/>
      <c r="K461" s="83"/>
      <c r="L461" s="85"/>
      <c r="M461" s="83"/>
      <c r="N461" s="83"/>
      <c r="O461" s="83"/>
      <c r="P461" s="83"/>
      <c r="Q461" s="83"/>
      <c r="R461" s="83"/>
      <c r="S461" s="8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>
      <c r="A462" s="82"/>
      <c r="B462" s="82"/>
      <c r="C462" s="82"/>
      <c r="D462" s="82"/>
      <c r="E462" s="82"/>
      <c r="F462" s="82"/>
      <c r="G462" s="82"/>
      <c r="H462" s="83"/>
      <c r="I462" s="84"/>
      <c r="J462" s="84"/>
      <c r="K462" s="83"/>
      <c r="L462" s="85"/>
      <c r="M462" s="83"/>
      <c r="N462" s="83"/>
      <c r="O462" s="83"/>
      <c r="P462" s="83"/>
      <c r="Q462" s="83"/>
      <c r="R462" s="83"/>
      <c r="S462" s="8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>
      <c r="A463" s="82"/>
      <c r="B463" s="82"/>
      <c r="C463" s="82"/>
      <c r="D463" s="82"/>
      <c r="E463" s="82"/>
      <c r="F463" s="82"/>
      <c r="G463" s="82"/>
      <c r="H463" s="83"/>
      <c r="I463" s="84"/>
      <c r="J463" s="84"/>
      <c r="K463" s="83"/>
      <c r="L463" s="85"/>
      <c r="M463" s="83"/>
      <c r="N463" s="83"/>
      <c r="O463" s="83"/>
      <c r="P463" s="83"/>
      <c r="Q463" s="83"/>
      <c r="R463" s="83"/>
      <c r="S463" s="8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>
      <c r="A464" s="82"/>
      <c r="B464" s="82"/>
      <c r="C464" s="82"/>
      <c r="D464" s="82"/>
      <c r="E464" s="82"/>
      <c r="F464" s="82"/>
      <c r="G464" s="82"/>
      <c r="H464" s="83"/>
      <c r="I464" s="84"/>
      <c r="J464" s="84"/>
      <c r="K464" s="83"/>
      <c r="L464" s="85"/>
      <c r="M464" s="83"/>
      <c r="N464" s="83"/>
      <c r="O464" s="83"/>
      <c r="P464" s="83"/>
      <c r="Q464" s="83"/>
      <c r="R464" s="83"/>
      <c r="S464" s="8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>
      <c r="A465" s="82"/>
      <c r="B465" s="82"/>
      <c r="C465" s="82"/>
      <c r="D465" s="82"/>
      <c r="E465" s="82"/>
      <c r="F465" s="82"/>
      <c r="G465" s="82"/>
      <c r="H465" s="83"/>
      <c r="I465" s="84"/>
      <c r="J465" s="84"/>
      <c r="K465" s="83"/>
      <c r="L465" s="85"/>
      <c r="M465" s="83"/>
      <c r="N465" s="83"/>
      <c r="O465" s="83"/>
      <c r="P465" s="83"/>
      <c r="Q465" s="83"/>
      <c r="R465" s="83"/>
      <c r="S465" s="8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>
      <c r="A466" s="82"/>
      <c r="B466" s="82"/>
      <c r="C466" s="82"/>
      <c r="D466" s="82"/>
      <c r="E466" s="82"/>
      <c r="F466" s="82"/>
      <c r="G466" s="82"/>
      <c r="H466" s="83"/>
      <c r="I466" s="84"/>
      <c r="J466" s="84"/>
      <c r="K466" s="83"/>
      <c r="L466" s="85"/>
      <c r="M466" s="83"/>
      <c r="N466" s="83"/>
      <c r="O466" s="83"/>
      <c r="P466" s="83"/>
      <c r="Q466" s="83"/>
      <c r="R466" s="83"/>
      <c r="S466" s="8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>
      <c r="A467" s="82"/>
      <c r="B467" s="82"/>
      <c r="C467" s="82"/>
      <c r="D467" s="82"/>
      <c r="E467" s="82"/>
      <c r="F467" s="82"/>
      <c r="G467" s="82"/>
      <c r="H467" s="83"/>
      <c r="I467" s="84"/>
      <c r="J467" s="84"/>
      <c r="K467" s="83"/>
      <c r="L467" s="85"/>
      <c r="M467" s="83"/>
      <c r="N467" s="83"/>
      <c r="O467" s="83"/>
      <c r="P467" s="83"/>
      <c r="Q467" s="83"/>
      <c r="R467" s="83"/>
      <c r="S467" s="8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>
      <c r="A468" s="82"/>
      <c r="B468" s="82"/>
      <c r="C468" s="82"/>
      <c r="D468" s="82"/>
      <c r="E468" s="82"/>
      <c r="F468" s="82"/>
      <c r="G468" s="82"/>
      <c r="H468" s="83"/>
      <c r="I468" s="84"/>
      <c r="J468" s="84"/>
      <c r="K468" s="83"/>
      <c r="L468" s="85"/>
      <c r="M468" s="83"/>
      <c r="N468" s="83"/>
      <c r="O468" s="83"/>
      <c r="P468" s="83"/>
      <c r="Q468" s="83"/>
      <c r="R468" s="83"/>
      <c r="S468" s="8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>
      <c r="A469" s="82"/>
      <c r="B469" s="82"/>
      <c r="C469" s="82"/>
      <c r="D469" s="82"/>
      <c r="E469" s="82"/>
      <c r="F469" s="82"/>
      <c r="G469" s="82"/>
      <c r="H469" s="83"/>
      <c r="I469" s="84"/>
      <c r="J469" s="84"/>
      <c r="K469" s="83"/>
      <c r="L469" s="85"/>
      <c r="M469" s="83"/>
      <c r="N469" s="83"/>
      <c r="O469" s="83"/>
      <c r="P469" s="83"/>
      <c r="Q469" s="83"/>
      <c r="R469" s="83"/>
      <c r="S469" s="8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>
      <c r="A470" s="82"/>
      <c r="B470" s="82"/>
      <c r="C470" s="82"/>
      <c r="D470" s="82"/>
      <c r="E470" s="82"/>
      <c r="F470" s="82"/>
      <c r="G470" s="82"/>
      <c r="H470" s="83"/>
      <c r="I470" s="84"/>
      <c r="J470" s="84"/>
      <c r="K470" s="83"/>
      <c r="L470" s="85"/>
      <c r="M470" s="83"/>
      <c r="N470" s="83"/>
      <c r="O470" s="83"/>
      <c r="P470" s="83"/>
      <c r="Q470" s="83"/>
      <c r="R470" s="83"/>
      <c r="S470" s="8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>
      <c r="A471" s="82"/>
      <c r="B471" s="82"/>
      <c r="C471" s="82"/>
      <c r="D471" s="82"/>
      <c r="E471" s="82"/>
      <c r="F471" s="82"/>
      <c r="G471" s="82"/>
      <c r="H471" s="83"/>
      <c r="I471" s="84"/>
      <c r="J471" s="84"/>
      <c r="K471" s="83"/>
      <c r="L471" s="85"/>
      <c r="M471" s="83"/>
      <c r="N471" s="83"/>
      <c r="O471" s="83"/>
      <c r="P471" s="83"/>
      <c r="Q471" s="83"/>
      <c r="R471" s="83"/>
      <c r="S471" s="8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>
      <c r="A472" s="82"/>
      <c r="B472" s="82"/>
      <c r="C472" s="82"/>
      <c r="D472" s="82"/>
      <c r="E472" s="82"/>
      <c r="F472" s="82"/>
      <c r="G472" s="82"/>
      <c r="H472" s="83"/>
      <c r="I472" s="84"/>
      <c r="J472" s="84"/>
      <c r="K472" s="83"/>
      <c r="L472" s="85"/>
      <c r="M472" s="83"/>
      <c r="N472" s="83"/>
      <c r="O472" s="83"/>
      <c r="P472" s="83"/>
      <c r="Q472" s="83"/>
      <c r="R472" s="83"/>
      <c r="S472" s="8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>
      <c r="A473" s="82"/>
      <c r="B473" s="82"/>
      <c r="C473" s="82"/>
      <c r="D473" s="82"/>
      <c r="E473" s="82"/>
      <c r="F473" s="82"/>
      <c r="G473" s="82"/>
      <c r="H473" s="83"/>
      <c r="I473" s="84"/>
      <c r="J473" s="84"/>
      <c r="K473" s="83"/>
      <c r="L473" s="85"/>
      <c r="M473" s="83"/>
      <c r="N473" s="83"/>
      <c r="O473" s="83"/>
      <c r="P473" s="83"/>
      <c r="Q473" s="83"/>
      <c r="R473" s="83"/>
      <c r="S473" s="8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>
      <c r="A474" s="82"/>
      <c r="B474" s="82"/>
      <c r="C474" s="82"/>
      <c r="D474" s="82"/>
      <c r="E474" s="82"/>
      <c r="F474" s="82"/>
      <c r="G474" s="82"/>
      <c r="H474" s="83"/>
      <c r="I474" s="84"/>
      <c r="J474" s="84"/>
      <c r="K474" s="83"/>
      <c r="L474" s="85"/>
      <c r="M474" s="83"/>
      <c r="N474" s="83"/>
      <c r="O474" s="83"/>
      <c r="P474" s="83"/>
      <c r="Q474" s="83"/>
      <c r="R474" s="83"/>
      <c r="S474" s="8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>
      <c r="A475" s="82"/>
      <c r="B475" s="82"/>
      <c r="C475" s="82"/>
      <c r="D475" s="82"/>
      <c r="E475" s="82"/>
      <c r="F475" s="82"/>
      <c r="G475" s="82"/>
      <c r="H475" s="83"/>
      <c r="I475" s="84"/>
      <c r="J475" s="84"/>
      <c r="K475" s="83"/>
      <c r="L475" s="85"/>
      <c r="M475" s="83"/>
      <c r="N475" s="83"/>
      <c r="O475" s="83"/>
      <c r="P475" s="83"/>
      <c r="Q475" s="83"/>
      <c r="R475" s="83"/>
      <c r="S475" s="8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>
      <c r="A476" s="82"/>
      <c r="B476" s="82"/>
      <c r="C476" s="82"/>
      <c r="D476" s="82"/>
      <c r="E476" s="82"/>
      <c r="F476" s="82"/>
      <c r="G476" s="82"/>
      <c r="H476" s="83"/>
      <c r="I476" s="84"/>
      <c r="J476" s="84"/>
      <c r="K476" s="83"/>
      <c r="L476" s="85"/>
      <c r="M476" s="83"/>
      <c r="N476" s="83"/>
      <c r="O476" s="83"/>
      <c r="P476" s="83"/>
      <c r="Q476" s="83"/>
      <c r="R476" s="83"/>
      <c r="S476" s="8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>
      <c r="A477" s="82"/>
      <c r="B477" s="82"/>
      <c r="C477" s="82"/>
      <c r="D477" s="82"/>
      <c r="E477" s="82"/>
      <c r="F477" s="82"/>
      <c r="G477" s="82"/>
      <c r="H477" s="83"/>
      <c r="I477" s="84"/>
      <c r="J477" s="84"/>
      <c r="K477" s="83"/>
      <c r="L477" s="85"/>
      <c r="M477" s="83"/>
      <c r="N477" s="83"/>
      <c r="O477" s="83"/>
      <c r="P477" s="83"/>
      <c r="Q477" s="83"/>
      <c r="R477" s="83"/>
      <c r="S477" s="8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>
      <c r="A478" s="82"/>
      <c r="B478" s="82"/>
      <c r="C478" s="82"/>
      <c r="D478" s="82"/>
      <c r="E478" s="82"/>
      <c r="F478" s="82"/>
      <c r="G478" s="82"/>
      <c r="H478" s="83"/>
      <c r="I478" s="84"/>
      <c r="J478" s="84"/>
      <c r="K478" s="83"/>
      <c r="L478" s="85"/>
      <c r="M478" s="83"/>
      <c r="N478" s="83"/>
      <c r="O478" s="83"/>
      <c r="P478" s="83"/>
      <c r="Q478" s="83"/>
      <c r="R478" s="83"/>
      <c r="S478" s="8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>
      <c r="A479" s="82"/>
      <c r="B479" s="82"/>
      <c r="C479" s="82"/>
      <c r="D479" s="82"/>
      <c r="E479" s="82"/>
      <c r="F479" s="82"/>
      <c r="G479" s="82"/>
      <c r="H479" s="83"/>
      <c r="I479" s="84"/>
      <c r="J479" s="84"/>
      <c r="K479" s="83"/>
      <c r="L479" s="85"/>
      <c r="M479" s="83"/>
      <c r="N479" s="83"/>
      <c r="O479" s="83"/>
      <c r="P479" s="83"/>
      <c r="Q479" s="83"/>
      <c r="R479" s="83"/>
      <c r="S479" s="8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>
      <c r="A480" s="82"/>
      <c r="B480" s="82"/>
      <c r="C480" s="82"/>
      <c r="D480" s="82"/>
      <c r="E480" s="82"/>
      <c r="F480" s="82"/>
      <c r="G480" s="82"/>
      <c r="H480" s="83"/>
      <c r="I480" s="84"/>
      <c r="J480" s="84"/>
      <c r="K480" s="83"/>
      <c r="L480" s="85"/>
      <c r="M480" s="83"/>
      <c r="N480" s="83"/>
      <c r="O480" s="83"/>
      <c r="P480" s="83"/>
      <c r="Q480" s="83"/>
      <c r="R480" s="83"/>
      <c r="S480" s="8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>
      <c r="A481" s="82"/>
      <c r="B481" s="82"/>
      <c r="C481" s="82"/>
      <c r="D481" s="82"/>
      <c r="E481" s="82"/>
      <c r="F481" s="82"/>
      <c r="G481" s="82"/>
      <c r="H481" s="83"/>
      <c r="I481" s="84"/>
      <c r="J481" s="84"/>
      <c r="K481" s="83"/>
      <c r="L481" s="85"/>
      <c r="M481" s="83"/>
      <c r="N481" s="83"/>
      <c r="O481" s="83"/>
      <c r="P481" s="83"/>
      <c r="Q481" s="83"/>
      <c r="R481" s="83"/>
      <c r="S481" s="8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>
      <c r="A482" s="82"/>
      <c r="B482" s="82"/>
      <c r="C482" s="82"/>
      <c r="D482" s="82"/>
      <c r="E482" s="82"/>
      <c r="F482" s="82"/>
      <c r="G482" s="82"/>
      <c r="H482" s="83"/>
      <c r="I482" s="84"/>
      <c r="J482" s="84"/>
      <c r="K482" s="83"/>
      <c r="L482" s="85"/>
      <c r="M482" s="83"/>
      <c r="N482" s="83"/>
      <c r="O482" s="83"/>
      <c r="P482" s="83"/>
      <c r="Q482" s="83"/>
      <c r="R482" s="83"/>
      <c r="S482" s="8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>
      <c r="A483" s="82"/>
      <c r="B483" s="82"/>
      <c r="C483" s="82"/>
      <c r="D483" s="82"/>
      <c r="E483" s="82"/>
      <c r="F483" s="82"/>
      <c r="G483" s="82"/>
      <c r="H483" s="83"/>
      <c r="I483" s="84"/>
      <c r="J483" s="84"/>
      <c r="K483" s="83"/>
      <c r="L483" s="85"/>
      <c r="M483" s="83"/>
      <c r="N483" s="83"/>
      <c r="O483" s="83"/>
      <c r="P483" s="83"/>
      <c r="Q483" s="83"/>
      <c r="R483" s="83"/>
      <c r="S483" s="8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>
      <c r="A484" s="82"/>
      <c r="B484" s="82"/>
      <c r="C484" s="82"/>
      <c r="D484" s="82"/>
      <c r="E484" s="82"/>
      <c r="F484" s="82"/>
      <c r="G484" s="82"/>
      <c r="H484" s="83"/>
      <c r="I484" s="84"/>
      <c r="J484" s="84"/>
      <c r="K484" s="83"/>
      <c r="L484" s="85"/>
      <c r="M484" s="83"/>
      <c r="N484" s="83"/>
      <c r="O484" s="83"/>
      <c r="P484" s="83"/>
      <c r="Q484" s="83"/>
      <c r="R484" s="83"/>
      <c r="S484" s="8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>
      <c r="A485" s="82"/>
      <c r="B485" s="82"/>
      <c r="C485" s="82"/>
      <c r="D485" s="82"/>
      <c r="E485" s="82"/>
      <c r="F485" s="82"/>
      <c r="G485" s="82"/>
      <c r="H485" s="83"/>
      <c r="I485" s="84"/>
      <c r="J485" s="84"/>
      <c r="K485" s="83"/>
      <c r="L485" s="85"/>
      <c r="M485" s="83"/>
      <c r="N485" s="83"/>
      <c r="O485" s="83"/>
      <c r="P485" s="83"/>
      <c r="Q485" s="83"/>
      <c r="R485" s="83"/>
      <c r="S485" s="8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>
      <c r="A486" s="82"/>
      <c r="B486" s="82"/>
      <c r="C486" s="82"/>
      <c r="D486" s="82"/>
      <c r="E486" s="82"/>
      <c r="F486" s="82"/>
      <c r="G486" s="82"/>
      <c r="H486" s="83"/>
      <c r="I486" s="84"/>
      <c r="J486" s="84"/>
      <c r="K486" s="83"/>
      <c r="L486" s="85"/>
      <c r="M486" s="83"/>
      <c r="N486" s="83"/>
      <c r="O486" s="83"/>
      <c r="P486" s="83"/>
      <c r="Q486" s="83"/>
      <c r="R486" s="83"/>
      <c r="S486" s="8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>
      <c r="A487" s="82"/>
      <c r="B487" s="82"/>
      <c r="C487" s="82"/>
      <c r="D487" s="82"/>
      <c r="E487" s="82"/>
      <c r="F487" s="82"/>
      <c r="G487" s="82"/>
      <c r="H487" s="83"/>
      <c r="I487" s="84"/>
      <c r="J487" s="84"/>
      <c r="K487" s="83"/>
      <c r="L487" s="85"/>
      <c r="M487" s="83"/>
      <c r="N487" s="83"/>
      <c r="O487" s="83"/>
      <c r="P487" s="83"/>
      <c r="Q487" s="83"/>
      <c r="R487" s="83"/>
      <c r="S487" s="8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>
      <c r="A488" s="82"/>
      <c r="B488" s="82"/>
      <c r="C488" s="82"/>
      <c r="D488" s="82"/>
      <c r="E488" s="82"/>
      <c r="F488" s="82"/>
      <c r="G488" s="82"/>
      <c r="H488" s="83"/>
      <c r="I488" s="84"/>
      <c r="J488" s="84"/>
      <c r="K488" s="83"/>
      <c r="L488" s="85"/>
      <c r="M488" s="83"/>
      <c r="N488" s="83"/>
      <c r="O488" s="83"/>
      <c r="P488" s="83"/>
      <c r="Q488" s="83"/>
      <c r="R488" s="83"/>
      <c r="S488" s="8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>
      <c r="A489" s="82"/>
      <c r="B489" s="82"/>
      <c r="C489" s="82"/>
      <c r="D489" s="82"/>
      <c r="E489" s="82"/>
      <c r="F489" s="82"/>
      <c r="G489" s="82"/>
      <c r="H489" s="83"/>
      <c r="I489" s="84"/>
      <c r="J489" s="84"/>
      <c r="K489" s="83"/>
      <c r="L489" s="85"/>
      <c r="M489" s="83"/>
      <c r="N489" s="83"/>
      <c r="O489" s="83"/>
      <c r="P489" s="83"/>
      <c r="Q489" s="83"/>
      <c r="R489" s="83"/>
      <c r="S489" s="8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>
      <c r="A490" s="82"/>
      <c r="B490" s="82"/>
      <c r="C490" s="82"/>
      <c r="D490" s="82"/>
      <c r="E490" s="82"/>
      <c r="F490" s="82"/>
      <c r="G490" s="82"/>
      <c r="H490" s="83"/>
      <c r="I490" s="84"/>
      <c r="J490" s="84"/>
      <c r="K490" s="83"/>
      <c r="L490" s="85"/>
      <c r="M490" s="83"/>
      <c r="N490" s="83"/>
      <c r="O490" s="83"/>
      <c r="P490" s="83"/>
      <c r="Q490" s="83"/>
      <c r="R490" s="83"/>
      <c r="S490" s="8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>
      <c r="A491" s="82"/>
      <c r="B491" s="82"/>
      <c r="C491" s="82"/>
      <c r="D491" s="82"/>
      <c r="E491" s="82"/>
      <c r="F491" s="82"/>
      <c r="G491" s="82"/>
      <c r="H491" s="83"/>
      <c r="I491" s="84"/>
      <c r="J491" s="84"/>
      <c r="K491" s="83"/>
      <c r="L491" s="85"/>
      <c r="M491" s="83"/>
      <c r="N491" s="83"/>
      <c r="O491" s="83"/>
      <c r="P491" s="83"/>
      <c r="Q491" s="83"/>
      <c r="R491" s="83"/>
      <c r="S491" s="8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>
      <c r="A492" s="82"/>
      <c r="B492" s="82"/>
      <c r="C492" s="82"/>
      <c r="D492" s="82"/>
      <c r="E492" s="82"/>
      <c r="F492" s="82"/>
      <c r="G492" s="82"/>
      <c r="H492" s="83"/>
      <c r="I492" s="84"/>
      <c r="J492" s="84"/>
      <c r="K492" s="83"/>
      <c r="L492" s="85"/>
      <c r="M492" s="83"/>
      <c r="N492" s="83"/>
      <c r="O492" s="83"/>
      <c r="P492" s="83"/>
      <c r="Q492" s="83"/>
      <c r="R492" s="83"/>
      <c r="S492" s="8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82"/>
      <c r="B493" s="82"/>
      <c r="C493" s="82"/>
      <c r="D493" s="82"/>
      <c r="E493" s="82"/>
      <c r="F493" s="82"/>
      <c r="G493" s="82"/>
      <c r="H493" s="83"/>
      <c r="I493" s="84"/>
      <c r="J493" s="84"/>
      <c r="K493" s="83"/>
      <c r="L493" s="85"/>
      <c r="M493" s="83"/>
      <c r="N493" s="83"/>
      <c r="O493" s="83"/>
      <c r="P493" s="83"/>
      <c r="Q493" s="83"/>
      <c r="R493" s="83"/>
      <c r="S493" s="8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82"/>
      <c r="B494" s="82"/>
      <c r="C494" s="82"/>
      <c r="D494" s="82"/>
      <c r="E494" s="82"/>
      <c r="F494" s="82"/>
      <c r="G494" s="82"/>
      <c r="H494" s="83"/>
      <c r="I494" s="84"/>
      <c r="J494" s="84"/>
      <c r="K494" s="83"/>
      <c r="L494" s="85"/>
      <c r="M494" s="83"/>
      <c r="N494" s="83"/>
      <c r="O494" s="83"/>
      <c r="P494" s="83"/>
      <c r="Q494" s="83"/>
      <c r="R494" s="83"/>
      <c r="S494" s="8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82"/>
      <c r="B495" s="82"/>
      <c r="C495" s="82"/>
      <c r="D495" s="82"/>
      <c r="E495" s="82"/>
      <c r="F495" s="82"/>
      <c r="G495" s="82"/>
      <c r="H495" s="83"/>
      <c r="I495" s="84"/>
      <c r="J495" s="84"/>
      <c r="K495" s="83"/>
      <c r="L495" s="85"/>
      <c r="M495" s="83"/>
      <c r="N495" s="83"/>
      <c r="O495" s="83"/>
      <c r="P495" s="83"/>
      <c r="Q495" s="83"/>
      <c r="R495" s="83"/>
      <c r="S495" s="8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82"/>
      <c r="B496" s="82"/>
      <c r="C496" s="82"/>
      <c r="D496" s="82"/>
      <c r="E496" s="82"/>
      <c r="F496" s="82"/>
      <c r="G496" s="82"/>
      <c r="H496" s="83"/>
      <c r="I496" s="84"/>
      <c r="J496" s="84"/>
      <c r="K496" s="83"/>
      <c r="L496" s="85"/>
      <c r="M496" s="83"/>
      <c r="N496" s="83"/>
      <c r="O496" s="83"/>
      <c r="P496" s="83"/>
      <c r="Q496" s="83"/>
      <c r="R496" s="83"/>
      <c r="S496" s="8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82"/>
      <c r="B497" s="82"/>
      <c r="C497" s="82"/>
      <c r="D497" s="82"/>
      <c r="E497" s="82"/>
      <c r="F497" s="82"/>
      <c r="G497" s="82"/>
      <c r="H497" s="83"/>
      <c r="I497" s="84"/>
      <c r="J497" s="84"/>
      <c r="K497" s="83"/>
      <c r="L497" s="85"/>
      <c r="M497" s="83"/>
      <c r="N497" s="83"/>
      <c r="O497" s="83"/>
      <c r="P497" s="83"/>
      <c r="Q497" s="83"/>
      <c r="R497" s="83"/>
      <c r="S497" s="8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82"/>
      <c r="B498" s="82"/>
      <c r="C498" s="82"/>
      <c r="D498" s="82"/>
      <c r="E498" s="82"/>
      <c r="F498" s="82"/>
      <c r="G498" s="82"/>
      <c r="H498" s="83"/>
      <c r="I498" s="84"/>
      <c r="J498" s="84"/>
      <c r="K498" s="83"/>
      <c r="L498" s="85"/>
      <c r="M498" s="83"/>
      <c r="N498" s="83"/>
      <c r="O498" s="83"/>
      <c r="P498" s="83"/>
      <c r="Q498" s="83"/>
      <c r="R498" s="83"/>
      <c r="S498" s="8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82"/>
      <c r="B499" s="82"/>
      <c r="C499" s="82"/>
      <c r="D499" s="82"/>
      <c r="E499" s="82"/>
      <c r="F499" s="82"/>
      <c r="G499" s="82"/>
      <c r="H499" s="83"/>
      <c r="I499" s="84"/>
      <c r="J499" s="84"/>
      <c r="K499" s="83"/>
      <c r="L499" s="85"/>
      <c r="M499" s="83"/>
      <c r="N499" s="83"/>
      <c r="O499" s="83"/>
      <c r="P499" s="83"/>
      <c r="Q499" s="83"/>
      <c r="R499" s="83"/>
      <c r="S499" s="8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82"/>
      <c r="B500" s="82"/>
      <c r="C500" s="82"/>
      <c r="D500" s="82"/>
      <c r="E500" s="82"/>
      <c r="F500" s="82"/>
      <c r="G500" s="82"/>
      <c r="H500" s="83"/>
      <c r="I500" s="84"/>
      <c r="J500" s="84"/>
      <c r="K500" s="83"/>
      <c r="L500" s="85"/>
      <c r="M500" s="83"/>
      <c r="N500" s="83"/>
      <c r="O500" s="83"/>
      <c r="P500" s="83"/>
      <c r="Q500" s="83"/>
      <c r="R500" s="83"/>
      <c r="S500" s="8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82"/>
      <c r="B501" s="82"/>
      <c r="C501" s="82"/>
      <c r="D501" s="82"/>
      <c r="E501" s="82"/>
      <c r="F501" s="82"/>
      <c r="G501" s="82"/>
      <c r="H501" s="83"/>
      <c r="I501" s="84"/>
      <c r="J501" s="84"/>
      <c r="K501" s="83"/>
      <c r="L501" s="85"/>
      <c r="M501" s="83"/>
      <c r="N501" s="83"/>
      <c r="O501" s="83"/>
      <c r="P501" s="83"/>
      <c r="Q501" s="83"/>
      <c r="R501" s="83"/>
      <c r="S501" s="8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82"/>
      <c r="B502" s="82"/>
      <c r="C502" s="82"/>
      <c r="D502" s="82"/>
      <c r="E502" s="82"/>
      <c r="F502" s="82"/>
      <c r="G502" s="82"/>
      <c r="H502" s="83"/>
      <c r="I502" s="84"/>
      <c r="J502" s="84"/>
      <c r="K502" s="83"/>
      <c r="L502" s="85"/>
      <c r="M502" s="83"/>
      <c r="N502" s="83"/>
      <c r="O502" s="83"/>
      <c r="P502" s="83"/>
      <c r="Q502" s="83"/>
      <c r="R502" s="83"/>
      <c r="S502" s="8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82"/>
      <c r="B503" s="82"/>
      <c r="C503" s="82"/>
      <c r="D503" s="82"/>
      <c r="E503" s="82"/>
      <c r="F503" s="82"/>
      <c r="G503" s="82"/>
      <c r="H503" s="83"/>
      <c r="I503" s="84"/>
      <c r="J503" s="84"/>
      <c r="K503" s="83"/>
      <c r="L503" s="85"/>
      <c r="M503" s="83"/>
      <c r="N503" s="83"/>
      <c r="O503" s="83"/>
      <c r="P503" s="83"/>
      <c r="Q503" s="83"/>
      <c r="R503" s="83"/>
      <c r="S503" s="8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82"/>
      <c r="B504" s="82"/>
      <c r="C504" s="82"/>
      <c r="D504" s="82"/>
      <c r="E504" s="82"/>
      <c r="F504" s="82"/>
      <c r="G504" s="82"/>
      <c r="H504" s="83"/>
      <c r="I504" s="84"/>
      <c r="J504" s="84"/>
      <c r="K504" s="83"/>
      <c r="L504" s="85"/>
      <c r="M504" s="83"/>
      <c r="N504" s="83"/>
      <c r="O504" s="83"/>
      <c r="P504" s="83"/>
      <c r="Q504" s="83"/>
      <c r="R504" s="83"/>
      <c r="S504" s="8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82"/>
      <c r="B505" s="82"/>
      <c r="C505" s="82"/>
      <c r="D505" s="82"/>
      <c r="E505" s="82"/>
      <c r="F505" s="82"/>
      <c r="G505" s="82"/>
      <c r="H505" s="83"/>
      <c r="I505" s="84"/>
      <c r="J505" s="84"/>
      <c r="K505" s="83"/>
      <c r="L505" s="85"/>
      <c r="M505" s="83"/>
      <c r="N505" s="83"/>
      <c r="O505" s="83"/>
      <c r="P505" s="83"/>
      <c r="Q505" s="83"/>
      <c r="R505" s="83"/>
      <c r="S505" s="8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82"/>
      <c r="B506" s="82"/>
      <c r="C506" s="82"/>
      <c r="D506" s="82"/>
      <c r="E506" s="82"/>
      <c r="F506" s="82"/>
      <c r="G506" s="82"/>
      <c r="H506" s="83"/>
      <c r="I506" s="84"/>
      <c r="J506" s="84"/>
      <c r="K506" s="83"/>
      <c r="L506" s="85"/>
      <c r="M506" s="83"/>
      <c r="N506" s="83"/>
      <c r="O506" s="83"/>
      <c r="P506" s="83"/>
      <c r="Q506" s="83"/>
      <c r="R506" s="83"/>
      <c r="S506" s="8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82"/>
      <c r="B507" s="82"/>
      <c r="C507" s="82"/>
      <c r="D507" s="82"/>
      <c r="E507" s="82"/>
      <c r="F507" s="82"/>
      <c r="G507" s="82"/>
      <c r="H507" s="83"/>
      <c r="I507" s="84"/>
      <c r="J507" s="84"/>
      <c r="K507" s="83"/>
      <c r="L507" s="85"/>
      <c r="M507" s="83"/>
      <c r="N507" s="83"/>
      <c r="O507" s="83"/>
      <c r="P507" s="83"/>
      <c r="Q507" s="83"/>
      <c r="R507" s="83"/>
      <c r="S507" s="8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82"/>
      <c r="B508" s="82"/>
      <c r="C508" s="82"/>
      <c r="D508" s="82"/>
      <c r="E508" s="82"/>
      <c r="F508" s="82"/>
      <c r="G508" s="82"/>
      <c r="H508" s="83"/>
      <c r="I508" s="84"/>
      <c r="J508" s="84"/>
      <c r="K508" s="83"/>
      <c r="L508" s="85"/>
      <c r="M508" s="83"/>
      <c r="N508" s="83"/>
      <c r="O508" s="83"/>
      <c r="P508" s="83"/>
      <c r="Q508" s="83"/>
      <c r="R508" s="83"/>
      <c r="S508" s="8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82"/>
      <c r="B509" s="82"/>
      <c r="C509" s="82"/>
      <c r="D509" s="82"/>
      <c r="E509" s="82"/>
      <c r="F509" s="82"/>
      <c r="G509" s="82"/>
      <c r="H509" s="83"/>
      <c r="I509" s="84"/>
      <c r="J509" s="84"/>
      <c r="K509" s="83"/>
      <c r="L509" s="85"/>
      <c r="M509" s="83"/>
      <c r="N509" s="83"/>
      <c r="O509" s="83"/>
      <c r="P509" s="83"/>
      <c r="Q509" s="83"/>
      <c r="R509" s="83"/>
      <c r="S509" s="8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82"/>
      <c r="B510" s="82"/>
      <c r="C510" s="82"/>
      <c r="D510" s="82"/>
      <c r="E510" s="82"/>
      <c r="F510" s="82"/>
      <c r="G510" s="82"/>
      <c r="H510" s="83"/>
      <c r="I510" s="84"/>
      <c r="J510" s="84"/>
      <c r="K510" s="83"/>
      <c r="L510" s="85"/>
      <c r="M510" s="83"/>
      <c r="N510" s="83"/>
      <c r="O510" s="83"/>
      <c r="P510" s="83"/>
      <c r="Q510" s="83"/>
      <c r="R510" s="83"/>
      <c r="S510" s="8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82"/>
      <c r="B511" s="82"/>
      <c r="C511" s="82"/>
      <c r="D511" s="82"/>
      <c r="E511" s="82"/>
      <c r="F511" s="82"/>
      <c r="G511" s="82"/>
      <c r="H511" s="83"/>
      <c r="I511" s="84"/>
      <c r="J511" s="84"/>
      <c r="K511" s="83"/>
      <c r="L511" s="85"/>
      <c r="M511" s="83"/>
      <c r="N511" s="83"/>
      <c r="O511" s="83"/>
      <c r="P511" s="83"/>
      <c r="Q511" s="83"/>
      <c r="R511" s="83"/>
      <c r="S511" s="8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82"/>
      <c r="B512" s="82"/>
      <c r="C512" s="82"/>
      <c r="D512" s="82"/>
      <c r="E512" s="82"/>
      <c r="F512" s="82"/>
      <c r="G512" s="82"/>
      <c r="H512" s="83"/>
      <c r="I512" s="84"/>
      <c r="J512" s="84"/>
      <c r="K512" s="83"/>
      <c r="L512" s="85"/>
      <c r="M512" s="83"/>
      <c r="N512" s="83"/>
      <c r="O512" s="83"/>
      <c r="P512" s="83"/>
      <c r="Q512" s="83"/>
      <c r="R512" s="83"/>
      <c r="S512" s="8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82"/>
      <c r="B513" s="82"/>
      <c r="C513" s="82"/>
      <c r="D513" s="82"/>
      <c r="E513" s="82"/>
      <c r="F513" s="82"/>
      <c r="G513" s="82"/>
      <c r="H513" s="83"/>
      <c r="I513" s="84"/>
      <c r="J513" s="84"/>
      <c r="K513" s="83"/>
      <c r="L513" s="85"/>
      <c r="M513" s="83"/>
      <c r="N513" s="83"/>
      <c r="O513" s="83"/>
      <c r="P513" s="83"/>
      <c r="Q513" s="83"/>
      <c r="R513" s="83"/>
      <c r="S513" s="8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82"/>
      <c r="B514" s="82"/>
      <c r="C514" s="82"/>
      <c r="D514" s="82"/>
      <c r="E514" s="82"/>
      <c r="F514" s="82"/>
      <c r="G514" s="82"/>
      <c r="H514" s="83"/>
      <c r="I514" s="84"/>
      <c r="J514" s="84"/>
      <c r="K514" s="83"/>
      <c r="L514" s="85"/>
      <c r="M514" s="83"/>
      <c r="N514" s="83"/>
      <c r="O514" s="83"/>
      <c r="P514" s="83"/>
      <c r="Q514" s="83"/>
      <c r="R514" s="83"/>
      <c r="S514" s="8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82"/>
      <c r="B515" s="82"/>
      <c r="C515" s="82"/>
      <c r="D515" s="82"/>
      <c r="E515" s="82"/>
      <c r="F515" s="82"/>
      <c r="G515" s="82"/>
      <c r="H515" s="83"/>
      <c r="I515" s="84"/>
      <c r="J515" s="84"/>
      <c r="K515" s="83"/>
      <c r="L515" s="85"/>
      <c r="M515" s="83"/>
      <c r="N515" s="83"/>
      <c r="O515" s="83"/>
      <c r="P515" s="83"/>
      <c r="Q515" s="83"/>
      <c r="R515" s="83"/>
      <c r="S515" s="8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82"/>
      <c r="B516" s="82"/>
      <c r="C516" s="82"/>
      <c r="D516" s="82"/>
      <c r="E516" s="82"/>
      <c r="F516" s="82"/>
      <c r="G516" s="82"/>
      <c r="H516" s="83"/>
      <c r="I516" s="84"/>
      <c r="J516" s="84"/>
      <c r="K516" s="83"/>
      <c r="L516" s="85"/>
      <c r="M516" s="83"/>
      <c r="N516" s="83"/>
      <c r="O516" s="83"/>
      <c r="P516" s="83"/>
      <c r="Q516" s="83"/>
      <c r="R516" s="83"/>
      <c r="S516" s="8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82"/>
      <c r="B517" s="82"/>
      <c r="C517" s="82"/>
      <c r="D517" s="82"/>
      <c r="E517" s="82"/>
      <c r="F517" s="82"/>
      <c r="G517" s="82"/>
      <c r="H517" s="83"/>
      <c r="I517" s="84"/>
      <c r="J517" s="84"/>
      <c r="K517" s="83"/>
      <c r="L517" s="85"/>
      <c r="M517" s="83"/>
      <c r="N517" s="83"/>
      <c r="O517" s="83"/>
      <c r="P517" s="83"/>
      <c r="Q517" s="83"/>
      <c r="R517" s="83"/>
      <c r="S517" s="8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82"/>
      <c r="B518" s="82"/>
      <c r="C518" s="82"/>
      <c r="D518" s="82"/>
      <c r="E518" s="82"/>
      <c r="F518" s="82"/>
      <c r="G518" s="82"/>
      <c r="H518" s="83"/>
      <c r="I518" s="84"/>
      <c r="J518" s="84"/>
      <c r="K518" s="83"/>
      <c r="L518" s="85"/>
      <c r="M518" s="83"/>
      <c r="N518" s="83"/>
      <c r="O518" s="83"/>
      <c r="P518" s="83"/>
      <c r="Q518" s="83"/>
      <c r="R518" s="83"/>
      <c r="S518" s="8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82"/>
      <c r="B519" s="82"/>
      <c r="C519" s="82"/>
      <c r="D519" s="82"/>
      <c r="E519" s="82"/>
      <c r="F519" s="82"/>
      <c r="G519" s="82"/>
      <c r="H519" s="83"/>
      <c r="I519" s="84"/>
      <c r="J519" s="84"/>
      <c r="K519" s="83"/>
      <c r="L519" s="85"/>
      <c r="M519" s="83"/>
      <c r="N519" s="83"/>
      <c r="O519" s="83"/>
      <c r="P519" s="83"/>
      <c r="Q519" s="83"/>
      <c r="R519" s="83"/>
      <c r="S519" s="8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82"/>
      <c r="B520" s="82"/>
      <c r="C520" s="82"/>
      <c r="D520" s="82"/>
      <c r="E520" s="82"/>
      <c r="F520" s="82"/>
      <c r="G520" s="82"/>
      <c r="H520" s="83"/>
      <c r="I520" s="84"/>
      <c r="J520" s="84"/>
      <c r="K520" s="83"/>
      <c r="L520" s="85"/>
      <c r="M520" s="83"/>
      <c r="N520" s="83"/>
      <c r="O520" s="83"/>
      <c r="P520" s="83"/>
      <c r="Q520" s="83"/>
      <c r="R520" s="83"/>
      <c r="S520" s="8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82"/>
      <c r="B521" s="82"/>
      <c r="C521" s="82"/>
      <c r="D521" s="82"/>
      <c r="E521" s="82"/>
      <c r="F521" s="82"/>
      <c r="G521" s="82"/>
      <c r="H521" s="83"/>
      <c r="I521" s="84"/>
      <c r="J521" s="84"/>
      <c r="K521" s="83"/>
      <c r="L521" s="85"/>
      <c r="M521" s="83"/>
      <c r="N521" s="83"/>
      <c r="O521" s="83"/>
      <c r="P521" s="83"/>
      <c r="Q521" s="83"/>
      <c r="R521" s="83"/>
      <c r="S521" s="8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82"/>
      <c r="B522" s="82"/>
      <c r="C522" s="82"/>
      <c r="D522" s="82"/>
      <c r="E522" s="82"/>
      <c r="F522" s="82"/>
      <c r="G522" s="82"/>
      <c r="H522" s="83"/>
      <c r="I522" s="84"/>
      <c r="J522" s="84"/>
      <c r="K522" s="83"/>
      <c r="L522" s="85"/>
      <c r="M522" s="83"/>
      <c r="N522" s="83"/>
      <c r="O522" s="83"/>
      <c r="P522" s="83"/>
      <c r="Q522" s="83"/>
      <c r="R522" s="83"/>
      <c r="S522" s="8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82"/>
      <c r="B523" s="82"/>
      <c r="C523" s="82"/>
      <c r="D523" s="82"/>
      <c r="E523" s="82"/>
      <c r="F523" s="82"/>
      <c r="G523" s="82"/>
      <c r="H523" s="83"/>
      <c r="I523" s="84"/>
      <c r="J523" s="84"/>
      <c r="K523" s="83"/>
      <c r="L523" s="85"/>
      <c r="M523" s="83"/>
      <c r="N523" s="83"/>
      <c r="O523" s="83"/>
      <c r="P523" s="83"/>
      <c r="Q523" s="83"/>
      <c r="R523" s="83"/>
      <c r="S523" s="8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82"/>
      <c r="B524" s="82"/>
      <c r="C524" s="82"/>
      <c r="D524" s="82"/>
      <c r="E524" s="82"/>
      <c r="F524" s="82"/>
      <c r="G524" s="82"/>
      <c r="H524" s="83"/>
      <c r="I524" s="84"/>
      <c r="J524" s="84"/>
      <c r="K524" s="83"/>
      <c r="L524" s="85"/>
      <c r="M524" s="83"/>
      <c r="N524" s="83"/>
      <c r="O524" s="83"/>
      <c r="P524" s="83"/>
      <c r="Q524" s="83"/>
      <c r="R524" s="83"/>
      <c r="S524" s="8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82"/>
      <c r="B525" s="82"/>
      <c r="C525" s="82"/>
      <c r="D525" s="82"/>
      <c r="E525" s="82"/>
      <c r="F525" s="82"/>
      <c r="G525" s="82"/>
      <c r="H525" s="83"/>
      <c r="I525" s="84"/>
      <c r="J525" s="84"/>
      <c r="K525" s="83"/>
      <c r="L525" s="85"/>
      <c r="M525" s="83"/>
      <c r="N525" s="83"/>
      <c r="O525" s="83"/>
      <c r="P525" s="83"/>
      <c r="Q525" s="83"/>
      <c r="R525" s="83"/>
      <c r="S525" s="8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82"/>
      <c r="B526" s="82"/>
      <c r="C526" s="82"/>
      <c r="D526" s="82"/>
      <c r="E526" s="82"/>
      <c r="F526" s="82"/>
      <c r="G526" s="82"/>
      <c r="H526" s="83"/>
      <c r="I526" s="84"/>
      <c r="J526" s="84"/>
      <c r="K526" s="83"/>
      <c r="L526" s="85"/>
      <c r="M526" s="83"/>
      <c r="N526" s="83"/>
      <c r="O526" s="83"/>
      <c r="P526" s="83"/>
      <c r="Q526" s="83"/>
      <c r="R526" s="83"/>
      <c r="S526" s="8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82"/>
      <c r="B527" s="82"/>
      <c r="C527" s="82"/>
      <c r="D527" s="82"/>
      <c r="E527" s="82"/>
      <c r="F527" s="82"/>
      <c r="G527" s="82"/>
      <c r="H527" s="83"/>
      <c r="I527" s="84"/>
      <c r="J527" s="84"/>
      <c r="K527" s="83"/>
      <c r="L527" s="85"/>
      <c r="M527" s="83"/>
      <c r="N527" s="83"/>
      <c r="O527" s="83"/>
      <c r="P527" s="83"/>
      <c r="Q527" s="83"/>
      <c r="R527" s="83"/>
      <c r="S527" s="8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82"/>
      <c r="B528" s="82"/>
      <c r="C528" s="82"/>
      <c r="D528" s="82"/>
      <c r="E528" s="82"/>
      <c r="F528" s="82"/>
      <c r="G528" s="82"/>
      <c r="H528" s="83"/>
      <c r="I528" s="84"/>
      <c r="J528" s="84"/>
      <c r="K528" s="83"/>
      <c r="L528" s="85"/>
      <c r="M528" s="83"/>
      <c r="N528" s="83"/>
      <c r="O528" s="83"/>
      <c r="P528" s="83"/>
      <c r="Q528" s="83"/>
      <c r="R528" s="83"/>
      <c r="S528" s="8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82"/>
      <c r="B529" s="82"/>
      <c r="C529" s="82"/>
      <c r="D529" s="82"/>
      <c r="E529" s="82"/>
      <c r="F529" s="82"/>
      <c r="G529" s="82"/>
      <c r="H529" s="83"/>
      <c r="I529" s="84"/>
      <c r="J529" s="84"/>
      <c r="K529" s="83"/>
      <c r="L529" s="85"/>
      <c r="M529" s="83"/>
      <c r="N529" s="83"/>
      <c r="O529" s="83"/>
      <c r="P529" s="83"/>
      <c r="Q529" s="83"/>
      <c r="R529" s="83"/>
      <c r="S529" s="8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82"/>
      <c r="B530" s="82"/>
      <c r="C530" s="82"/>
      <c r="D530" s="82"/>
      <c r="E530" s="82"/>
      <c r="F530" s="82"/>
      <c r="G530" s="82"/>
      <c r="H530" s="83"/>
      <c r="I530" s="84"/>
      <c r="J530" s="84"/>
      <c r="K530" s="83"/>
      <c r="L530" s="85"/>
      <c r="M530" s="83"/>
      <c r="N530" s="83"/>
      <c r="O530" s="83"/>
      <c r="P530" s="83"/>
      <c r="Q530" s="83"/>
      <c r="R530" s="83"/>
      <c r="S530" s="8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82"/>
      <c r="B531" s="82"/>
      <c r="C531" s="82"/>
      <c r="D531" s="82"/>
      <c r="E531" s="82"/>
      <c r="F531" s="82"/>
      <c r="G531" s="82"/>
      <c r="H531" s="83"/>
      <c r="I531" s="84"/>
      <c r="J531" s="84"/>
      <c r="K531" s="83"/>
      <c r="L531" s="85"/>
      <c r="M531" s="83"/>
      <c r="N531" s="83"/>
      <c r="O531" s="83"/>
      <c r="P531" s="83"/>
      <c r="Q531" s="83"/>
      <c r="R531" s="83"/>
      <c r="S531" s="8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82"/>
      <c r="B532" s="82"/>
      <c r="C532" s="82"/>
      <c r="D532" s="82"/>
      <c r="E532" s="82"/>
      <c r="F532" s="82"/>
      <c r="G532" s="82"/>
      <c r="H532" s="83"/>
      <c r="I532" s="84"/>
      <c r="J532" s="84"/>
      <c r="K532" s="83"/>
      <c r="L532" s="85"/>
      <c r="M532" s="83"/>
      <c r="N532" s="83"/>
      <c r="O532" s="83"/>
      <c r="P532" s="83"/>
      <c r="Q532" s="83"/>
      <c r="R532" s="83"/>
      <c r="S532" s="8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82"/>
      <c r="B533" s="82"/>
      <c r="C533" s="82"/>
      <c r="D533" s="82"/>
      <c r="E533" s="82"/>
      <c r="F533" s="82"/>
      <c r="G533" s="82"/>
      <c r="H533" s="83"/>
      <c r="I533" s="84"/>
      <c r="J533" s="84"/>
      <c r="K533" s="83"/>
      <c r="L533" s="85"/>
      <c r="M533" s="83"/>
      <c r="N533" s="83"/>
      <c r="O533" s="83"/>
      <c r="P533" s="83"/>
      <c r="Q533" s="83"/>
      <c r="R533" s="83"/>
      <c r="S533" s="8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82"/>
      <c r="B534" s="82"/>
      <c r="C534" s="82"/>
      <c r="D534" s="82"/>
      <c r="E534" s="82"/>
      <c r="F534" s="82"/>
      <c r="G534" s="82"/>
      <c r="H534" s="83"/>
      <c r="I534" s="84"/>
      <c r="J534" s="84"/>
      <c r="K534" s="83"/>
      <c r="L534" s="85"/>
      <c r="M534" s="83"/>
      <c r="N534" s="83"/>
      <c r="O534" s="83"/>
      <c r="P534" s="83"/>
      <c r="Q534" s="83"/>
      <c r="R534" s="83"/>
      <c r="S534" s="8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82"/>
      <c r="B535" s="82"/>
      <c r="C535" s="82"/>
      <c r="D535" s="82"/>
      <c r="E535" s="82"/>
      <c r="F535" s="82"/>
      <c r="G535" s="82"/>
      <c r="H535" s="83"/>
      <c r="I535" s="84"/>
      <c r="J535" s="84"/>
      <c r="K535" s="83"/>
      <c r="L535" s="85"/>
      <c r="M535" s="83"/>
      <c r="N535" s="83"/>
      <c r="O535" s="83"/>
      <c r="P535" s="83"/>
      <c r="Q535" s="83"/>
      <c r="R535" s="83"/>
      <c r="S535" s="8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82"/>
      <c r="B536" s="82"/>
      <c r="C536" s="82"/>
      <c r="D536" s="82"/>
      <c r="E536" s="82"/>
      <c r="F536" s="82"/>
      <c r="G536" s="82"/>
      <c r="H536" s="83"/>
      <c r="I536" s="84"/>
      <c r="J536" s="84"/>
      <c r="K536" s="83"/>
      <c r="L536" s="85"/>
      <c r="M536" s="83"/>
      <c r="N536" s="83"/>
      <c r="O536" s="83"/>
      <c r="P536" s="83"/>
      <c r="Q536" s="83"/>
      <c r="R536" s="83"/>
      <c r="S536" s="8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82"/>
      <c r="B537" s="82"/>
      <c r="C537" s="82"/>
      <c r="D537" s="82"/>
      <c r="E537" s="82"/>
      <c r="F537" s="82"/>
      <c r="G537" s="82"/>
      <c r="H537" s="83"/>
      <c r="I537" s="84"/>
      <c r="J537" s="84"/>
      <c r="K537" s="83"/>
      <c r="L537" s="85"/>
      <c r="M537" s="83"/>
      <c r="N537" s="83"/>
      <c r="O537" s="83"/>
      <c r="P537" s="83"/>
      <c r="Q537" s="83"/>
      <c r="R537" s="83"/>
      <c r="S537" s="8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82"/>
      <c r="B538" s="82"/>
      <c r="C538" s="82"/>
      <c r="D538" s="82"/>
      <c r="E538" s="82"/>
      <c r="F538" s="82"/>
      <c r="G538" s="82"/>
      <c r="H538" s="83"/>
      <c r="I538" s="84"/>
      <c r="J538" s="84"/>
      <c r="K538" s="83"/>
      <c r="L538" s="85"/>
      <c r="M538" s="83"/>
      <c r="N538" s="83"/>
      <c r="O538" s="83"/>
      <c r="P538" s="83"/>
      <c r="Q538" s="83"/>
      <c r="R538" s="83"/>
      <c r="S538" s="8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82"/>
      <c r="B539" s="82"/>
      <c r="C539" s="82"/>
      <c r="D539" s="82"/>
      <c r="E539" s="82"/>
      <c r="F539" s="82"/>
      <c r="G539" s="82"/>
      <c r="H539" s="83"/>
      <c r="I539" s="84"/>
      <c r="J539" s="84"/>
      <c r="K539" s="83"/>
      <c r="L539" s="85"/>
      <c r="M539" s="83"/>
      <c r="N539" s="83"/>
      <c r="O539" s="83"/>
      <c r="P539" s="83"/>
      <c r="Q539" s="83"/>
      <c r="R539" s="83"/>
      <c r="S539" s="8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82"/>
      <c r="B540" s="82"/>
      <c r="C540" s="82"/>
      <c r="D540" s="82"/>
      <c r="E540" s="82"/>
      <c r="F540" s="82"/>
      <c r="G540" s="82"/>
      <c r="H540" s="83"/>
      <c r="I540" s="84"/>
      <c r="J540" s="84"/>
      <c r="K540" s="83"/>
      <c r="L540" s="85"/>
      <c r="M540" s="83"/>
      <c r="N540" s="83"/>
      <c r="O540" s="83"/>
      <c r="P540" s="83"/>
      <c r="Q540" s="83"/>
      <c r="R540" s="83"/>
      <c r="S540" s="8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82"/>
      <c r="B541" s="82"/>
      <c r="C541" s="82"/>
      <c r="D541" s="82"/>
      <c r="E541" s="82"/>
      <c r="F541" s="82"/>
      <c r="G541" s="82"/>
      <c r="H541" s="83"/>
      <c r="I541" s="84"/>
      <c r="J541" s="84"/>
      <c r="K541" s="83"/>
      <c r="L541" s="85"/>
      <c r="M541" s="83"/>
      <c r="N541" s="83"/>
      <c r="O541" s="83"/>
      <c r="P541" s="83"/>
      <c r="Q541" s="83"/>
      <c r="R541" s="83"/>
      <c r="S541" s="8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82"/>
      <c r="B542" s="82"/>
      <c r="C542" s="82"/>
      <c r="D542" s="82"/>
      <c r="E542" s="82"/>
      <c r="F542" s="82"/>
      <c r="G542" s="82"/>
      <c r="H542" s="83"/>
      <c r="I542" s="84"/>
      <c r="J542" s="84"/>
      <c r="K542" s="83"/>
      <c r="L542" s="85"/>
      <c r="M542" s="83"/>
      <c r="N542" s="83"/>
      <c r="O542" s="83"/>
      <c r="P542" s="83"/>
      <c r="Q542" s="83"/>
      <c r="R542" s="83"/>
      <c r="S542" s="8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82"/>
      <c r="B543" s="82"/>
      <c r="C543" s="82"/>
      <c r="D543" s="82"/>
      <c r="E543" s="82"/>
      <c r="F543" s="82"/>
      <c r="G543" s="82"/>
      <c r="H543" s="83"/>
      <c r="I543" s="84"/>
      <c r="J543" s="84"/>
      <c r="K543" s="83"/>
      <c r="L543" s="85"/>
      <c r="M543" s="83"/>
      <c r="N543" s="83"/>
      <c r="O543" s="83"/>
      <c r="P543" s="83"/>
      <c r="Q543" s="83"/>
      <c r="R543" s="83"/>
      <c r="S543" s="8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82"/>
      <c r="B544" s="82"/>
      <c r="C544" s="82"/>
      <c r="D544" s="82"/>
      <c r="E544" s="82"/>
      <c r="F544" s="82"/>
      <c r="G544" s="82"/>
      <c r="H544" s="83"/>
      <c r="I544" s="84"/>
      <c r="J544" s="84"/>
      <c r="K544" s="83"/>
      <c r="L544" s="85"/>
      <c r="M544" s="83"/>
      <c r="N544" s="83"/>
      <c r="O544" s="83"/>
      <c r="P544" s="83"/>
      <c r="Q544" s="83"/>
      <c r="R544" s="83"/>
      <c r="S544" s="8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82"/>
      <c r="B545" s="82"/>
      <c r="C545" s="82"/>
      <c r="D545" s="82"/>
      <c r="E545" s="82"/>
      <c r="F545" s="82"/>
      <c r="G545" s="82"/>
      <c r="H545" s="83"/>
      <c r="I545" s="84"/>
      <c r="J545" s="84"/>
      <c r="K545" s="83"/>
      <c r="L545" s="85"/>
      <c r="M545" s="83"/>
      <c r="N545" s="83"/>
      <c r="O545" s="83"/>
      <c r="P545" s="83"/>
      <c r="Q545" s="83"/>
      <c r="R545" s="83"/>
      <c r="S545" s="8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82"/>
      <c r="B546" s="82"/>
      <c r="C546" s="82"/>
      <c r="D546" s="82"/>
      <c r="E546" s="82"/>
      <c r="F546" s="82"/>
      <c r="G546" s="82"/>
      <c r="H546" s="83"/>
      <c r="I546" s="84"/>
      <c r="J546" s="84"/>
      <c r="K546" s="83"/>
      <c r="L546" s="85"/>
      <c r="M546" s="83"/>
      <c r="N546" s="83"/>
      <c r="O546" s="83"/>
      <c r="P546" s="83"/>
      <c r="Q546" s="83"/>
      <c r="R546" s="83"/>
      <c r="S546" s="8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82"/>
      <c r="B547" s="82"/>
      <c r="C547" s="82"/>
      <c r="D547" s="82"/>
      <c r="E547" s="82"/>
      <c r="F547" s="82"/>
      <c r="G547" s="82"/>
      <c r="H547" s="83"/>
      <c r="I547" s="84"/>
      <c r="J547" s="84"/>
      <c r="K547" s="83"/>
      <c r="L547" s="85"/>
      <c r="M547" s="83"/>
      <c r="N547" s="83"/>
      <c r="O547" s="83"/>
      <c r="P547" s="83"/>
      <c r="Q547" s="83"/>
      <c r="R547" s="83"/>
      <c r="S547" s="8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82"/>
      <c r="B548" s="82"/>
      <c r="C548" s="82"/>
      <c r="D548" s="82"/>
      <c r="E548" s="82"/>
      <c r="F548" s="82"/>
      <c r="G548" s="82"/>
      <c r="H548" s="83"/>
      <c r="I548" s="84"/>
      <c r="J548" s="84"/>
      <c r="K548" s="83"/>
      <c r="L548" s="85"/>
      <c r="M548" s="83"/>
      <c r="N548" s="83"/>
      <c r="O548" s="83"/>
      <c r="P548" s="83"/>
      <c r="Q548" s="83"/>
      <c r="R548" s="83"/>
      <c r="S548" s="8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82"/>
      <c r="B549" s="82"/>
      <c r="C549" s="82"/>
      <c r="D549" s="82"/>
      <c r="E549" s="82"/>
      <c r="F549" s="82"/>
      <c r="G549" s="82"/>
      <c r="H549" s="83"/>
      <c r="I549" s="84"/>
      <c r="J549" s="84"/>
      <c r="K549" s="83"/>
      <c r="L549" s="85"/>
      <c r="M549" s="83"/>
      <c r="N549" s="83"/>
      <c r="O549" s="83"/>
      <c r="P549" s="83"/>
      <c r="Q549" s="83"/>
      <c r="R549" s="83"/>
      <c r="S549" s="8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82"/>
      <c r="B550" s="82"/>
      <c r="C550" s="82"/>
      <c r="D550" s="82"/>
      <c r="E550" s="82"/>
      <c r="F550" s="82"/>
      <c r="G550" s="82"/>
      <c r="H550" s="83"/>
      <c r="I550" s="84"/>
      <c r="J550" s="84"/>
      <c r="K550" s="83"/>
      <c r="L550" s="85"/>
      <c r="M550" s="83"/>
      <c r="N550" s="83"/>
      <c r="O550" s="83"/>
      <c r="P550" s="83"/>
      <c r="Q550" s="83"/>
      <c r="R550" s="83"/>
      <c r="S550" s="8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82"/>
      <c r="B551" s="82"/>
      <c r="C551" s="82"/>
      <c r="D551" s="82"/>
      <c r="E551" s="82"/>
      <c r="F551" s="82"/>
      <c r="G551" s="82"/>
      <c r="H551" s="83"/>
      <c r="I551" s="84"/>
      <c r="J551" s="84"/>
      <c r="K551" s="83"/>
      <c r="L551" s="85"/>
      <c r="M551" s="83"/>
      <c r="N551" s="83"/>
      <c r="O551" s="83"/>
      <c r="P551" s="83"/>
      <c r="Q551" s="83"/>
      <c r="R551" s="83"/>
      <c r="S551" s="8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82"/>
      <c r="B552" s="82"/>
      <c r="C552" s="82"/>
      <c r="D552" s="82"/>
      <c r="E552" s="82"/>
      <c r="F552" s="82"/>
      <c r="G552" s="82"/>
      <c r="H552" s="83"/>
      <c r="I552" s="84"/>
      <c r="J552" s="84"/>
      <c r="K552" s="83"/>
      <c r="L552" s="85"/>
      <c r="M552" s="83"/>
      <c r="N552" s="83"/>
      <c r="O552" s="83"/>
      <c r="P552" s="83"/>
      <c r="Q552" s="83"/>
      <c r="R552" s="83"/>
      <c r="S552" s="8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82"/>
      <c r="B553" s="82"/>
      <c r="C553" s="82"/>
      <c r="D553" s="82"/>
      <c r="E553" s="82"/>
      <c r="F553" s="82"/>
      <c r="G553" s="82"/>
      <c r="H553" s="83"/>
      <c r="I553" s="84"/>
      <c r="J553" s="84"/>
      <c r="K553" s="83"/>
      <c r="L553" s="85"/>
      <c r="M553" s="83"/>
      <c r="N553" s="83"/>
      <c r="O553" s="83"/>
      <c r="P553" s="83"/>
      <c r="Q553" s="83"/>
      <c r="R553" s="83"/>
      <c r="S553" s="8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82"/>
      <c r="B554" s="82"/>
      <c r="C554" s="82"/>
      <c r="D554" s="82"/>
      <c r="E554" s="82"/>
      <c r="F554" s="82"/>
      <c r="G554" s="82"/>
      <c r="H554" s="83"/>
      <c r="I554" s="84"/>
      <c r="J554" s="84"/>
      <c r="K554" s="83"/>
      <c r="L554" s="85"/>
      <c r="M554" s="83"/>
      <c r="N554" s="83"/>
      <c r="O554" s="83"/>
      <c r="P554" s="83"/>
      <c r="Q554" s="83"/>
      <c r="R554" s="83"/>
      <c r="S554" s="8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82"/>
      <c r="B555" s="82"/>
      <c r="C555" s="82"/>
      <c r="D555" s="82"/>
      <c r="E555" s="82"/>
      <c r="F555" s="82"/>
      <c r="G555" s="82"/>
      <c r="H555" s="83"/>
      <c r="I555" s="84"/>
      <c r="J555" s="84"/>
      <c r="K555" s="83"/>
      <c r="L555" s="85"/>
      <c r="M555" s="83"/>
      <c r="N555" s="83"/>
      <c r="O555" s="83"/>
      <c r="P555" s="83"/>
      <c r="Q555" s="83"/>
      <c r="R555" s="83"/>
      <c r="S555" s="8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82"/>
      <c r="B556" s="82"/>
      <c r="C556" s="82"/>
      <c r="D556" s="82"/>
      <c r="E556" s="82"/>
      <c r="F556" s="82"/>
      <c r="G556" s="82"/>
      <c r="H556" s="83"/>
      <c r="I556" s="84"/>
      <c r="J556" s="84"/>
      <c r="K556" s="83"/>
      <c r="L556" s="85"/>
      <c r="M556" s="83"/>
      <c r="N556" s="83"/>
      <c r="O556" s="83"/>
      <c r="P556" s="83"/>
      <c r="Q556" s="83"/>
      <c r="R556" s="83"/>
      <c r="S556" s="8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82"/>
      <c r="B557" s="82"/>
      <c r="C557" s="82"/>
      <c r="D557" s="82"/>
      <c r="E557" s="82"/>
      <c r="F557" s="82"/>
      <c r="G557" s="82"/>
      <c r="H557" s="83"/>
      <c r="I557" s="84"/>
      <c r="J557" s="84"/>
      <c r="K557" s="83"/>
      <c r="L557" s="85"/>
      <c r="M557" s="83"/>
      <c r="N557" s="83"/>
      <c r="O557" s="83"/>
      <c r="P557" s="83"/>
      <c r="Q557" s="83"/>
      <c r="R557" s="83"/>
      <c r="S557" s="8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82"/>
      <c r="B558" s="82"/>
      <c r="C558" s="82"/>
      <c r="D558" s="82"/>
      <c r="E558" s="82"/>
      <c r="F558" s="82"/>
      <c r="G558" s="82"/>
      <c r="H558" s="83"/>
      <c r="I558" s="84"/>
      <c r="J558" s="84"/>
      <c r="K558" s="83"/>
      <c r="L558" s="85"/>
      <c r="M558" s="83"/>
      <c r="N558" s="83"/>
      <c r="O558" s="83"/>
      <c r="P558" s="83"/>
      <c r="Q558" s="83"/>
      <c r="R558" s="83"/>
      <c r="S558" s="8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82"/>
      <c r="B559" s="82"/>
      <c r="C559" s="82"/>
      <c r="D559" s="82"/>
      <c r="E559" s="82"/>
      <c r="F559" s="82"/>
      <c r="G559" s="82"/>
      <c r="H559" s="83"/>
      <c r="I559" s="84"/>
      <c r="J559" s="84"/>
      <c r="K559" s="83"/>
      <c r="L559" s="85"/>
      <c r="M559" s="83"/>
      <c r="N559" s="83"/>
      <c r="O559" s="83"/>
      <c r="P559" s="83"/>
      <c r="Q559" s="83"/>
      <c r="R559" s="83"/>
      <c r="S559" s="8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82"/>
      <c r="B560" s="82"/>
      <c r="C560" s="82"/>
      <c r="D560" s="82"/>
      <c r="E560" s="82"/>
      <c r="F560" s="82"/>
      <c r="G560" s="82"/>
      <c r="H560" s="83"/>
      <c r="I560" s="84"/>
      <c r="J560" s="84"/>
      <c r="K560" s="83"/>
      <c r="L560" s="85"/>
      <c r="M560" s="83"/>
      <c r="N560" s="83"/>
      <c r="O560" s="83"/>
      <c r="P560" s="83"/>
      <c r="Q560" s="83"/>
      <c r="R560" s="83"/>
      <c r="S560" s="8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82"/>
      <c r="B561" s="82"/>
      <c r="C561" s="82"/>
      <c r="D561" s="82"/>
      <c r="E561" s="82"/>
      <c r="F561" s="82"/>
      <c r="G561" s="82"/>
      <c r="H561" s="83"/>
      <c r="I561" s="84"/>
      <c r="J561" s="84"/>
      <c r="K561" s="83"/>
      <c r="L561" s="85"/>
      <c r="M561" s="83"/>
      <c r="N561" s="83"/>
      <c r="O561" s="83"/>
      <c r="P561" s="83"/>
      <c r="Q561" s="83"/>
      <c r="R561" s="83"/>
      <c r="S561" s="8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82"/>
      <c r="B562" s="82"/>
      <c r="C562" s="82"/>
      <c r="D562" s="82"/>
      <c r="E562" s="82"/>
      <c r="F562" s="82"/>
      <c r="G562" s="82"/>
      <c r="H562" s="83"/>
      <c r="I562" s="84"/>
      <c r="J562" s="84"/>
      <c r="K562" s="83"/>
      <c r="L562" s="85"/>
      <c r="M562" s="83"/>
      <c r="N562" s="83"/>
      <c r="O562" s="83"/>
      <c r="P562" s="83"/>
      <c r="Q562" s="83"/>
      <c r="R562" s="83"/>
      <c r="S562" s="8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A563" s="82"/>
      <c r="B563" s="82"/>
      <c r="C563" s="82"/>
      <c r="D563" s="82"/>
      <c r="E563" s="82"/>
      <c r="F563" s="82"/>
      <c r="G563" s="82"/>
      <c r="H563" s="83"/>
      <c r="I563" s="84"/>
      <c r="J563" s="84"/>
      <c r="K563" s="83"/>
      <c r="L563" s="85"/>
      <c r="M563" s="83"/>
      <c r="N563" s="83"/>
      <c r="O563" s="83"/>
      <c r="P563" s="83"/>
      <c r="Q563" s="83"/>
      <c r="R563" s="83"/>
      <c r="S563" s="8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>
      <c r="A564" s="82"/>
      <c r="B564" s="82"/>
      <c r="C564" s="82"/>
      <c r="D564" s="82"/>
      <c r="E564" s="82"/>
      <c r="F564" s="82"/>
      <c r="G564" s="82"/>
      <c r="H564" s="83"/>
      <c r="I564" s="84"/>
      <c r="J564" s="84"/>
      <c r="K564" s="83"/>
      <c r="L564" s="85"/>
      <c r="M564" s="83"/>
      <c r="N564" s="83"/>
      <c r="O564" s="83"/>
      <c r="P564" s="83"/>
      <c r="Q564" s="83"/>
      <c r="R564" s="83"/>
      <c r="S564" s="8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>
      <c r="A565" s="82"/>
      <c r="B565" s="82"/>
      <c r="C565" s="82"/>
      <c r="D565" s="82"/>
      <c r="E565" s="82"/>
      <c r="F565" s="82"/>
      <c r="G565" s="82"/>
      <c r="H565" s="83"/>
      <c r="I565" s="84"/>
      <c r="J565" s="84"/>
      <c r="K565" s="83"/>
      <c r="L565" s="85"/>
      <c r="M565" s="83"/>
      <c r="N565" s="83"/>
      <c r="O565" s="83"/>
      <c r="P565" s="83"/>
      <c r="Q565" s="83"/>
      <c r="R565" s="83"/>
      <c r="S565" s="8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>
      <c r="A566" s="82"/>
      <c r="B566" s="82"/>
      <c r="C566" s="82"/>
      <c r="D566" s="82"/>
      <c r="E566" s="82"/>
      <c r="F566" s="82"/>
      <c r="G566" s="82"/>
      <c r="H566" s="83"/>
      <c r="I566" s="84"/>
      <c r="J566" s="84"/>
      <c r="K566" s="83"/>
      <c r="L566" s="85"/>
      <c r="M566" s="83"/>
      <c r="N566" s="83"/>
      <c r="O566" s="83"/>
      <c r="P566" s="83"/>
      <c r="Q566" s="83"/>
      <c r="R566" s="83"/>
      <c r="S566" s="8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>
      <c r="A567" s="82"/>
      <c r="B567" s="82"/>
      <c r="C567" s="82"/>
      <c r="D567" s="82"/>
      <c r="E567" s="82"/>
      <c r="F567" s="82"/>
      <c r="G567" s="82"/>
      <c r="H567" s="83"/>
      <c r="I567" s="84"/>
      <c r="J567" s="84"/>
      <c r="K567" s="83"/>
      <c r="L567" s="85"/>
      <c r="M567" s="83"/>
      <c r="N567" s="83"/>
      <c r="O567" s="83"/>
      <c r="P567" s="83"/>
      <c r="Q567" s="83"/>
      <c r="R567" s="83"/>
      <c r="S567" s="8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>
      <c r="A568" s="82"/>
      <c r="B568" s="82"/>
      <c r="C568" s="82"/>
      <c r="D568" s="82"/>
      <c r="E568" s="82"/>
      <c r="F568" s="82"/>
      <c r="G568" s="82"/>
      <c r="H568" s="83"/>
      <c r="I568" s="84"/>
      <c r="J568" s="84"/>
      <c r="K568" s="83"/>
      <c r="L568" s="85"/>
      <c r="M568" s="83"/>
      <c r="N568" s="83"/>
      <c r="O568" s="83"/>
      <c r="P568" s="83"/>
      <c r="Q568" s="83"/>
      <c r="R568" s="83"/>
      <c r="S568" s="8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>
      <c r="A569" s="82"/>
      <c r="B569" s="82"/>
      <c r="C569" s="82"/>
      <c r="D569" s="82"/>
      <c r="E569" s="82"/>
      <c r="F569" s="82"/>
      <c r="G569" s="82"/>
      <c r="H569" s="83"/>
      <c r="I569" s="84"/>
      <c r="J569" s="84"/>
      <c r="K569" s="83"/>
      <c r="L569" s="85"/>
      <c r="M569" s="83"/>
      <c r="N569" s="83"/>
      <c r="O569" s="83"/>
      <c r="P569" s="83"/>
      <c r="Q569" s="83"/>
      <c r="R569" s="83"/>
      <c r="S569" s="8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>
      <c r="A570" s="82"/>
      <c r="B570" s="82"/>
      <c r="C570" s="82"/>
      <c r="D570" s="82"/>
      <c r="E570" s="82"/>
      <c r="F570" s="82"/>
      <c r="G570" s="82"/>
      <c r="H570" s="83"/>
      <c r="I570" s="84"/>
      <c r="J570" s="84"/>
      <c r="K570" s="83"/>
      <c r="L570" s="85"/>
      <c r="M570" s="83"/>
      <c r="N570" s="83"/>
      <c r="O570" s="83"/>
      <c r="P570" s="83"/>
      <c r="Q570" s="83"/>
      <c r="R570" s="83"/>
      <c r="S570" s="8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>
      <c r="A571" s="82"/>
      <c r="B571" s="82"/>
      <c r="C571" s="82"/>
      <c r="D571" s="82"/>
      <c r="E571" s="82"/>
      <c r="F571" s="82"/>
      <c r="G571" s="82"/>
      <c r="H571" s="83"/>
      <c r="I571" s="84"/>
      <c r="J571" s="84"/>
      <c r="K571" s="83"/>
      <c r="L571" s="85"/>
      <c r="M571" s="83"/>
      <c r="N571" s="83"/>
      <c r="O571" s="83"/>
      <c r="P571" s="83"/>
      <c r="Q571" s="83"/>
      <c r="R571" s="83"/>
      <c r="S571" s="8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>
      <c r="A572" s="82"/>
      <c r="B572" s="82"/>
      <c r="C572" s="82"/>
      <c r="D572" s="82"/>
      <c r="E572" s="82"/>
      <c r="F572" s="82"/>
      <c r="G572" s="82"/>
      <c r="H572" s="83"/>
      <c r="I572" s="84"/>
      <c r="J572" s="84"/>
      <c r="K572" s="83"/>
      <c r="L572" s="85"/>
      <c r="M572" s="83"/>
      <c r="N572" s="83"/>
      <c r="O572" s="83"/>
      <c r="P572" s="83"/>
      <c r="Q572" s="83"/>
      <c r="R572" s="83"/>
      <c r="S572" s="8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>
      <c r="A573" s="82"/>
      <c r="B573" s="82"/>
      <c r="C573" s="82"/>
      <c r="D573" s="82"/>
      <c r="E573" s="82"/>
      <c r="F573" s="82"/>
      <c r="G573" s="82"/>
      <c r="H573" s="83"/>
      <c r="I573" s="84"/>
      <c r="J573" s="84"/>
      <c r="K573" s="83"/>
      <c r="L573" s="85"/>
      <c r="M573" s="83"/>
      <c r="N573" s="83"/>
      <c r="O573" s="83"/>
      <c r="P573" s="83"/>
      <c r="Q573" s="83"/>
      <c r="R573" s="83"/>
      <c r="S573" s="8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>
      <c r="A574" s="82"/>
      <c r="B574" s="82"/>
      <c r="C574" s="82"/>
      <c r="D574" s="82"/>
      <c r="E574" s="82"/>
      <c r="F574" s="82"/>
      <c r="G574" s="82"/>
      <c r="H574" s="83"/>
      <c r="I574" s="84"/>
      <c r="J574" s="84"/>
      <c r="K574" s="83"/>
      <c r="L574" s="85"/>
      <c r="M574" s="83"/>
      <c r="N574" s="83"/>
      <c r="O574" s="83"/>
      <c r="P574" s="83"/>
      <c r="Q574" s="83"/>
      <c r="R574" s="83"/>
      <c r="S574" s="8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>
      <c r="A575" s="82"/>
      <c r="B575" s="82"/>
      <c r="C575" s="82"/>
      <c r="D575" s="82"/>
      <c r="E575" s="82"/>
      <c r="F575" s="82"/>
      <c r="G575" s="82"/>
      <c r="H575" s="83"/>
      <c r="I575" s="84"/>
      <c r="J575" s="84"/>
      <c r="K575" s="83"/>
      <c r="L575" s="85"/>
      <c r="M575" s="83"/>
      <c r="N575" s="83"/>
      <c r="O575" s="83"/>
      <c r="P575" s="83"/>
      <c r="Q575" s="83"/>
      <c r="R575" s="83"/>
      <c r="S575" s="8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>
      <c r="A576" s="82"/>
      <c r="B576" s="82"/>
      <c r="C576" s="82"/>
      <c r="D576" s="82"/>
      <c r="E576" s="82"/>
      <c r="F576" s="82"/>
      <c r="G576" s="82"/>
      <c r="H576" s="83"/>
      <c r="I576" s="84"/>
      <c r="J576" s="84"/>
      <c r="K576" s="83"/>
      <c r="L576" s="85"/>
      <c r="M576" s="83"/>
      <c r="N576" s="83"/>
      <c r="O576" s="83"/>
      <c r="P576" s="83"/>
      <c r="Q576" s="83"/>
      <c r="R576" s="83"/>
      <c r="S576" s="8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>
      <c r="A577" s="82"/>
      <c r="B577" s="82"/>
      <c r="C577" s="82"/>
      <c r="D577" s="82"/>
      <c r="E577" s="82"/>
      <c r="F577" s="82"/>
      <c r="G577" s="82"/>
      <c r="H577" s="83"/>
      <c r="I577" s="84"/>
      <c r="J577" s="84"/>
      <c r="K577" s="83"/>
      <c r="L577" s="85"/>
      <c r="M577" s="83"/>
      <c r="N577" s="83"/>
      <c r="O577" s="83"/>
      <c r="P577" s="83"/>
      <c r="Q577" s="83"/>
      <c r="R577" s="83"/>
      <c r="S577" s="8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>
      <c r="A578" s="82"/>
      <c r="B578" s="82"/>
      <c r="C578" s="82"/>
      <c r="D578" s="82"/>
      <c r="E578" s="82"/>
      <c r="F578" s="82"/>
      <c r="G578" s="82"/>
      <c r="H578" s="83"/>
      <c r="I578" s="84"/>
      <c r="J578" s="84"/>
      <c r="K578" s="83"/>
      <c r="L578" s="85"/>
      <c r="M578" s="83"/>
      <c r="N578" s="83"/>
      <c r="O578" s="83"/>
      <c r="P578" s="83"/>
      <c r="Q578" s="83"/>
      <c r="R578" s="83"/>
      <c r="S578" s="8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>
      <c r="A579" s="82"/>
      <c r="B579" s="82"/>
      <c r="C579" s="82"/>
      <c r="D579" s="82"/>
      <c r="E579" s="82"/>
      <c r="F579" s="82"/>
      <c r="G579" s="82"/>
      <c r="H579" s="83"/>
      <c r="I579" s="84"/>
      <c r="J579" s="84"/>
      <c r="K579" s="83"/>
      <c r="L579" s="85"/>
      <c r="M579" s="83"/>
      <c r="N579" s="83"/>
      <c r="O579" s="83"/>
      <c r="P579" s="83"/>
      <c r="Q579" s="83"/>
      <c r="R579" s="83"/>
      <c r="S579" s="8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>
      <c r="A580" s="82"/>
      <c r="B580" s="82"/>
      <c r="C580" s="82"/>
      <c r="D580" s="82"/>
      <c r="E580" s="82"/>
      <c r="F580" s="82"/>
      <c r="G580" s="82"/>
      <c r="H580" s="83"/>
      <c r="I580" s="84"/>
      <c r="J580" s="84"/>
      <c r="K580" s="83"/>
      <c r="L580" s="85"/>
      <c r="M580" s="83"/>
      <c r="N580" s="83"/>
      <c r="O580" s="83"/>
      <c r="P580" s="83"/>
      <c r="Q580" s="83"/>
      <c r="R580" s="83"/>
      <c r="S580" s="8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>
      <c r="A581" s="82"/>
      <c r="B581" s="82"/>
      <c r="C581" s="82"/>
      <c r="D581" s="82"/>
      <c r="E581" s="82"/>
      <c r="F581" s="82"/>
      <c r="G581" s="82"/>
      <c r="H581" s="83"/>
      <c r="I581" s="84"/>
      <c r="J581" s="84"/>
      <c r="K581" s="83"/>
      <c r="L581" s="85"/>
      <c r="M581" s="83"/>
      <c r="N581" s="83"/>
      <c r="O581" s="83"/>
      <c r="P581" s="83"/>
      <c r="Q581" s="83"/>
      <c r="R581" s="83"/>
      <c r="S581" s="8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>
      <c r="A582" s="82"/>
      <c r="B582" s="82"/>
      <c r="C582" s="82"/>
      <c r="D582" s="82"/>
      <c r="E582" s="82"/>
      <c r="F582" s="82"/>
      <c r="G582" s="82"/>
      <c r="H582" s="83"/>
      <c r="I582" s="84"/>
      <c r="J582" s="84"/>
      <c r="K582" s="83"/>
      <c r="L582" s="85"/>
      <c r="M582" s="83"/>
      <c r="N582" s="83"/>
      <c r="O582" s="83"/>
      <c r="P582" s="83"/>
      <c r="Q582" s="83"/>
      <c r="R582" s="83"/>
      <c r="S582" s="8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>
      <c r="A583" s="82"/>
      <c r="B583" s="82"/>
      <c r="C583" s="82"/>
      <c r="D583" s="82"/>
      <c r="E583" s="82"/>
      <c r="F583" s="82"/>
      <c r="G583" s="82"/>
      <c r="H583" s="83"/>
      <c r="I583" s="84"/>
      <c r="J583" s="84"/>
      <c r="K583" s="83"/>
      <c r="L583" s="85"/>
      <c r="M583" s="83"/>
      <c r="N583" s="83"/>
      <c r="O583" s="83"/>
      <c r="P583" s="83"/>
      <c r="Q583" s="83"/>
      <c r="R583" s="83"/>
      <c r="S583" s="8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>
      <c r="A584" s="82"/>
      <c r="B584" s="82"/>
      <c r="C584" s="82"/>
      <c r="D584" s="82"/>
      <c r="E584" s="82"/>
      <c r="F584" s="82"/>
      <c r="G584" s="82"/>
      <c r="H584" s="83"/>
      <c r="I584" s="84"/>
      <c r="J584" s="84"/>
      <c r="K584" s="83"/>
      <c r="L584" s="85"/>
      <c r="M584" s="83"/>
      <c r="N584" s="83"/>
      <c r="O584" s="83"/>
      <c r="P584" s="83"/>
      <c r="Q584" s="83"/>
      <c r="R584" s="83"/>
      <c r="S584" s="8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>
      <c r="A585" s="82"/>
      <c r="B585" s="82"/>
      <c r="C585" s="82"/>
      <c r="D585" s="82"/>
      <c r="E585" s="82"/>
      <c r="F585" s="82"/>
      <c r="G585" s="82"/>
      <c r="H585" s="83"/>
      <c r="I585" s="84"/>
      <c r="J585" s="84"/>
      <c r="K585" s="83"/>
      <c r="L585" s="85"/>
      <c r="M585" s="83"/>
      <c r="N585" s="83"/>
      <c r="O585" s="83"/>
      <c r="P585" s="83"/>
      <c r="Q585" s="83"/>
      <c r="R585" s="83"/>
      <c r="S585" s="8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>
      <c r="A586" s="82"/>
      <c r="B586" s="82"/>
      <c r="C586" s="82"/>
      <c r="D586" s="82"/>
      <c r="E586" s="82"/>
      <c r="F586" s="82"/>
      <c r="G586" s="82"/>
      <c r="H586" s="83"/>
      <c r="I586" s="84"/>
      <c r="J586" s="84"/>
      <c r="K586" s="83"/>
      <c r="L586" s="85"/>
      <c r="M586" s="83"/>
      <c r="N586" s="83"/>
      <c r="O586" s="83"/>
      <c r="P586" s="83"/>
      <c r="Q586" s="83"/>
      <c r="R586" s="83"/>
      <c r="S586" s="8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>
      <c r="A587" s="82"/>
      <c r="B587" s="82"/>
      <c r="C587" s="82"/>
      <c r="D587" s="82"/>
      <c r="E587" s="82"/>
      <c r="F587" s="82"/>
      <c r="G587" s="82"/>
      <c r="H587" s="83"/>
      <c r="I587" s="84"/>
      <c r="J587" s="84"/>
      <c r="K587" s="83"/>
      <c r="L587" s="85"/>
      <c r="M587" s="83"/>
      <c r="N587" s="83"/>
      <c r="O587" s="83"/>
      <c r="P587" s="83"/>
      <c r="Q587" s="83"/>
      <c r="R587" s="83"/>
      <c r="S587" s="8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>
      <c r="A588" s="82"/>
      <c r="B588" s="82"/>
      <c r="C588" s="82"/>
      <c r="D588" s="82"/>
      <c r="E588" s="82"/>
      <c r="F588" s="82"/>
      <c r="G588" s="82"/>
      <c r="H588" s="83"/>
      <c r="I588" s="84"/>
      <c r="J588" s="84"/>
      <c r="K588" s="83"/>
      <c r="L588" s="85"/>
      <c r="M588" s="83"/>
      <c r="N588" s="83"/>
      <c r="O588" s="83"/>
      <c r="P588" s="83"/>
      <c r="Q588" s="83"/>
      <c r="R588" s="83"/>
      <c r="S588" s="8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>
      <c r="A589" s="82"/>
      <c r="B589" s="82"/>
      <c r="C589" s="82"/>
      <c r="D589" s="82"/>
      <c r="E589" s="82"/>
      <c r="F589" s="82"/>
      <c r="G589" s="82"/>
      <c r="H589" s="83"/>
      <c r="I589" s="84"/>
      <c r="J589" s="84"/>
      <c r="K589" s="83"/>
      <c r="L589" s="85"/>
      <c r="M589" s="83"/>
      <c r="N589" s="83"/>
      <c r="O589" s="83"/>
      <c r="P589" s="83"/>
      <c r="Q589" s="83"/>
      <c r="R589" s="83"/>
      <c r="S589" s="8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>
      <c r="A590" s="82"/>
      <c r="B590" s="82"/>
      <c r="C590" s="82"/>
      <c r="D590" s="82"/>
      <c r="E590" s="82"/>
      <c r="F590" s="82"/>
      <c r="G590" s="82"/>
      <c r="H590" s="83"/>
      <c r="I590" s="84"/>
      <c r="J590" s="84"/>
      <c r="K590" s="83"/>
      <c r="L590" s="85"/>
      <c r="M590" s="83"/>
      <c r="N590" s="83"/>
      <c r="O590" s="83"/>
      <c r="P590" s="83"/>
      <c r="Q590" s="83"/>
      <c r="R590" s="83"/>
      <c r="S590" s="8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>
      <c r="A591" s="82"/>
      <c r="B591" s="82"/>
      <c r="C591" s="82"/>
      <c r="D591" s="82"/>
      <c r="E591" s="82"/>
      <c r="F591" s="82"/>
      <c r="G591" s="82"/>
      <c r="H591" s="83"/>
      <c r="I591" s="84"/>
      <c r="J591" s="84"/>
      <c r="K591" s="83"/>
      <c r="L591" s="85"/>
      <c r="M591" s="83"/>
      <c r="N591" s="83"/>
      <c r="O591" s="83"/>
      <c r="P591" s="83"/>
      <c r="Q591" s="83"/>
      <c r="R591" s="83"/>
      <c r="S591" s="8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>
      <c r="A592" s="82"/>
      <c r="B592" s="82"/>
      <c r="C592" s="82"/>
      <c r="D592" s="82"/>
      <c r="E592" s="82"/>
      <c r="F592" s="82"/>
      <c r="G592" s="82"/>
      <c r="H592" s="83"/>
      <c r="I592" s="84"/>
      <c r="J592" s="84"/>
      <c r="K592" s="83"/>
      <c r="L592" s="85"/>
      <c r="M592" s="83"/>
      <c r="N592" s="83"/>
      <c r="O592" s="83"/>
      <c r="P592" s="83"/>
      <c r="Q592" s="83"/>
      <c r="R592" s="83"/>
      <c r="S592" s="8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>
      <c r="A593" s="82"/>
      <c r="B593" s="82"/>
      <c r="C593" s="82"/>
      <c r="D593" s="82"/>
      <c r="E593" s="82"/>
      <c r="F593" s="82"/>
      <c r="G593" s="82"/>
      <c r="H593" s="83"/>
      <c r="I593" s="84"/>
      <c r="J593" s="84"/>
      <c r="K593" s="83"/>
      <c r="L593" s="85"/>
      <c r="M593" s="83"/>
      <c r="N593" s="83"/>
      <c r="O593" s="83"/>
      <c r="P593" s="83"/>
      <c r="Q593" s="83"/>
      <c r="R593" s="83"/>
      <c r="S593" s="8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>
      <c r="A594" s="82"/>
      <c r="B594" s="82"/>
      <c r="C594" s="82"/>
      <c r="D594" s="82"/>
      <c r="E594" s="82"/>
      <c r="F594" s="82"/>
      <c r="G594" s="82"/>
      <c r="H594" s="83"/>
      <c r="I594" s="84"/>
      <c r="J594" s="84"/>
      <c r="K594" s="83"/>
      <c r="L594" s="85"/>
      <c r="M594" s="83"/>
      <c r="N594" s="83"/>
      <c r="O594" s="83"/>
      <c r="P594" s="83"/>
      <c r="Q594" s="83"/>
      <c r="R594" s="83"/>
      <c r="S594" s="8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>
      <c r="A595" s="82"/>
      <c r="B595" s="82"/>
      <c r="C595" s="82"/>
      <c r="D595" s="82"/>
      <c r="E595" s="82"/>
      <c r="F595" s="82"/>
      <c r="G595" s="82"/>
      <c r="H595" s="83"/>
      <c r="I595" s="84"/>
      <c r="J595" s="84"/>
      <c r="K595" s="83"/>
      <c r="L595" s="85"/>
      <c r="M595" s="83"/>
      <c r="N595" s="83"/>
      <c r="O595" s="83"/>
      <c r="P595" s="83"/>
      <c r="Q595" s="83"/>
      <c r="R595" s="83"/>
      <c r="S595" s="8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>
      <c r="A596" s="82"/>
      <c r="B596" s="82"/>
      <c r="C596" s="82"/>
      <c r="D596" s="82"/>
      <c r="E596" s="82"/>
      <c r="F596" s="82"/>
      <c r="G596" s="82"/>
      <c r="H596" s="83"/>
      <c r="I596" s="84"/>
      <c r="J596" s="84"/>
      <c r="K596" s="83"/>
      <c r="L596" s="85"/>
      <c r="M596" s="83"/>
      <c r="N596" s="83"/>
      <c r="O596" s="83"/>
      <c r="P596" s="83"/>
      <c r="Q596" s="83"/>
      <c r="R596" s="83"/>
      <c r="S596" s="8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>
      <c r="A597" s="82"/>
      <c r="B597" s="82"/>
      <c r="C597" s="82"/>
      <c r="D597" s="82"/>
      <c r="E597" s="82"/>
      <c r="F597" s="82"/>
      <c r="G597" s="82"/>
      <c r="H597" s="83"/>
      <c r="I597" s="84"/>
      <c r="J597" s="84"/>
      <c r="K597" s="83"/>
      <c r="L597" s="85"/>
      <c r="M597" s="83"/>
      <c r="N597" s="83"/>
      <c r="O597" s="83"/>
      <c r="P597" s="83"/>
      <c r="Q597" s="83"/>
      <c r="R597" s="83"/>
      <c r="S597" s="8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>
      <c r="A598" s="82"/>
      <c r="B598" s="82"/>
      <c r="C598" s="82"/>
      <c r="D598" s="82"/>
      <c r="E598" s="82"/>
      <c r="F598" s="82"/>
      <c r="G598" s="82"/>
      <c r="H598" s="83"/>
      <c r="I598" s="84"/>
      <c r="J598" s="84"/>
      <c r="K598" s="83"/>
      <c r="L598" s="85"/>
      <c r="M598" s="83"/>
      <c r="N598" s="83"/>
      <c r="O598" s="83"/>
      <c r="P598" s="83"/>
      <c r="Q598" s="83"/>
      <c r="R598" s="83"/>
      <c r="S598" s="8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>
      <c r="A599" s="82"/>
      <c r="B599" s="82"/>
      <c r="C599" s="82"/>
      <c r="D599" s="82"/>
      <c r="E599" s="82"/>
      <c r="F599" s="82"/>
      <c r="G599" s="82"/>
      <c r="H599" s="83"/>
      <c r="I599" s="84"/>
      <c r="J599" s="84"/>
      <c r="K599" s="83"/>
      <c r="L599" s="85"/>
      <c r="M599" s="83"/>
      <c r="N599" s="83"/>
      <c r="O599" s="83"/>
      <c r="P599" s="83"/>
      <c r="Q599" s="83"/>
      <c r="R599" s="83"/>
      <c r="S599" s="8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>
      <c r="A600" s="82"/>
      <c r="B600" s="82"/>
      <c r="C600" s="82"/>
      <c r="D600" s="82"/>
      <c r="E600" s="82"/>
      <c r="F600" s="82"/>
      <c r="G600" s="82"/>
      <c r="H600" s="83"/>
      <c r="I600" s="84"/>
      <c r="J600" s="84"/>
      <c r="K600" s="83"/>
      <c r="L600" s="85"/>
      <c r="M600" s="83"/>
      <c r="N600" s="83"/>
      <c r="O600" s="83"/>
      <c r="P600" s="83"/>
      <c r="Q600" s="83"/>
      <c r="R600" s="83"/>
      <c r="S600" s="8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>
      <c r="A601" s="82"/>
      <c r="B601" s="82"/>
      <c r="C601" s="82"/>
      <c r="D601" s="82"/>
      <c r="E601" s="82"/>
      <c r="F601" s="82"/>
      <c r="G601" s="82"/>
      <c r="H601" s="83"/>
      <c r="I601" s="84"/>
      <c r="J601" s="84"/>
      <c r="K601" s="83"/>
      <c r="L601" s="85"/>
      <c r="M601" s="83"/>
      <c r="N601" s="83"/>
      <c r="O601" s="83"/>
      <c r="P601" s="83"/>
      <c r="Q601" s="83"/>
      <c r="R601" s="83"/>
      <c r="S601" s="8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>
      <c r="A602" s="82"/>
      <c r="B602" s="82"/>
      <c r="C602" s="82"/>
      <c r="D602" s="82"/>
      <c r="E602" s="82"/>
      <c r="F602" s="82"/>
      <c r="G602" s="82"/>
      <c r="H602" s="83"/>
      <c r="I602" s="84"/>
      <c r="J602" s="84"/>
      <c r="K602" s="83"/>
      <c r="L602" s="85"/>
      <c r="M602" s="83"/>
      <c r="N602" s="83"/>
      <c r="O602" s="83"/>
      <c r="P602" s="83"/>
      <c r="Q602" s="83"/>
      <c r="R602" s="83"/>
      <c r="S602" s="8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>
      <c r="A603" s="82"/>
      <c r="B603" s="82"/>
      <c r="C603" s="82"/>
      <c r="D603" s="82"/>
      <c r="E603" s="82"/>
      <c r="F603" s="82"/>
      <c r="G603" s="82"/>
      <c r="H603" s="83"/>
      <c r="I603" s="84"/>
      <c r="J603" s="84"/>
      <c r="K603" s="83"/>
      <c r="L603" s="85"/>
      <c r="M603" s="83"/>
      <c r="N603" s="83"/>
      <c r="O603" s="83"/>
      <c r="P603" s="83"/>
      <c r="Q603" s="83"/>
      <c r="R603" s="83"/>
      <c r="S603" s="8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>
      <c r="A604" s="82"/>
      <c r="B604" s="82"/>
      <c r="C604" s="82"/>
      <c r="D604" s="82"/>
      <c r="E604" s="82"/>
      <c r="F604" s="82"/>
      <c r="G604" s="82"/>
      <c r="H604" s="83"/>
      <c r="I604" s="84"/>
      <c r="J604" s="84"/>
      <c r="K604" s="83"/>
      <c r="L604" s="85"/>
      <c r="M604" s="83"/>
      <c r="N604" s="83"/>
      <c r="O604" s="83"/>
      <c r="P604" s="83"/>
      <c r="Q604" s="83"/>
      <c r="R604" s="83"/>
      <c r="S604" s="8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>
      <c r="A605" s="82"/>
      <c r="B605" s="82"/>
      <c r="C605" s="82"/>
      <c r="D605" s="82"/>
      <c r="E605" s="82"/>
      <c r="F605" s="82"/>
      <c r="G605" s="82"/>
      <c r="H605" s="83"/>
      <c r="I605" s="84"/>
      <c r="J605" s="84"/>
      <c r="K605" s="83"/>
      <c r="L605" s="85"/>
      <c r="M605" s="83"/>
      <c r="N605" s="83"/>
      <c r="O605" s="83"/>
      <c r="P605" s="83"/>
      <c r="Q605" s="83"/>
      <c r="R605" s="83"/>
      <c r="S605" s="8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>
      <c r="A606" s="82"/>
      <c r="B606" s="82"/>
      <c r="C606" s="82"/>
      <c r="D606" s="82"/>
      <c r="E606" s="82"/>
      <c r="F606" s="82"/>
      <c r="G606" s="82"/>
      <c r="H606" s="83"/>
      <c r="I606" s="84"/>
      <c r="J606" s="84"/>
      <c r="K606" s="83"/>
      <c r="L606" s="85"/>
      <c r="M606" s="83"/>
      <c r="N606" s="83"/>
      <c r="O606" s="83"/>
      <c r="P606" s="83"/>
      <c r="Q606" s="83"/>
      <c r="R606" s="83"/>
      <c r="S606" s="8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>
      <c r="A607" s="82"/>
      <c r="B607" s="82"/>
      <c r="C607" s="82"/>
      <c r="D607" s="82"/>
      <c r="E607" s="82"/>
      <c r="F607" s="82"/>
      <c r="G607" s="82"/>
      <c r="H607" s="83"/>
      <c r="I607" s="84"/>
      <c r="J607" s="84"/>
      <c r="K607" s="83"/>
      <c r="L607" s="85"/>
      <c r="M607" s="83"/>
      <c r="N607" s="83"/>
      <c r="O607" s="83"/>
      <c r="P607" s="83"/>
      <c r="Q607" s="83"/>
      <c r="R607" s="83"/>
      <c r="S607" s="8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>
      <c r="A608" s="82"/>
      <c r="B608" s="82"/>
      <c r="C608" s="82"/>
      <c r="D608" s="82"/>
      <c r="E608" s="82"/>
      <c r="F608" s="82"/>
      <c r="G608" s="82"/>
      <c r="H608" s="83"/>
      <c r="I608" s="84"/>
      <c r="J608" s="84"/>
      <c r="K608" s="83"/>
      <c r="L608" s="85"/>
      <c r="M608" s="83"/>
      <c r="N608" s="83"/>
      <c r="O608" s="83"/>
      <c r="P608" s="83"/>
      <c r="Q608" s="83"/>
      <c r="R608" s="83"/>
      <c r="S608" s="8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>
      <c r="A609" s="82"/>
      <c r="B609" s="82"/>
      <c r="C609" s="82"/>
      <c r="D609" s="82"/>
      <c r="E609" s="82"/>
      <c r="F609" s="82"/>
      <c r="G609" s="82"/>
      <c r="H609" s="83"/>
      <c r="I609" s="84"/>
      <c r="J609" s="84"/>
      <c r="K609" s="83"/>
      <c r="L609" s="85"/>
      <c r="M609" s="83"/>
      <c r="N609" s="83"/>
      <c r="O609" s="83"/>
      <c r="P609" s="83"/>
      <c r="Q609" s="83"/>
      <c r="R609" s="83"/>
      <c r="S609" s="8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>
      <c r="A610" s="82"/>
      <c r="B610" s="82"/>
      <c r="C610" s="82"/>
      <c r="D610" s="82"/>
      <c r="E610" s="82"/>
      <c r="F610" s="82"/>
      <c r="G610" s="82"/>
      <c r="H610" s="83"/>
      <c r="I610" s="84"/>
      <c r="J610" s="84"/>
      <c r="K610" s="83"/>
      <c r="L610" s="85"/>
      <c r="M610" s="83"/>
      <c r="N610" s="83"/>
      <c r="O610" s="83"/>
      <c r="P610" s="83"/>
      <c r="Q610" s="83"/>
      <c r="R610" s="83"/>
      <c r="S610" s="8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>
      <c r="A611" s="82"/>
      <c r="B611" s="82"/>
      <c r="C611" s="82"/>
      <c r="D611" s="82"/>
      <c r="E611" s="82"/>
      <c r="F611" s="82"/>
      <c r="G611" s="82"/>
      <c r="H611" s="83"/>
      <c r="I611" s="84"/>
      <c r="J611" s="84"/>
      <c r="K611" s="83"/>
      <c r="L611" s="85"/>
      <c r="M611" s="83"/>
      <c r="N611" s="83"/>
      <c r="O611" s="83"/>
      <c r="P611" s="83"/>
      <c r="Q611" s="83"/>
      <c r="R611" s="83"/>
      <c r="S611" s="8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>
      <c r="A612" s="82"/>
      <c r="B612" s="82"/>
      <c r="C612" s="82"/>
      <c r="D612" s="82"/>
      <c r="E612" s="82"/>
      <c r="F612" s="82"/>
      <c r="G612" s="82"/>
      <c r="H612" s="83"/>
      <c r="I612" s="84"/>
      <c r="J612" s="84"/>
      <c r="K612" s="83"/>
      <c r="L612" s="85"/>
      <c r="M612" s="83"/>
      <c r="N612" s="83"/>
      <c r="O612" s="83"/>
      <c r="P612" s="83"/>
      <c r="Q612" s="83"/>
      <c r="R612" s="83"/>
      <c r="S612" s="8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>
      <c r="A613" s="82"/>
      <c r="B613" s="82"/>
      <c r="C613" s="82"/>
      <c r="D613" s="82"/>
      <c r="E613" s="82"/>
      <c r="F613" s="82"/>
      <c r="G613" s="82"/>
      <c r="H613" s="83"/>
      <c r="I613" s="84"/>
      <c r="J613" s="84"/>
      <c r="K613" s="83"/>
      <c r="L613" s="85"/>
      <c r="M613" s="83"/>
      <c r="N613" s="83"/>
      <c r="O613" s="83"/>
      <c r="P613" s="83"/>
      <c r="Q613" s="83"/>
      <c r="R613" s="83"/>
      <c r="S613" s="8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>
      <c r="A614" s="82"/>
      <c r="B614" s="82"/>
      <c r="C614" s="82"/>
      <c r="D614" s="82"/>
      <c r="E614" s="82"/>
      <c r="F614" s="82"/>
      <c r="G614" s="82"/>
      <c r="H614" s="83"/>
      <c r="I614" s="84"/>
      <c r="J614" s="84"/>
      <c r="K614" s="83"/>
      <c r="L614" s="85"/>
      <c r="M614" s="83"/>
      <c r="N614" s="83"/>
      <c r="O614" s="83"/>
      <c r="P614" s="83"/>
      <c r="Q614" s="83"/>
      <c r="R614" s="83"/>
      <c r="S614" s="8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>
      <c r="A615" s="82"/>
      <c r="B615" s="82"/>
      <c r="C615" s="82"/>
      <c r="D615" s="82"/>
      <c r="E615" s="82"/>
      <c r="F615" s="82"/>
      <c r="G615" s="82"/>
      <c r="H615" s="83"/>
      <c r="I615" s="84"/>
      <c r="J615" s="84"/>
      <c r="K615" s="83"/>
      <c r="L615" s="85"/>
      <c r="M615" s="83"/>
      <c r="N615" s="83"/>
      <c r="O615" s="83"/>
      <c r="P615" s="83"/>
      <c r="Q615" s="83"/>
      <c r="R615" s="83"/>
      <c r="S615" s="8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>
      <c r="A616" s="82"/>
      <c r="B616" s="82"/>
      <c r="C616" s="82"/>
      <c r="D616" s="82"/>
      <c r="E616" s="82"/>
      <c r="F616" s="82"/>
      <c r="G616" s="82"/>
      <c r="H616" s="83"/>
      <c r="I616" s="84"/>
      <c r="J616" s="84"/>
      <c r="K616" s="83"/>
      <c r="L616" s="85"/>
      <c r="M616" s="83"/>
      <c r="N616" s="83"/>
      <c r="O616" s="83"/>
      <c r="P616" s="83"/>
      <c r="Q616" s="83"/>
      <c r="R616" s="83"/>
      <c r="S616" s="8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>
      <c r="A617" s="82"/>
      <c r="B617" s="82"/>
      <c r="C617" s="82"/>
      <c r="D617" s="82"/>
      <c r="E617" s="82"/>
      <c r="F617" s="82"/>
      <c r="G617" s="82"/>
      <c r="H617" s="83"/>
      <c r="I617" s="84"/>
      <c r="J617" s="84"/>
      <c r="K617" s="83"/>
      <c r="L617" s="85"/>
      <c r="M617" s="83"/>
      <c r="N617" s="83"/>
      <c r="O617" s="83"/>
      <c r="P617" s="83"/>
      <c r="Q617" s="83"/>
      <c r="R617" s="83"/>
      <c r="S617" s="8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>
      <c r="A618" s="82"/>
      <c r="B618" s="82"/>
      <c r="C618" s="82"/>
      <c r="D618" s="82"/>
      <c r="E618" s="82"/>
      <c r="F618" s="82"/>
      <c r="G618" s="82"/>
      <c r="H618" s="83"/>
      <c r="I618" s="84"/>
      <c r="J618" s="84"/>
      <c r="K618" s="83"/>
      <c r="L618" s="85"/>
      <c r="M618" s="83"/>
      <c r="N618" s="83"/>
      <c r="O618" s="83"/>
      <c r="P618" s="83"/>
      <c r="Q618" s="83"/>
      <c r="R618" s="83"/>
      <c r="S618" s="8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>
      <c r="A619" s="82"/>
      <c r="B619" s="82"/>
      <c r="C619" s="82"/>
      <c r="D619" s="82"/>
      <c r="E619" s="82"/>
      <c r="F619" s="82"/>
      <c r="G619" s="82"/>
      <c r="H619" s="83"/>
      <c r="I619" s="84"/>
      <c r="J619" s="84"/>
      <c r="K619" s="83"/>
      <c r="L619" s="85"/>
      <c r="M619" s="83"/>
      <c r="N619" s="83"/>
      <c r="O619" s="83"/>
      <c r="P619" s="83"/>
      <c r="Q619" s="83"/>
      <c r="R619" s="83"/>
      <c r="S619" s="8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>
      <c r="A620" s="82"/>
      <c r="B620" s="82"/>
      <c r="C620" s="82"/>
      <c r="D620" s="82"/>
      <c r="E620" s="82"/>
      <c r="F620" s="82"/>
      <c r="G620" s="82"/>
      <c r="H620" s="83"/>
      <c r="I620" s="84"/>
      <c r="J620" s="84"/>
      <c r="K620" s="83"/>
      <c r="L620" s="85"/>
      <c r="M620" s="83"/>
      <c r="N620" s="83"/>
      <c r="O620" s="83"/>
      <c r="P620" s="83"/>
      <c r="Q620" s="83"/>
      <c r="R620" s="83"/>
      <c r="S620" s="8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>
      <c r="A621" s="82"/>
      <c r="B621" s="82"/>
      <c r="C621" s="82"/>
      <c r="D621" s="82"/>
      <c r="E621" s="82"/>
      <c r="F621" s="82"/>
      <c r="G621" s="82"/>
      <c r="H621" s="83"/>
      <c r="I621" s="84"/>
      <c r="J621" s="84"/>
      <c r="K621" s="83"/>
      <c r="L621" s="85"/>
      <c r="M621" s="83"/>
      <c r="N621" s="83"/>
      <c r="O621" s="83"/>
      <c r="P621" s="83"/>
      <c r="Q621" s="83"/>
      <c r="R621" s="83"/>
      <c r="S621" s="8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>
      <c r="A622" s="82"/>
      <c r="B622" s="82"/>
      <c r="C622" s="82"/>
      <c r="D622" s="82"/>
      <c r="E622" s="82"/>
      <c r="F622" s="82"/>
      <c r="G622" s="82"/>
      <c r="H622" s="83"/>
      <c r="I622" s="84"/>
      <c r="J622" s="84"/>
      <c r="K622" s="83"/>
      <c r="L622" s="85"/>
      <c r="M622" s="83"/>
      <c r="N622" s="83"/>
      <c r="O622" s="83"/>
      <c r="P622" s="83"/>
      <c r="Q622" s="83"/>
      <c r="R622" s="83"/>
      <c r="S622" s="8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>
      <c r="A623" s="82"/>
      <c r="B623" s="82"/>
      <c r="C623" s="82"/>
      <c r="D623" s="82"/>
      <c r="E623" s="82"/>
      <c r="F623" s="82"/>
      <c r="G623" s="82"/>
      <c r="H623" s="83"/>
      <c r="I623" s="84"/>
      <c r="J623" s="84"/>
      <c r="K623" s="83"/>
      <c r="L623" s="85"/>
      <c r="M623" s="83"/>
      <c r="N623" s="83"/>
      <c r="O623" s="83"/>
      <c r="P623" s="83"/>
      <c r="Q623" s="83"/>
      <c r="R623" s="83"/>
      <c r="S623" s="8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>
      <c r="A624" s="82"/>
      <c r="B624" s="82"/>
      <c r="C624" s="82"/>
      <c r="D624" s="82"/>
      <c r="E624" s="82"/>
      <c r="F624" s="82"/>
      <c r="G624" s="82"/>
      <c r="H624" s="83"/>
      <c r="I624" s="84"/>
      <c r="J624" s="84"/>
      <c r="K624" s="83"/>
      <c r="L624" s="85"/>
      <c r="M624" s="83"/>
      <c r="N624" s="83"/>
      <c r="O624" s="83"/>
      <c r="P624" s="83"/>
      <c r="Q624" s="83"/>
      <c r="R624" s="83"/>
      <c r="S624" s="8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>
      <c r="A625" s="82"/>
      <c r="B625" s="82"/>
      <c r="C625" s="82"/>
      <c r="D625" s="82"/>
      <c r="E625" s="82"/>
      <c r="F625" s="82"/>
      <c r="G625" s="82"/>
      <c r="H625" s="83"/>
      <c r="I625" s="84"/>
      <c r="J625" s="84"/>
      <c r="K625" s="83"/>
      <c r="L625" s="85"/>
      <c r="M625" s="83"/>
      <c r="N625" s="83"/>
      <c r="O625" s="83"/>
      <c r="P625" s="83"/>
      <c r="Q625" s="83"/>
      <c r="R625" s="83"/>
      <c r="S625" s="8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>
      <c r="A626" s="82"/>
      <c r="B626" s="82"/>
      <c r="C626" s="82"/>
      <c r="D626" s="82"/>
      <c r="E626" s="82"/>
      <c r="F626" s="82"/>
      <c r="G626" s="82"/>
      <c r="H626" s="83"/>
      <c r="I626" s="84"/>
      <c r="J626" s="84"/>
      <c r="K626" s="83"/>
      <c r="L626" s="85"/>
      <c r="M626" s="83"/>
      <c r="N626" s="83"/>
      <c r="O626" s="83"/>
      <c r="P626" s="83"/>
      <c r="Q626" s="83"/>
      <c r="R626" s="83"/>
      <c r="S626" s="8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>
      <c r="A627" s="82"/>
      <c r="B627" s="82"/>
      <c r="C627" s="82"/>
      <c r="D627" s="82"/>
      <c r="E627" s="82"/>
      <c r="F627" s="82"/>
      <c r="G627" s="82"/>
      <c r="H627" s="83"/>
      <c r="I627" s="84"/>
      <c r="J627" s="84"/>
      <c r="K627" s="83"/>
      <c r="L627" s="85"/>
      <c r="M627" s="83"/>
      <c r="N627" s="83"/>
      <c r="O627" s="83"/>
      <c r="P627" s="83"/>
      <c r="Q627" s="83"/>
      <c r="R627" s="83"/>
      <c r="S627" s="8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>
      <c r="A628" s="82"/>
      <c r="B628" s="82"/>
      <c r="C628" s="82"/>
      <c r="D628" s="82"/>
      <c r="E628" s="82"/>
      <c r="F628" s="82"/>
      <c r="G628" s="82"/>
      <c r="H628" s="83"/>
      <c r="I628" s="84"/>
      <c r="J628" s="84"/>
      <c r="K628" s="83"/>
      <c r="L628" s="85"/>
      <c r="M628" s="83"/>
      <c r="N628" s="83"/>
      <c r="O628" s="83"/>
      <c r="P628" s="83"/>
      <c r="Q628" s="83"/>
      <c r="R628" s="83"/>
      <c r="S628" s="8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>
      <c r="A629" s="82"/>
      <c r="B629" s="82"/>
      <c r="C629" s="82"/>
      <c r="D629" s="82"/>
      <c r="E629" s="82"/>
      <c r="F629" s="82"/>
      <c r="G629" s="82"/>
      <c r="H629" s="83"/>
      <c r="I629" s="84"/>
      <c r="J629" s="84"/>
      <c r="K629" s="83"/>
      <c r="L629" s="85"/>
      <c r="M629" s="83"/>
      <c r="N629" s="83"/>
      <c r="O629" s="83"/>
      <c r="P629" s="83"/>
      <c r="Q629" s="83"/>
      <c r="R629" s="83"/>
      <c r="S629" s="8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>
      <c r="A630" s="82"/>
      <c r="B630" s="82"/>
      <c r="C630" s="82"/>
      <c r="D630" s="82"/>
      <c r="E630" s="82"/>
      <c r="F630" s="82"/>
      <c r="G630" s="82"/>
      <c r="H630" s="83"/>
      <c r="I630" s="84"/>
      <c r="J630" s="84"/>
      <c r="K630" s="83"/>
      <c r="L630" s="85"/>
      <c r="M630" s="83"/>
      <c r="N630" s="83"/>
      <c r="O630" s="83"/>
      <c r="P630" s="83"/>
      <c r="Q630" s="83"/>
      <c r="R630" s="83"/>
      <c r="S630" s="8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>
      <c r="A631" s="82"/>
      <c r="B631" s="82"/>
      <c r="C631" s="82"/>
      <c r="D631" s="82"/>
      <c r="E631" s="82"/>
      <c r="F631" s="82"/>
      <c r="G631" s="82"/>
      <c r="H631" s="83"/>
      <c r="I631" s="84"/>
      <c r="J631" s="84"/>
      <c r="K631" s="83"/>
      <c r="L631" s="85"/>
      <c r="M631" s="83"/>
      <c r="N631" s="83"/>
      <c r="O631" s="83"/>
      <c r="P631" s="83"/>
      <c r="Q631" s="83"/>
      <c r="R631" s="83"/>
      <c r="S631" s="8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>
      <c r="A632" s="82"/>
      <c r="B632" s="82"/>
      <c r="C632" s="82"/>
      <c r="D632" s="82"/>
      <c r="E632" s="82"/>
      <c r="F632" s="82"/>
      <c r="G632" s="82"/>
      <c r="H632" s="83"/>
      <c r="I632" s="84"/>
      <c r="J632" s="84"/>
      <c r="K632" s="83"/>
      <c r="L632" s="85"/>
      <c r="M632" s="83"/>
      <c r="N632" s="83"/>
      <c r="O632" s="83"/>
      <c r="P632" s="83"/>
      <c r="Q632" s="83"/>
      <c r="R632" s="83"/>
      <c r="S632" s="8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>
      <c r="A633" s="82"/>
      <c r="B633" s="82"/>
      <c r="C633" s="82"/>
      <c r="D633" s="82"/>
      <c r="E633" s="82"/>
      <c r="F633" s="82"/>
      <c r="G633" s="82"/>
      <c r="H633" s="83"/>
      <c r="I633" s="84"/>
      <c r="J633" s="84"/>
      <c r="K633" s="83"/>
      <c r="L633" s="85"/>
      <c r="M633" s="83"/>
      <c r="N633" s="83"/>
      <c r="O633" s="83"/>
      <c r="P633" s="83"/>
      <c r="Q633" s="83"/>
      <c r="R633" s="83"/>
      <c r="S633" s="8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>
      <c r="A634" s="82"/>
      <c r="B634" s="82"/>
      <c r="C634" s="82"/>
      <c r="D634" s="82"/>
      <c r="E634" s="82"/>
      <c r="F634" s="82"/>
      <c r="G634" s="82"/>
      <c r="H634" s="83"/>
      <c r="I634" s="84"/>
      <c r="J634" s="84"/>
      <c r="K634" s="83"/>
      <c r="L634" s="85"/>
      <c r="M634" s="83"/>
      <c r="N634" s="83"/>
      <c r="O634" s="83"/>
      <c r="P634" s="83"/>
      <c r="Q634" s="83"/>
      <c r="R634" s="83"/>
      <c r="S634" s="8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>
      <c r="A635" s="82"/>
      <c r="B635" s="82"/>
      <c r="C635" s="82"/>
      <c r="D635" s="82"/>
      <c r="E635" s="82"/>
      <c r="F635" s="82"/>
      <c r="G635" s="82"/>
      <c r="H635" s="83"/>
      <c r="I635" s="84"/>
      <c r="J635" s="84"/>
      <c r="K635" s="83"/>
      <c r="L635" s="85"/>
      <c r="M635" s="83"/>
      <c r="N635" s="83"/>
      <c r="O635" s="83"/>
      <c r="P635" s="83"/>
      <c r="Q635" s="83"/>
      <c r="R635" s="83"/>
      <c r="S635" s="8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>
      <c r="A636" s="82"/>
      <c r="B636" s="82"/>
      <c r="C636" s="82"/>
      <c r="D636" s="82"/>
      <c r="E636" s="82"/>
      <c r="F636" s="82"/>
      <c r="G636" s="82"/>
      <c r="H636" s="83"/>
      <c r="I636" s="84"/>
      <c r="J636" s="84"/>
      <c r="K636" s="83"/>
      <c r="L636" s="85"/>
      <c r="M636" s="83"/>
      <c r="N636" s="83"/>
      <c r="O636" s="83"/>
      <c r="P636" s="83"/>
      <c r="Q636" s="83"/>
      <c r="R636" s="83"/>
      <c r="S636" s="8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>
      <c r="A637" s="82"/>
      <c r="B637" s="82"/>
      <c r="C637" s="82"/>
      <c r="D637" s="82"/>
      <c r="E637" s="82"/>
      <c r="F637" s="82"/>
      <c r="G637" s="82"/>
      <c r="H637" s="83"/>
      <c r="I637" s="84"/>
      <c r="J637" s="84"/>
      <c r="K637" s="83"/>
      <c r="L637" s="85"/>
      <c r="M637" s="83"/>
      <c r="N637" s="83"/>
      <c r="O637" s="83"/>
      <c r="P637" s="83"/>
      <c r="Q637" s="83"/>
      <c r="R637" s="83"/>
      <c r="S637" s="8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>
      <c r="A638" s="82"/>
      <c r="B638" s="82"/>
      <c r="C638" s="82"/>
      <c r="D638" s="82"/>
      <c r="E638" s="82"/>
      <c r="F638" s="82"/>
      <c r="G638" s="82"/>
      <c r="H638" s="83"/>
      <c r="I638" s="84"/>
      <c r="J638" s="84"/>
      <c r="K638" s="83"/>
      <c r="L638" s="85"/>
      <c r="M638" s="83"/>
      <c r="N638" s="83"/>
      <c r="O638" s="83"/>
      <c r="P638" s="83"/>
      <c r="Q638" s="83"/>
      <c r="R638" s="83"/>
      <c r="S638" s="8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>
      <c r="A639" s="82"/>
      <c r="B639" s="82"/>
      <c r="C639" s="82"/>
      <c r="D639" s="82"/>
      <c r="E639" s="82"/>
      <c r="F639" s="82"/>
      <c r="G639" s="82"/>
      <c r="H639" s="83"/>
      <c r="I639" s="84"/>
      <c r="J639" s="84"/>
      <c r="K639" s="83"/>
      <c r="L639" s="85"/>
      <c r="M639" s="83"/>
      <c r="N639" s="83"/>
      <c r="O639" s="83"/>
      <c r="P639" s="83"/>
      <c r="Q639" s="83"/>
      <c r="R639" s="83"/>
      <c r="S639" s="8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>
      <c r="A640" s="82"/>
      <c r="B640" s="82"/>
      <c r="C640" s="82"/>
      <c r="D640" s="82"/>
      <c r="E640" s="82"/>
      <c r="F640" s="82"/>
      <c r="G640" s="82"/>
      <c r="H640" s="83"/>
      <c r="I640" s="84"/>
      <c r="J640" s="84"/>
      <c r="K640" s="83"/>
      <c r="L640" s="85"/>
      <c r="M640" s="83"/>
      <c r="N640" s="83"/>
      <c r="O640" s="83"/>
      <c r="P640" s="83"/>
      <c r="Q640" s="83"/>
      <c r="R640" s="83"/>
      <c r="S640" s="8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>
      <c r="A641" s="82"/>
      <c r="B641" s="82"/>
      <c r="C641" s="82"/>
      <c r="D641" s="82"/>
      <c r="E641" s="82"/>
      <c r="F641" s="82"/>
      <c r="G641" s="82"/>
      <c r="H641" s="83"/>
      <c r="I641" s="84"/>
      <c r="J641" s="84"/>
      <c r="K641" s="83"/>
      <c r="L641" s="85"/>
      <c r="M641" s="83"/>
      <c r="N641" s="83"/>
      <c r="O641" s="83"/>
      <c r="P641" s="83"/>
      <c r="Q641" s="83"/>
      <c r="R641" s="83"/>
      <c r="S641" s="8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>
      <c r="A642" s="82"/>
      <c r="B642" s="82"/>
      <c r="C642" s="82"/>
      <c r="D642" s="82"/>
      <c r="E642" s="82"/>
      <c r="F642" s="82"/>
      <c r="G642" s="82"/>
      <c r="H642" s="83"/>
      <c r="I642" s="84"/>
      <c r="J642" s="84"/>
      <c r="K642" s="83"/>
      <c r="L642" s="85"/>
      <c r="M642" s="83"/>
      <c r="N642" s="83"/>
      <c r="O642" s="83"/>
      <c r="P642" s="83"/>
      <c r="Q642" s="83"/>
      <c r="R642" s="83"/>
      <c r="S642" s="8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>
      <c r="A643" s="82"/>
      <c r="B643" s="82"/>
      <c r="C643" s="82"/>
      <c r="D643" s="82"/>
      <c r="E643" s="82"/>
      <c r="F643" s="82"/>
      <c r="G643" s="82"/>
      <c r="H643" s="83"/>
      <c r="I643" s="84"/>
      <c r="J643" s="84"/>
      <c r="K643" s="83"/>
      <c r="L643" s="85"/>
      <c r="M643" s="83"/>
      <c r="N643" s="83"/>
      <c r="O643" s="83"/>
      <c r="P643" s="83"/>
      <c r="Q643" s="83"/>
      <c r="R643" s="83"/>
      <c r="S643" s="8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>
      <c r="A644" s="82"/>
      <c r="B644" s="82"/>
      <c r="C644" s="82"/>
      <c r="D644" s="82"/>
      <c r="E644" s="82"/>
      <c r="F644" s="82"/>
      <c r="G644" s="82"/>
      <c r="H644" s="83"/>
      <c r="I644" s="84"/>
      <c r="J644" s="84"/>
      <c r="K644" s="83"/>
      <c r="L644" s="85"/>
      <c r="M644" s="83"/>
      <c r="N644" s="83"/>
      <c r="O644" s="83"/>
      <c r="P644" s="83"/>
      <c r="Q644" s="83"/>
      <c r="R644" s="83"/>
      <c r="S644" s="8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>
      <c r="A645" s="82"/>
      <c r="B645" s="82"/>
      <c r="C645" s="82"/>
      <c r="D645" s="82"/>
      <c r="E645" s="82"/>
      <c r="F645" s="82"/>
      <c r="G645" s="82"/>
      <c r="H645" s="83"/>
      <c r="I645" s="84"/>
      <c r="J645" s="84"/>
      <c r="K645" s="83"/>
      <c r="L645" s="85"/>
      <c r="M645" s="83"/>
      <c r="N645" s="83"/>
      <c r="O645" s="83"/>
      <c r="P645" s="83"/>
      <c r="Q645" s="83"/>
      <c r="R645" s="83"/>
      <c r="S645" s="8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>
      <c r="A646" s="82"/>
      <c r="B646" s="82"/>
      <c r="C646" s="82"/>
      <c r="D646" s="82"/>
      <c r="E646" s="82"/>
      <c r="F646" s="82"/>
      <c r="G646" s="82"/>
      <c r="H646" s="83"/>
      <c r="I646" s="84"/>
      <c r="J646" s="84"/>
      <c r="K646" s="83"/>
      <c r="L646" s="85"/>
      <c r="M646" s="83"/>
      <c r="N646" s="83"/>
      <c r="O646" s="83"/>
      <c r="P646" s="83"/>
      <c r="Q646" s="83"/>
      <c r="R646" s="83"/>
      <c r="S646" s="8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>
      <c r="A647" s="82"/>
      <c r="B647" s="82"/>
      <c r="C647" s="82"/>
      <c r="D647" s="82"/>
      <c r="E647" s="82"/>
      <c r="F647" s="82"/>
      <c r="G647" s="82"/>
      <c r="H647" s="83"/>
      <c r="I647" s="84"/>
      <c r="J647" s="84"/>
      <c r="K647" s="83"/>
      <c r="L647" s="85"/>
      <c r="M647" s="83"/>
      <c r="N647" s="83"/>
      <c r="O647" s="83"/>
      <c r="P647" s="83"/>
      <c r="Q647" s="83"/>
      <c r="R647" s="83"/>
      <c r="S647" s="8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>
      <c r="A648" s="82"/>
      <c r="B648" s="82"/>
      <c r="C648" s="82"/>
      <c r="D648" s="82"/>
      <c r="E648" s="82"/>
      <c r="F648" s="82"/>
      <c r="G648" s="82"/>
      <c r="H648" s="83"/>
      <c r="I648" s="84"/>
      <c r="J648" s="84"/>
      <c r="K648" s="83"/>
      <c r="L648" s="85"/>
      <c r="M648" s="83"/>
      <c r="N648" s="83"/>
      <c r="O648" s="83"/>
      <c r="P648" s="83"/>
      <c r="Q648" s="83"/>
      <c r="R648" s="83"/>
      <c r="S648" s="8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>
      <c r="A649" s="82"/>
      <c r="B649" s="82"/>
      <c r="C649" s="82"/>
      <c r="D649" s="82"/>
      <c r="E649" s="82"/>
      <c r="F649" s="82"/>
      <c r="G649" s="82"/>
      <c r="H649" s="83"/>
      <c r="I649" s="84"/>
      <c r="J649" s="84"/>
      <c r="K649" s="83"/>
      <c r="L649" s="85"/>
      <c r="M649" s="83"/>
      <c r="N649" s="83"/>
      <c r="O649" s="83"/>
      <c r="P649" s="83"/>
      <c r="Q649" s="83"/>
      <c r="R649" s="83"/>
      <c r="S649" s="8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>
      <c r="A650" s="82"/>
      <c r="B650" s="82"/>
      <c r="C650" s="82"/>
      <c r="D650" s="82"/>
      <c r="E650" s="82"/>
      <c r="F650" s="82"/>
      <c r="G650" s="82"/>
      <c r="H650" s="83"/>
      <c r="I650" s="84"/>
      <c r="J650" s="84"/>
      <c r="K650" s="83"/>
      <c r="L650" s="85"/>
      <c r="M650" s="83"/>
      <c r="N650" s="83"/>
      <c r="O650" s="83"/>
      <c r="P650" s="83"/>
      <c r="Q650" s="83"/>
      <c r="R650" s="83"/>
      <c r="S650" s="8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>
      <c r="A651" s="82"/>
      <c r="B651" s="82"/>
      <c r="C651" s="82"/>
      <c r="D651" s="82"/>
      <c r="E651" s="82"/>
      <c r="F651" s="82"/>
      <c r="G651" s="82"/>
      <c r="H651" s="83"/>
      <c r="I651" s="84"/>
      <c r="J651" s="84"/>
      <c r="K651" s="83"/>
      <c r="L651" s="85"/>
      <c r="M651" s="83"/>
      <c r="N651" s="83"/>
      <c r="O651" s="83"/>
      <c r="P651" s="83"/>
      <c r="Q651" s="83"/>
      <c r="R651" s="83"/>
      <c r="S651" s="8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>
      <c r="A652" s="82"/>
      <c r="B652" s="82"/>
      <c r="C652" s="82"/>
      <c r="D652" s="82"/>
      <c r="E652" s="82"/>
      <c r="F652" s="82"/>
      <c r="G652" s="82"/>
      <c r="H652" s="83"/>
      <c r="I652" s="84"/>
      <c r="J652" s="84"/>
      <c r="K652" s="83"/>
      <c r="L652" s="85"/>
      <c r="M652" s="83"/>
      <c r="N652" s="83"/>
      <c r="O652" s="83"/>
      <c r="P652" s="83"/>
      <c r="Q652" s="83"/>
      <c r="R652" s="83"/>
      <c r="S652" s="8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>
      <c r="A653" s="82"/>
      <c r="B653" s="82"/>
      <c r="C653" s="82"/>
      <c r="D653" s="82"/>
      <c r="E653" s="82"/>
      <c r="F653" s="82"/>
      <c r="G653" s="82"/>
      <c r="H653" s="83"/>
      <c r="I653" s="84"/>
      <c r="J653" s="84"/>
      <c r="K653" s="83"/>
      <c r="L653" s="85"/>
      <c r="M653" s="83"/>
      <c r="N653" s="83"/>
      <c r="O653" s="83"/>
      <c r="P653" s="83"/>
      <c r="Q653" s="83"/>
      <c r="R653" s="83"/>
      <c r="S653" s="8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>
      <c r="A654" s="82"/>
      <c r="B654" s="82"/>
      <c r="C654" s="82"/>
      <c r="D654" s="82"/>
      <c r="E654" s="82"/>
      <c r="F654" s="82"/>
      <c r="G654" s="82"/>
      <c r="H654" s="83"/>
      <c r="I654" s="84"/>
      <c r="J654" s="84"/>
      <c r="K654" s="83"/>
      <c r="L654" s="85"/>
      <c r="M654" s="83"/>
      <c r="N654" s="83"/>
      <c r="O654" s="83"/>
      <c r="P654" s="83"/>
      <c r="Q654" s="83"/>
      <c r="R654" s="83"/>
      <c r="S654" s="8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>
      <c r="A655" s="82"/>
      <c r="B655" s="82"/>
      <c r="C655" s="82"/>
      <c r="D655" s="82"/>
      <c r="E655" s="82"/>
      <c r="F655" s="82"/>
      <c r="G655" s="82"/>
      <c r="H655" s="83"/>
      <c r="I655" s="84"/>
      <c r="J655" s="84"/>
      <c r="K655" s="83"/>
      <c r="L655" s="85"/>
      <c r="M655" s="83"/>
      <c r="N655" s="83"/>
      <c r="O655" s="83"/>
      <c r="P655" s="83"/>
      <c r="Q655" s="83"/>
      <c r="R655" s="83"/>
      <c r="S655" s="8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>
      <c r="A656" s="82"/>
      <c r="B656" s="82"/>
      <c r="C656" s="82"/>
      <c r="D656" s="82"/>
      <c r="E656" s="82"/>
      <c r="F656" s="82"/>
      <c r="G656" s="82"/>
      <c r="H656" s="83"/>
      <c r="I656" s="84"/>
      <c r="J656" s="84"/>
      <c r="K656" s="83"/>
      <c r="L656" s="85"/>
      <c r="M656" s="83"/>
      <c r="N656" s="83"/>
      <c r="O656" s="83"/>
      <c r="P656" s="83"/>
      <c r="Q656" s="83"/>
      <c r="R656" s="83"/>
      <c r="S656" s="8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>
      <c r="A657" s="82"/>
      <c r="B657" s="82"/>
      <c r="C657" s="82"/>
      <c r="D657" s="82"/>
      <c r="E657" s="82"/>
      <c r="F657" s="82"/>
      <c r="G657" s="82"/>
      <c r="H657" s="83"/>
      <c r="I657" s="84"/>
      <c r="J657" s="84"/>
      <c r="K657" s="83"/>
      <c r="L657" s="85"/>
      <c r="M657" s="83"/>
      <c r="N657" s="83"/>
      <c r="O657" s="83"/>
      <c r="P657" s="83"/>
      <c r="Q657" s="83"/>
      <c r="R657" s="83"/>
      <c r="S657" s="8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>
      <c r="A658" s="82"/>
      <c r="B658" s="82"/>
      <c r="C658" s="82"/>
      <c r="D658" s="82"/>
      <c r="E658" s="82"/>
      <c r="F658" s="82"/>
      <c r="G658" s="82"/>
      <c r="H658" s="83"/>
      <c r="I658" s="84"/>
      <c r="J658" s="84"/>
      <c r="K658" s="83"/>
      <c r="L658" s="85"/>
      <c r="M658" s="83"/>
      <c r="N658" s="83"/>
      <c r="O658" s="83"/>
      <c r="P658" s="83"/>
      <c r="Q658" s="83"/>
      <c r="R658" s="83"/>
      <c r="S658" s="8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>
      <c r="A659" s="82"/>
      <c r="B659" s="82"/>
      <c r="C659" s="82"/>
      <c r="D659" s="82"/>
      <c r="E659" s="82"/>
      <c r="F659" s="82"/>
      <c r="G659" s="82"/>
      <c r="H659" s="83"/>
      <c r="I659" s="84"/>
      <c r="J659" s="84"/>
      <c r="K659" s="83"/>
      <c r="L659" s="85"/>
      <c r="M659" s="83"/>
      <c r="N659" s="83"/>
      <c r="O659" s="83"/>
      <c r="P659" s="83"/>
      <c r="Q659" s="83"/>
      <c r="R659" s="83"/>
      <c r="S659" s="8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>
      <c r="A660" s="82"/>
      <c r="B660" s="82"/>
      <c r="C660" s="82"/>
      <c r="D660" s="82"/>
      <c r="E660" s="82"/>
      <c r="F660" s="82"/>
      <c r="G660" s="82"/>
      <c r="H660" s="83"/>
      <c r="I660" s="84"/>
      <c r="J660" s="84"/>
      <c r="K660" s="83"/>
      <c r="L660" s="85"/>
      <c r="M660" s="83"/>
      <c r="N660" s="83"/>
      <c r="O660" s="83"/>
      <c r="P660" s="83"/>
      <c r="Q660" s="83"/>
      <c r="R660" s="83"/>
      <c r="S660" s="8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>
      <c r="A661" s="82"/>
      <c r="B661" s="82"/>
      <c r="C661" s="82"/>
      <c r="D661" s="82"/>
      <c r="E661" s="82"/>
      <c r="F661" s="82"/>
      <c r="G661" s="82"/>
      <c r="H661" s="83"/>
      <c r="I661" s="84"/>
      <c r="J661" s="84"/>
      <c r="K661" s="83"/>
      <c r="L661" s="85"/>
      <c r="M661" s="83"/>
      <c r="N661" s="83"/>
      <c r="O661" s="83"/>
      <c r="P661" s="83"/>
      <c r="Q661" s="83"/>
      <c r="R661" s="83"/>
      <c r="S661" s="8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>
      <c r="A662" s="82"/>
      <c r="B662" s="82"/>
      <c r="C662" s="82"/>
      <c r="D662" s="82"/>
      <c r="E662" s="82"/>
      <c r="F662" s="82"/>
      <c r="G662" s="82"/>
      <c r="H662" s="83"/>
      <c r="I662" s="84"/>
      <c r="J662" s="84"/>
      <c r="K662" s="83"/>
      <c r="L662" s="85"/>
      <c r="M662" s="83"/>
      <c r="N662" s="83"/>
      <c r="O662" s="83"/>
      <c r="P662" s="83"/>
      <c r="Q662" s="83"/>
      <c r="R662" s="83"/>
      <c r="S662" s="8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>
      <c r="A663" s="82"/>
      <c r="B663" s="82"/>
      <c r="C663" s="82"/>
      <c r="D663" s="82"/>
      <c r="E663" s="82"/>
      <c r="F663" s="82"/>
      <c r="G663" s="82"/>
      <c r="H663" s="83"/>
      <c r="I663" s="84"/>
      <c r="J663" s="84"/>
      <c r="K663" s="83"/>
      <c r="L663" s="85"/>
      <c r="M663" s="83"/>
      <c r="N663" s="83"/>
      <c r="O663" s="83"/>
      <c r="P663" s="83"/>
      <c r="Q663" s="83"/>
      <c r="R663" s="83"/>
      <c r="S663" s="8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>
      <c r="A664" s="82"/>
      <c r="B664" s="82"/>
      <c r="C664" s="82"/>
      <c r="D664" s="82"/>
      <c r="E664" s="82"/>
      <c r="F664" s="82"/>
      <c r="G664" s="82"/>
      <c r="H664" s="83"/>
      <c r="I664" s="84"/>
      <c r="J664" s="84"/>
      <c r="K664" s="83"/>
      <c r="L664" s="85"/>
      <c r="M664" s="83"/>
      <c r="N664" s="83"/>
      <c r="O664" s="83"/>
      <c r="P664" s="83"/>
      <c r="Q664" s="83"/>
      <c r="R664" s="83"/>
      <c r="S664" s="8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>
      <c r="A665" s="82"/>
      <c r="B665" s="82"/>
      <c r="C665" s="82"/>
      <c r="D665" s="82"/>
      <c r="E665" s="82"/>
      <c r="F665" s="82"/>
      <c r="G665" s="82"/>
      <c r="H665" s="83"/>
      <c r="I665" s="84"/>
      <c r="J665" s="84"/>
      <c r="K665" s="83"/>
      <c r="L665" s="85"/>
      <c r="M665" s="83"/>
      <c r="N665" s="83"/>
      <c r="O665" s="83"/>
      <c r="P665" s="83"/>
      <c r="Q665" s="83"/>
      <c r="R665" s="83"/>
      <c r="S665" s="8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>
      <c r="A666" s="82"/>
      <c r="B666" s="82"/>
      <c r="C666" s="82"/>
      <c r="D666" s="82"/>
      <c r="E666" s="82"/>
      <c r="F666" s="82"/>
      <c r="G666" s="82"/>
      <c r="H666" s="83"/>
      <c r="I666" s="84"/>
      <c r="J666" s="84"/>
      <c r="K666" s="83"/>
      <c r="L666" s="85"/>
      <c r="M666" s="83"/>
      <c r="N666" s="83"/>
      <c r="O666" s="83"/>
      <c r="P666" s="83"/>
      <c r="Q666" s="83"/>
      <c r="R666" s="83"/>
      <c r="S666" s="8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>
      <c r="A667" s="82"/>
      <c r="B667" s="82"/>
      <c r="C667" s="82"/>
      <c r="D667" s="82"/>
      <c r="E667" s="82"/>
      <c r="F667" s="82"/>
      <c r="G667" s="82"/>
      <c r="H667" s="83"/>
      <c r="I667" s="84"/>
      <c r="J667" s="84"/>
      <c r="K667" s="83"/>
      <c r="L667" s="85"/>
      <c r="M667" s="83"/>
      <c r="N667" s="83"/>
      <c r="O667" s="83"/>
      <c r="P667" s="83"/>
      <c r="Q667" s="83"/>
      <c r="R667" s="83"/>
      <c r="S667" s="8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>
      <c r="A668" s="82"/>
      <c r="B668" s="82"/>
      <c r="C668" s="82"/>
      <c r="D668" s="82"/>
      <c r="E668" s="82"/>
      <c r="F668" s="82"/>
      <c r="G668" s="82"/>
      <c r="H668" s="83"/>
      <c r="I668" s="84"/>
      <c r="J668" s="84"/>
      <c r="K668" s="83"/>
      <c r="L668" s="85"/>
      <c r="M668" s="83"/>
      <c r="N668" s="83"/>
      <c r="O668" s="83"/>
      <c r="P668" s="83"/>
      <c r="Q668" s="83"/>
      <c r="R668" s="83"/>
      <c r="S668" s="8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>
      <c r="A669" s="82"/>
      <c r="B669" s="82"/>
      <c r="C669" s="82"/>
      <c r="D669" s="82"/>
      <c r="E669" s="82"/>
      <c r="F669" s="82"/>
      <c r="G669" s="82"/>
      <c r="H669" s="83"/>
      <c r="I669" s="84"/>
      <c r="J669" s="84"/>
      <c r="K669" s="83"/>
      <c r="L669" s="85"/>
      <c r="M669" s="83"/>
      <c r="N669" s="83"/>
      <c r="O669" s="83"/>
      <c r="P669" s="83"/>
      <c r="Q669" s="83"/>
      <c r="R669" s="83"/>
      <c r="S669" s="8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>
      <c r="A670" s="82"/>
      <c r="B670" s="82"/>
      <c r="C670" s="82"/>
      <c r="D670" s="82"/>
      <c r="E670" s="82"/>
      <c r="F670" s="82"/>
      <c r="G670" s="82"/>
      <c r="H670" s="83"/>
      <c r="I670" s="84"/>
      <c r="J670" s="84"/>
      <c r="K670" s="83"/>
      <c r="L670" s="85"/>
      <c r="M670" s="83"/>
      <c r="N670" s="83"/>
      <c r="O670" s="83"/>
      <c r="P670" s="83"/>
      <c r="Q670" s="83"/>
      <c r="R670" s="83"/>
      <c r="S670" s="8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>
      <c r="A671" s="82"/>
      <c r="B671" s="82"/>
      <c r="C671" s="82"/>
      <c r="D671" s="82"/>
      <c r="E671" s="82"/>
      <c r="F671" s="82"/>
      <c r="G671" s="82"/>
      <c r="H671" s="83"/>
      <c r="I671" s="84"/>
      <c r="J671" s="84"/>
      <c r="K671" s="83"/>
      <c r="L671" s="85"/>
      <c r="M671" s="83"/>
      <c r="N671" s="83"/>
      <c r="O671" s="83"/>
      <c r="P671" s="83"/>
      <c r="Q671" s="83"/>
      <c r="R671" s="83"/>
      <c r="S671" s="8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>
      <c r="A672" s="82"/>
      <c r="B672" s="82"/>
      <c r="C672" s="82"/>
      <c r="D672" s="82"/>
      <c r="E672" s="82"/>
      <c r="F672" s="82"/>
      <c r="G672" s="82"/>
      <c r="H672" s="83"/>
      <c r="I672" s="84"/>
      <c r="J672" s="84"/>
      <c r="K672" s="83"/>
      <c r="L672" s="85"/>
      <c r="M672" s="83"/>
      <c r="N672" s="83"/>
      <c r="O672" s="83"/>
      <c r="P672" s="83"/>
      <c r="Q672" s="83"/>
      <c r="R672" s="83"/>
      <c r="S672" s="8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>
      <c r="A673" s="82"/>
      <c r="B673" s="82"/>
      <c r="C673" s="82"/>
      <c r="D673" s="82"/>
      <c r="E673" s="82"/>
      <c r="F673" s="82"/>
      <c r="G673" s="82"/>
      <c r="H673" s="83"/>
      <c r="I673" s="84"/>
      <c r="J673" s="84"/>
      <c r="K673" s="83"/>
      <c r="L673" s="85"/>
      <c r="M673" s="83"/>
      <c r="N673" s="83"/>
      <c r="O673" s="83"/>
      <c r="P673" s="83"/>
      <c r="Q673" s="83"/>
      <c r="R673" s="83"/>
      <c r="S673" s="8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>
      <c r="A674" s="82"/>
      <c r="B674" s="82"/>
      <c r="C674" s="82"/>
      <c r="D674" s="82"/>
      <c r="E674" s="82"/>
      <c r="F674" s="82"/>
      <c r="G674" s="82"/>
      <c r="H674" s="83"/>
      <c r="I674" s="84"/>
      <c r="J674" s="84"/>
      <c r="K674" s="83"/>
      <c r="L674" s="85"/>
      <c r="M674" s="83"/>
      <c r="N674" s="83"/>
      <c r="O674" s="83"/>
      <c r="P674" s="83"/>
      <c r="Q674" s="83"/>
      <c r="R674" s="83"/>
      <c r="S674" s="8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>
      <c r="A675" s="82"/>
      <c r="B675" s="82"/>
      <c r="C675" s="82"/>
      <c r="D675" s="82"/>
      <c r="E675" s="82"/>
      <c r="F675" s="82"/>
      <c r="G675" s="82"/>
      <c r="H675" s="83"/>
      <c r="I675" s="84"/>
      <c r="J675" s="84"/>
      <c r="K675" s="83"/>
      <c r="L675" s="85"/>
      <c r="M675" s="83"/>
      <c r="N675" s="83"/>
      <c r="O675" s="83"/>
      <c r="P675" s="83"/>
      <c r="Q675" s="83"/>
      <c r="R675" s="83"/>
      <c r="S675" s="8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>
      <c r="A676" s="82"/>
      <c r="B676" s="82"/>
      <c r="C676" s="82"/>
      <c r="D676" s="82"/>
      <c r="E676" s="82"/>
      <c r="F676" s="82"/>
      <c r="G676" s="82"/>
      <c r="H676" s="83"/>
      <c r="I676" s="84"/>
      <c r="J676" s="84"/>
      <c r="K676" s="83"/>
      <c r="L676" s="85"/>
      <c r="M676" s="83"/>
      <c r="N676" s="83"/>
      <c r="O676" s="83"/>
      <c r="P676" s="83"/>
      <c r="Q676" s="83"/>
      <c r="R676" s="83"/>
      <c r="S676" s="8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>
      <c r="A677" s="82"/>
      <c r="B677" s="82"/>
      <c r="C677" s="82"/>
      <c r="D677" s="82"/>
      <c r="E677" s="82"/>
      <c r="F677" s="82"/>
      <c r="G677" s="82"/>
      <c r="H677" s="83"/>
      <c r="I677" s="84"/>
      <c r="J677" s="84"/>
      <c r="K677" s="83"/>
      <c r="L677" s="85"/>
      <c r="M677" s="83"/>
      <c r="N677" s="83"/>
      <c r="O677" s="83"/>
      <c r="P677" s="83"/>
      <c r="Q677" s="83"/>
      <c r="R677" s="83"/>
      <c r="S677" s="8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>
      <c r="A678" s="82"/>
      <c r="B678" s="82"/>
      <c r="C678" s="82"/>
      <c r="D678" s="82"/>
      <c r="E678" s="82"/>
      <c r="F678" s="82"/>
      <c r="G678" s="82"/>
      <c r="H678" s="83"/>
      <c r="I678" s="84"/>
      <c r="J678" s="84"/>
      <c r="K678" s="83"/>
      <c r="L678" s="85"/>
      <c r="M678" s="83"/>
      <c r="N678" s="83"/>
      <c r="O678" s="83"/>
      <c r="P678" s="83"/>
      <c r="Q678" s="83"/>
      <c r="R678" s="83"/>
      <c r="S678" s="8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>
      <c r="A679" s="82"/>
      <c r="B679" s="82"/>
      <c r="C679" s="82"/>
      <c r="D679" s="82"/>
      <c r="E679" s="82"/>
      <c r="F679" s="82"/>
      <c r="G679" s="82"/>
      <c r="H679" s="83"/>
      <c r="I679" s="84"/>
      <c r="J679" s="84"/>
      <c r="K679" s="83"/>
      <c r="L679" s="85"/>
      <c r="M679" s="83"/>
      <c r="N679" s="83"/>
      <c r="O679" s="83"/>
      <c r="P679" s="83"/>
      <c r="Q679" s="83"/>
      <c r="R679" s="83"/>
      <c r="S679" s="8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>
      <c r="A680" s="82"/>
      <c r="B680" s="82"/>
      <c r="C680" s="82"/>
      <c r="D680" s="82"/>
      <c r="E680" s="82"/>
      <c r="F680" s="82"/>
      <c r="G680" s="82"/>
      <c r="H680" s="83"/>
      <c r="I680" s="84"/>
      <c r="J680" s="84"/>
      <c r="K680" s="83"/>
      <c r="L680" s="85"/>
      <c r="M680" s="83"/>
      <c r="N680" s="83"/>
      <c r="O680" s="83"/>
      <c r="P680" s="83"/>
      <c r="Q680" s="83"/>
      <c r="R680" s="83"/>
      <c r="S680" s="8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>
      <c r="A681" s="82"/>
      <c r="B681" s="82"/>
      <c r="C681" s="82"/>
      <c r="D681" s="82"/>
      <c r="E681" s="82"/>
      <c r="F681" s="82"/>
      <c r="G681" s="82"/>
      <c r="H681" s="83"/>
      <c r="I681" s="84"/>
      <c r="J681" s="84"/>
      <c r="K681" s="83"/>
      <c r="L681" s="85"/>
      <c r="M681" s="83"/>
      <c r="N681" s="83"/>
      <c r="O681" s="83"/>
      <c r="P681" s="83"/>
      <c r="Q681" s="83"/>
      <c r="R681" s="83"/>
      <c r="S681" s="8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>
      <c r="A682" s="82"/>
      <c r="B682" s="82"/>
      <c r="C682" s="82"/>
      <c r="D682" s="82"/>
      <c r="E682" s="82"/>
      <c r="F682" s="82"/>
      <c r="G682" s="82"/>
      <c r="H682" s="83"/>
      <c r="I682" s="84"/>
      <c r="J682" s="84"/>
      <c r="K682" s="83"/>
      <c r="L682" s="85"/>
      <c r="M682" s="83"/>
      <c r="N682" s="83"/>
      <c r="O682" s="83"/>
      <c r="P682" s="83"/>
      <c r="Q682" s="83"/>
      <c r="R682" s="83"/>
      <c r="S682" s="8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>
      <c r="A683" s="82"/>
      <c r="B683" s="82"/>
      <c r="C683" s="82"/>
      <c r="D683" s="82"/>
      <c r="E683" s="82"/>
      <c r="F683" s="82"/>
      <c r="G683" s="82"/>
      <c r="H683" s="83"/>
      <c r="I683" s="84"/>
      <c r="J683" s="84"/>
      <c r="K683" s="83"/>
      <c r="L683" s="85"/>
      <c r="M683" s="83"/>
      <c r="N683" s="83"/>
      <c r="O683" s="83"/>
      <c r="P683" s="83"/>
      <c r="Q683" s="83"/>
      <c r="R683" s="83"/>
      <c r="S683" s="8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>
      <c r="A684" s="82"/>
      <c r="B684" s="82"/>
      <c r="C684" s="82"/>
      <c r="D684" s="82"/>
      <c r="E684" s="82"/>
      <c r="F684" s="82"/>
      <c r="G684" s="82"/>
      <c r="H684" s="83"/>
      <c r="I684" s="84"/>
      <c r="J684" s="84"/>
      <c r="K684" s="83"/>
      <c r="L684" s="85"/>
      <c r="M684" s="83"/>
      <c r="N684" s="83"/>
      <c r="O684" s="83"/>
      <c r="P684" s="83"/>
      <c r="Q684" s="83"/>
      <c r="R684" s="83"/>
      <c r="S684" s="8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>
      <c r="A685" s="82"/>
      <c r="B685" s="82"/>
      <c r="C685" s="82"/>
      <c r="D685" s="82"/>
      <c r="E685" s="82"/>
      <c r="F685" s="82"/>
      <c r="G685" s="82"/>
      <c r="H685" s="83"/>
      <c r="I685" s="84"/>
      <c r="J685" s="84"/>
      <c r="K685" s="83"/>
      <c r="L685" s="85"/>
      <c r="M685" s="83"/>
      <c r="N685" s="83"/>
      <c r="O685" s="83"/>
      <c r="P685" s="83"/>
      <c r="Q685" s="83"/>
      <c r="R685" s="83"/>
      <c r="S685" s="8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>
      <c r="A686" s="82"/>
      <c r="B686" s="82"/>
      <c r="C686" s="82"/>
      <c r="D686" s="82"/>
      <c r="E686" s="82"/>
      <c r="F686" s="82"/>
      <c r="G686" s="82"/>
      <c r="H686" s="83"/>
      <c r="I686" s="84"/>
      <c r="J686" s="84"/>
      <c r="K686" s="83"/>
      <c r="L686" s="85"/>
      <c r="M686" s="83"/>
      <c r="N686" s="83"/>
      <c r="O686" s="83"/>
      <c r="P686" s="83"/>
      <c r="Q686" s="83"/>
      <c r="R686" s="83"/>
      <c r="S686" s="8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>
      <c r="A687" s="82"/>
      <c r="B687" s="82"/>
      <c r="C687" s="82"/>
      <c r="D687" s="82"/>
      <c r="E687" s="82"/>
      <c r="F687" s="82"/>
      <c r="G687" s="82"/>
      <c r="H687" s="83"/>
      <c r="I687" s="84"/>
      <c r="J687" s="84"/>
      <c r="K687" s="83"/>
      <c r="L687" s="85"/>
      <c r="M687" s="83"/>
      <c r="N687" s="83"/>
      <c r="O687" s="83"/>
      <c r="P687" s="83"/>
      <c r="Q687" s="83"/>
      <c r="R687" s="83"/>
      <c r="S687" s="8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>
      <c r="A688" s="82"/>
      <c r="B688" s="82"/>
      <c r="C688" s="82"/>
      <c r="D688" s="82"/>
      <c r="E688" s="82"/>
      <c r="F688" s="82"/>
      <c r="G688" s="82"/>
      <c r="H688" s="83"/>
      <c r="I688" s="84"/>
      <c r="J688" s="84"/>
      <c r="K688" s="83"/>
      <c r="L688" s="85"/>
      <c r="M688" s="83"/>
      <c r="N688" s="83"/>
      <c r="O688" s="83"/>
      <c r="P688" s="83"/>
      <c r="Q688" s="83"/>
      <c r="R688" s="83"/>
      <c r="S688" s="8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>
      <c r="A689" s="82"/>
      <c r="B689" s="82"/>
      <c r="C689" s="82"/>
      <c r="D689" s="82"/>
      <c r="E689" s="82"/>
      <c r="F689" s="82"/>
      <c r="G689" s="82"/>
      <c r="H689" s="83"/>
      <c r="I689" s="84"/>
      <c r="J689" s="84"/>
      <c r="K689" s="83"/>
      <c r="L689" s="85"/>
      <c r="M689" s="83"/>
      <c r="N689" s="83"/>
      <c r="O689" s="83"/>
      <c r="P689" s="83"/>
      <c r="Q689" s="83"/>
      <c r="R689" s="83"/>
      <c r="S689" s="8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>
      <c r="A690" s="82"/>
      <c r="B690" s="82"/>
      <c r="C690" s="82"/>
      <c r="D690" s="82"/>
      <c r="E690" s="82"/>
      <c r="F690" s="82"/>
      <c r="G690" s="82"/>
      <c r="H690" s="83"/>
      <c r="I690" s="84"/>
      <c r="J690" s="84"/>
      <c r="K690" s="83"/>
      <c r="L690" s="85"/>
      <c r="M690" s="83"/>
      <c r="N690" s="83"/>
      <c r="O690" s="83"/>
      <c r="P690" s="83"/>
      <c r="Q690" s="83"/>
      <c r="R690" s="83"/>
      <c r="S690" s="8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>
      <c r="A691" s="82"/>
      <c r="B691" s="82"/>
      <c r="C691" s="82"/>
      <c r="D691" s="82"/>
      <c r="E691" s="82"/>
      <c r="F691" s="82"/>
      <c r="G691" s="82"/>
      <c r="H691" s="83"/>
      <c r="I691" s="84"/>
      <c r="J691" s="84"/>
      <c r="K691" s="83"/>
      <c r="L691" s="85"/>
      <c r="M691" s="83"/>
      <c r="N691" s="83"/>
      <c r="O691" s="83"/>
      <c r="P691" s="83"/>
      <c r="Q691" s="83"/>
      <c r="R691" s="83"/>
      <c r="S691" s="8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>
      <c r="A692" s="82"/>
      <c r="B692" s="82"/>
      <c r="C692" s="82"/>
      <c r="D692" s="82"/>
      <c r="E692" s="82"/>
      <c r="F692" s="82"/>
      <c r="G692" s="82"/>
      <c r="H692" s="83"/>
      <c r="I692" s="84"/>
      <c r="J692" s="84"/>
      <c r="K692" s="83"/>
      <c r="L692" s="85"/>
      <c r="M692" s="83"/>
      <c r="N692" s="83"/>
      <c r="O692" s="83"/>
      <c r="P692" s="83"/>
      <c r="Q692" s="83"/>
      <c r="R692" s="83"/>
      <c r="S692" s="8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>
      <c r="A693" s="82"/>
      <c r="B693" s="82"/>
      <c r="C693" s="82"/>
      <c r="D693" s="82"/>
      <c r="E693" s="82"/>
      <c r="F693" s="82"/>
      <c r="G693" s="82"/>
      <c r="H693" s="83"/>
      <c r="I693" s="84"/>
      <c r="J693" s="84"/>
      <c r="K693" s="83"/>
      <c r="L693" s="85"/>
      <c r="M693" s="83"/>
      <c r="N693" s="83"/>
      <c r="O693" s="83"/>
      <c r="P693" s="83"/>
      <c r="Q693" s="83"/>
      <c r="R693" s="83"/>
      <c r="S693" s="8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>
      <c r="A694" s="82"/>
      <c r="B694" s="82"/>
      <c r="C694" s="82"/>
      <c r="D694" s="82"/>
      <c r="E694" s="82"/>
      <c r="F694" s="82"/>
      <c r="G694" s="82"/>
      <c r="H694" s="83"/>
      <c r="I694" s="84"/>
      <c r="J694" s="84"/>
      <c r="K694" s="83"/>
      <c r="L694" s="85"/>
      <c r="M694" s="83"/>
      <c r="N694" s="83"/>
      <c r="O694" s="83"/>
      <c r="P694" s="83"/>
      <c r="Q694" s="83"/>
      <c r="R694" s="83"/>
      <c r="S694" s="8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>
      <c r="A695" s="82"/>
      <c r="B695" s="82"/>
      <c r="C695" s="82"/>
      <c r="D695" s="82"/>
      <c r="E695" s="82"/>
      <c r="F695" s="82"/>
      <c r="G695" s="82"/>
      <c r="H695" s="83"/>
      <c r="I695" s="84"/>
      <c r="J695" s="84"/>
      <c r="K695" s="83"/>
      <c r="L695" s="85"/>
      <c r="M695" s="83"/>
      <c r="N695" s="83"/>
      <c r="O695" s="83"/>
      <c r="P695" s="83"/>
      <c r="Q695" s="83"/>
      <c r="R695" s="83"/>
      <c r="S695" s="8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>
      <c r="A696" s="82"/>
      <c r="B696" s="82"/>
      <c r="C696" s="82"/>
      <c r="D696" s="82"/>
      <c r="E696" s="82"/>
      <c r="F696" s="82"/>
      <c r="G696" s="82"/>
      <c r="H696" s="83"/>
      <c r="I696" s="84"/>
      <c r="J696" s="84"/>
      <c r="K696" s="83"/>
      <c r="L696" s="85"/>
      <c r="M696" s="83"/>
      <c r="N696" s="83"/>
      <c r="O696" s="83"/>
      <c r="P696" s="83"/>
      <c r="Q696" s="83"/>
      <c r="R696" s="83"/>
      <c r="S696" s="8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>
      <c r="A697" s="82"/>
      <c r="B697" s="82"/>
      <c r="C697" s="82"/>
      <c r="D697" s="82"/>
      <c r="E697" s="82"/>
      <c r="F697" s="82"/>
      <c r="G697" s="82"/>
      <c r="H697" s="83"/>
      <c r="I697" s="84"/>
      <c r="J697" s="84"/>
      <c r="K697" s="83"/>
      <c r="L697" s="85"/>
      <c r="M697" s="83"/>
      <c r="N697" s="83"/>
      <c r="O697" s="83"/>
      <c r="P697" s="83"/>
      <c r="Q697" s="83"/>
      <c r="R697" s="83"/>
      <c r="S697" s="8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>
      <c r="A698" s="82"/>
      <c r="B698" s="82"/>
      <c r="C698" s="82"/>
      <c r="D698" s="82"/>
      <c r="E698" s="82"/>
      <c r="F698" s="82"/>
      <c r="G698" s="82"/>
      <c r="H698" s="83"/>
      <c r="I698" s="84"/>
      <c r="J698" s="84"/>
      <c r="K698" s="83"/>
      <c r="L698" s="85"/>
      <c r="M698" s="83"/>
      <c r="N698" s="83"/>
      <c r="O698" s="83"/>
      <c r="P698" s="83"/>
      <c r="Q698" s="83"/>
      <c r="R698" s="83"/>
      <c r="S698" s="8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>
      <c r="A699" s="82"/>
      <c r="B699" s="82"/>
      <c r="C699" s="82"/>
      <c r="D699" s="82"/>
      <c r="E699" s="82"/>
      <c r="F699" s="82"/>
      <c r="G699" s="82"/>
      <c r="H699" s="83"/>
      <c r="I699" s="84"/>
      <c r="J699" s="84"/>
      <c r="K699" s="83"/>
      <c r="L699" s="85"/>
      <c r="M699" s="83"/>
      <c r="N699" s="83"/>
      <c r="O699" s="83"/>
      <c r="P699" s="83"/>
      <c r="Q699" s="83"/>
      <c r="R699" s="83"/>
      <c r="S699" s="8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>
      <c r="A700" s="82"/>
      <c r="B700" s="82"/>
      <c r="C700" s="82"/>
      <c r="D700" s="82"/>
      <c r="E700" s="82"/>
      <c r="F700" s="82"/>
      <c r="G700" s="82"/>
      <c r="H700" s="83"/>
      <c r="I700" s="84"/>
      <c r="J700" s="84"/>
      <c r="K700" s="83"/>
      <c r="L700" s="85"/>
      <c r="M700" s="83"/>
      <c r="N700" s="83"/>
      <c r="O700" s="83"/>
      <c r="P700" s="83"/>
      <c r="Q700" s="83"/>
      <c r="R700" s="83"/>
      <c r="S700" s="8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>
      <c r="A701" s="82"/>
      <c r="B701" s="82"/>
      <c r="C701" s="82"/>
      <c r="D701" s="82"/>
      <c r="E701" s="82"/>
      <c r="F701" s="82"/>
      <c r="G701" s="82"/>
      <c r="H701" s="83"/>
      <c r="I701" s="84"/>
      <c r="J701" s="84"/>
      <c r="K701" s="83"/>
      <c r="L701" s="85"/>
      <c r="M701" s="83"/>
      <c r="N701" s="83"/>
      <c r="O701" s="83"/>
      <c r="P701" s="83"/>
      <c r="Q701" s="83"/>
      <c r="R701" s="83"/>
      <c r="S701" s="8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>
      <c r="A702" s="82"/>
      <c r="B702" s="82"/>
      <c r="C702" s="82"/>
      <c r="D702" s="82"/>
      <c r="E702" s="82"/>
      <c r="F702" s="82"/>
      <c r="G702" s="82"/>
      <c r="H702" s="83"/>
      <c r="I702" s="84"/>
      <c r="J702" s="84"/>
      <c r="K702" s="83"/>
      <c r="L702" s="85"/>
      <c r="M702" s="83"/>
      <c r="N702" s="83"/>
      <c r="O702" s="83"/>
      <c r="P702" s="83"/>
      <c r="Q702" s="83"/>
      <c r="R702" s="83"/>
      <c r="S702" s="8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>
      <c r="A703" s="82"/>
      <c r="B703" s="82"/>
      <c r="C703" s="82"/>
      <c r="D703" s="82"/>
      <c r="E703" s="82"/>
      <c r="F703" s="82"/>
      <c r="G703" s="82"/>
      <c r="H703" s="83"/>
      <c r="I703" s="84"/>
      <c r="J703" s="84"/>
      <c r="K703" s="83"/>
      <c r="L703" s="85"/>
      <c r="M703" s="83"/>
      <c r="N703" s="83"/>
      <c r="O703" s="83"/>
      <c r="P703" s="83"/>
      <c r="Q703" s="83"/>
      <c r="R703" s="83"/>
      <c r="S703" s="8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>
      <c r="A704" s="82"/>
      <c r="B704" s="82"/>
      <c r="C704" s="82"/>
      <c r="D704" s="82"/>
      <c r="E704" s="82"/>
      <c r="F704" s="82"/>
      <c r="G704" s="82"/>
      <c r="H704" s="83"/>
      <c r="I704" s="84"/>
      <c r="J704" s="84"/>
      <c r="K704" s="83"/>
      <c r="L704" s="85"/>
      <c r="M704" s="83"/>
      <c r="N704" s="83"/>
      <c r="O704" s="83"/>
      <c r="P704" s="83"/>
      <c r="Q704" s="83"/>
      <c r="R704" s="83"/>
      <c r="S704" s="8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>
      <c r="A705" s="82"/>
      <c r="B705" s="82"/>
      <c r="C705" s="82"/>
      <c r="D705" s="82"/>
      <c r="E705" s="82"/>
      <c r="F705" s="82"/>
      <c r="G705" s="82"/>
      <c r="H705" s="83"/>
      <c r="I705" s="84"/>
      <c r="J705" s="84"/>
      <c r="K705" s="83"/>
      <c r="L705" s="85"/>
      <c r="M705" s="83"/>
      <c r="N705" s="83"/>
      <c r="O705" s="83"/>
      <c r="P705" s="83"/>
      <c r="Q705" s="83"/>
      <c r="R705" s="83"/>
      <c r="S705" s="8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>
      <c r="A706" s="82"/>
      <c r="B706" s="82"/>
      <c r="C706" s="82"/>
      <c r="D706" s="82"/>
      <c r="E706" s="82"/>
      <c r="F706" s="82"/>
      <c r="G706" s="82"/>
      <c r="H706" s="83"/>
      <c r="I706" s="84"/>
      <c r="J706" s="84"/>
      <c r="K706" s="83"/>
      <c r="L706" s="85"/>
      <c r="M706" s="83"/>
      <c r="N706" s="83"/>
      <c r="O706" s="83"/>
      <c r="P706" s="83"/>
      <c r="Q706" s="83"/>
      <c r="R706" s="83"/>
      <c r="S706" s="8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>
      <c r="A707" s="82"/>
      <c r="B707" s="82"/>
      <c r="C707" s="82"/>
      <c r="D707" s="82"/>
      <c r="E707" s="82"/>
      <c r="F707" s="82"/>
      <c r="G707" s="82"/>
      <c r="H707" s="83"/>
      <c r="I707" s="84"/>
      <c r="J707" s="84"/>
      <c r="K707" s="83"/>
      <c r="L707" s="85"/>
      <c r="M707" s="83"/>
      <c r="N707" s="83"/>
      <c r="O707" s="83"/>
      <c r="P707" s="83"/>
      <c r="Q707" s="83"/>
      <c r="R707" s="83"/>
      <c r="S707" s="8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>
      <c r="A708" s="82"/>
      <c r="B708" s="82"/>
      <c r="C708" s="82"/>
      <c r="D708" s="82"/>
      <c r="E708" s="82"/>
      <c r="F708" s="82"/>
      <c r="G708" s="82"/>
      <c r="H708" s="83"/>
      <c r="I708" s="84"/>
      <c r="J708" s="84"/>
      <c r="K708" s="83"/>
      <c r="L708" s="85"/>
      <c r="M708" s="83"/>
      <c r="N708" s="83"/>
      <c r="O708" s="83"/>
      <c r="P708" s="83"/>
      <c r="Q708" s="83"/>
      <c r="R708" s="83"/>
      <c r="S708" s="8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>
      <c r="A709" s="82"/>
      <c r="B709" s="82"/>
      <c r="C709" s="82"/>
      <c r="D709" s="82"/>
      <c r="E709" s="82"/>
      <c r="F709" s="82"/>
      <c r="G709" s="82"/>
      <c r="H709" s="83"/>
      <c r="I709" s="84"/>
      <c r="J709" s="84"/>
      <c r="K709" s="83"/>
      <c r="L709" s="85"/>
      <c r="M709" s="83"/>
      <c r="N709" s="83"/>
      <c r="O709" s="83"/>
      <c r="P709" s="83"/>
      <c r="Q709" s="83"/>
      <c r="R709" s="83"/>
      <c r="S709" s="8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>
      <c r="A710" s="82"/>
      <c r="B710" s="82"/>
      <c r="C710" s="82"/>
      <c r="D710" s="82"/>
      <c r="E710" s="82"/>
      <c r="F710" s="82"/>
      <c r="G710" s="82"/>
      <c r="H710" s="83"/>
      <c r="I710" s="84"/>
      <c r="J710" s="84"/>
      <c r="K710" s="83"/>
      <c r="L710" s="85"/>
      <c r="M710" s="83"/>
      <c r="N710" s="83"/>
      <c r="O710" s="83"/>
      <c r="P710" s="83"/>
      <c r="Q710" s="83"/>
      <c r="R710" s="83"/>
      <c r="S710" s="8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>
      <c r="A711" s="82"/>
      <c r="B711" s="82"/>
      <c r="C711" s="82"/>
      <c r="D711" s="82"/>
      <c r="E711" s="82"/>
      <c r="F711" s="82"/>
      <c r="G711" s="82"/>
      <c r="H711" s="83"/>
      <c r="I711" s="84"/>
      <c r="J711" s="84"/>
      <c r="K711" s="83"/>
      <c r="L711" s="85"/>
      <c r="M711" s="83"/>
      <c r="N711" s="83"/>
      <c r="O711" s="83"/>
      <c r="P711" s="83"/>
      <c r="Q711" s="83"/>
      <c r="R711" s="83"/>
      <c r="S711" s="8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>
      <c r="A712" s="82"/>
      <c r="B712" s="82"/>
      <c r="C712" s="82"/>
      <c r="D712" s="82"/>
      <c r="E712" s="82"/>
      <c r="F712" s="82"/>
      <c r="G712" s="82"/>
      <c r="H712" s="83"/>
      <c r="I712" s="84"/>
      <c r="J712" s="84"/>
      <c r="K712" s="83"/>
      <c r="L712" s="85"/>
      <c r="M712" s="83"/>
      <c r="N712" s="83"/>
      <c r="O712" s="83"/>
      <c r="P712" s="83"/>
      <c r="Q712" s="83"/>
      <c r="R712" s="83"/>
      <c r="S712" s="8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>
      <c r="A713" s="82"/>
      <c r="B713" s="82"/>
      <c r="C713" s="82"/>
      <c r="D713" s="82"/>
      <c r="E713" s="82"/>
      <c r="F713" s="82"/>
      <c r="G713" s="82"/>
      <c r="H713" s="83"/>
      <c r="I713" s="84"/>
      <c r="J713" s="84"/>
      <c r="K713" s="83"/>
      <c r="L713" s="85"/>
      <c r="M713" s="83"/>
      <c r="N713" s="83"/>
      <c r="O713" s="83"/>
      <c r="P713" s="83"/>
      <c r="Q713" s="83"/>
      <c r="R713" s="83"/>
      <c r="S713" s="8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>
      <c r="A714" s="82"/>
      <c r="B714" s="82"/>
      <c r="C714" s="82"/>
      <c r="D714" s="82"/>
      <c r="E714" s="82"/>
      <c r="F714" s="82"/>
      <c r="G714" s="82"/>
      <c r="H714" s="83"/>
      <c r="I714" s="84"/>
      <c r="J714" s="84"/>
      <c r="K714" s="83"/>
      <c r="L714" s="85"/>
      <c r="M714" s="83"/>
      <c r="N714" s="83"/>
      <c r="O714" s="83"/>
      <c r="P714" s="83"/>
      <c r="Q714" s="83"/>
      <c r="R714" s="83"/>
      <c r="S714" s="8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>
      <c r="A715" s="82"/>
      <c r="B715" s="82"/>
      <c r="C715" s="82"/>
      <c r="D715" s="82"/>
      <c r="E715" s="82"/>
      <c r="F715" s="82"/>
      <c r="G715" s="82"/>
      <c r="H715" s="83"/>
      <c r="I715" s="84"/>
      <c r="J715" s="84"/>
      <c r="K715" s="83"/>
      <c r="L715" s="85"/>
      <c r="M715" s="83"/>
      <c r="N715" s="83"/>
      <c r="O715" s="83"/>
      <c r="P715" s="83"/>
      <c r="Q715" s="83"/>
      <c r="R715" s="83"/>
      <c r="S715" s="8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>
      <c r="A716" s="82"/>
      <c r="B716" s="82"/>
      <c r="C716" s="82"/>
      <c r="D716" s="82"/>
      <c r="E716" s="82"/>
      <c r="F716" s="82"/>
      <c r="G716" s="82"/>
      <c r="H716" s="83"/>
      <c r="I716" s="84"/>
      <c r="J716" s="84"/>
      <c r="K716" s="83"/>
      <c r="L716" s="85"/>
      <c r="M716" s="83"/>
      <c r="N716" s="83"/>
      <c r="O716" s="83"/>
      <c r="P716" s="83"/>
      <c r="Q716" s="83"/>
      <c r="R716" s="83"/>
      <c r="S716" s="8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>
      <c r="A717" s="82"/>
      <c r="B717" s="82"/>
      <c r="C717" s="82"/>
      <c r="D717" s="82"/>
      <c r="E717" s="82"/>
      <c r="F717" s="82"/>
      <c r="G717" s="82"/>
      <c r="H717" s="83"/>
      <c r="I717" s="84"/>
      <c r="J717" s="84"/>
      <c r="K717" s="83"/>
      <c r="L717" s="85"/>
      <c r="M717" s="83"/>
      <c r="N717" s="83"/>
      <c r="O717" s="83"/>
      <c r="P717" s="83"/>
      <c r="Q717" s="83"/>
      <c r="R717" s="83"/>
      <c r="S717" s="8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>
      <c r="A718" s="82"/>
      <c r="B718" s="82"/>
      <c r="C718" s="82"/>
      <c r="D718" s="82"/>
      <c r="E718" s="82"/>
      <c r="F718" s="82"/>
      <c r="G718" s="82"/>
      <c r="H718" s="83"/>
      <c r="I718" s="84"/>
      <c r="J718" s="84"/>
      <c r="K718" s="83"/>
      <c r="L718" s="85"/>
      <c r="M718" s="83"/>
      <c r="N718" s="83"/>
      <c r="O718" s="83"/>
      <c r="P718" s="83"/>
      <c r="Q718" s="83"/>
      <c r="R718" s="83"/>
      <c r="S718" s="8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>
      <c r="A719" s="82"/>
      <c r="B719" s="82"/>
      <c r="C719" s="82"/>
      <c r="D719" s="82"/>
      <c r="E719" s="82"/>
      <c r="F719" s="82"/>
      <c r="G719" s="82"/>
      <c r="H719" s="83"/>
      <c r="I719" s="84"/>
      <c r="J719" s="84"/>
      <c r="K719" s="83"/>
      <c r="L719" s="85"/>
      <c r="M719" s="83"/>
      <c r="N719" s="83"/>
      <c r="O719" s="83"/>
      <c r="P719" s="83"/>
      <c r="Q719" s="83"/>
      <c r="R719" s="83"/>
      <c r="S719" s="8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>
      <c r="A720" s="82"/>
      <c r="B720" s="82"/>
      <c r="C720" s="82"/>
      <c r="D720" s="82"/>
      <c r="E720" s="82"/>
      <c r="F720" s="82"/>
      <c r="G720" s="82"/>
      <c r="H720" s="83"/>
      <c r="I720" s="84"/>
      <c r="J720" s="84"/>
      <c r="K720" s="83"/>
      <c r="L720" s="85"/>
      <c r="M720" s="83"/>
      <c r="N720" s="83"/>
      <c r="O720" s="83"/>
      <c r="P720" s="83"/>
      <c r="Q720" s="83"/>
      <c r="R720" s="83"/>
      <c r="S720" s="8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>
      <c r="A721" s="82"/>
      <c r="B721" s="82"/>
      <c r="C721" s="82"/>
      <c r="D721" s="82"/>
      <c r="E721" s="82"/>
      <c r="F721" s="82"/>
      <c r="G721" s="82"/>
      <c r="H721" s="83"/>
      <c r="I721" s="84"/>
      <c r="J721" s="84"/>
      <c r="K721" s="83"/>
      <c r="L721" s="85"/>
      <c r="M721" s="83"/>
      <c r="N721" s="83"/>
      <c r="O721" s="83"/>
      <c r="P721" s="83"/>
      <c r="Q721" s="83"/>
      <c r="R721" s="83"/>
      <c r="S721" s="8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>
      <c r="A722" s="82"/>
      <c r="B722" s="82"/>
      <c r="C722" s="82"/>
      <c r="D722" s="82"/>
      <c r="E722" s="82"/>
      <c r="F722" s="82"/>
      <c r="G722" s="82"/>
      <c r="H722" s="83"/>
      <c r="I722" s="84"/>
      <c r="J722" s="84"/>
      <c r="K722" s="83"/>
      <c r="L722" s="85"/>
      <c r="M722" s="83"/>
      <c r="N722" s="83"/>
      <c r="O722" s="83"/>
      <c r="P722" s="83"/>
      <c r="Q722" s="83"/>
      <c r="R722" s="83"/>
      <c r="S722" s="8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>
      <c r="A723" s="82"/>
      <c r="B723" s="82"/>
      <c r="C723" s="82"/>
      <c r="D723" s="82"/>
      <c r="E723" s="82"/>
      <c r="F723" s="82"/>
      <c r="G723" s="82"/>
      <c r="H723" s="83"/>
      <c r="I723" s="84"/>
      <c r="J723" s="84"/>
      <c r="K723" s="83"/>
      <c r="L723" s="85"/>
      <c r="M723" s="83"/>
      <c r="N723" s="83"/>
      <c r="O723" s="83"/>
      <c r="P723" s="83"/>
      <c r="Q723" s="83"/>
      <c r="R723" s="83"/>
      <c r="S723" s="8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>
      <c r="A724" s="82"/>
      <c r="B724" s="82"/>
      <c r="C724" s="82"/>
      <c r="D724" s="82"/>
      <c r="E724" s="82"/>
      <c r="F724" s="82"/>
      <c r="G724" s="82"/>
      <c r="H724" s="83"/>
      <c r="I724" s="84"/>
      <c r="J724" s="84"/>
      <c r="K724" s="83"/>
      <c r="L724" s="85"/>
      <c r="M724" s="83"/>
      <c r="N724" s="83"/>
      <c r="O724" s="83"/>
      <c r="P724" s="83"/>
      <c r="Q724" s="83"/>
      <c r="R724" s="83"/>
      <c r="S724" s="8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>
      <c r="A725" s="82"/>
      <c r="B725" s="82"/>
      <c r="C725" s="82"/>
      <c r="D725" s="82"/>
      <c r="E725" s="82"/>
      <c r="F725" s="82"/>
      <c r="G725" s="82"/>
      <c r="H725" s="83"/>
      <c r="I725" s="84"/>
      <c r="J725" s="84"/>
      <c r="K725" s="83"/>
      <c r="L725" s="85"/>
      <c r="M725" s="83"/>
      <c r="N725" s="83"/>
      <c r="O725" s="83"/>
      <c r="P725" s="83"/>
      <c r="Q725" s="83"/>
      <c r="R725" s="83"/>
      <c r="S725" s="8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>
      <c r="A726" s="82"/>
      <c r="B726" s="82"/>
      <c r="C726" s="82"/>
      <c r="D726" s="82"/>
      <c r="E726" s="82"/>
      <c r="F726" s="82"/>
      <c r="G726" s="82"/>
      <c r="H726" s="83"/>
      <c r="I726" s="84"/>
      <c r="J726" s="84"/>
      <c r="K726" s="83"/>
      <c r="L726" s="85"/>
      <c r="M726" s="83"/>
      <c r="N726" s="83"/>
      <c r="O726" s="83"/>
      <c r="P726" s="83"/>
      <c r="Q726" s="83"/>
      <c r="R726" s="83"/>
      <c r="S726" s="8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>
      <c r="A727" s="82"/>
      <c r="B727" s="82"/>
      <c r="C727" s="82"/>
      <c r="D727" s="82"/>
      <c r="E727" s="82"/>
      <c r="F727" s="82"/>
      <c r="G727" s="82"/>
      <c r="H727" s="83"/>
      <c r="I727" s="84"/>
      <c r="J727" s="84"/>
      <c r="K727" s="83"/>
      <c r="L727" s="85"/>
      <c r="M727" s="83"/>
      <c r="N727" s="83"/>
      <c r="O727" s="83"/>
      <c r="P727" s="83"/>
      <c r="Q727" s="83"/>
      <c r="R727" s="83"/>
      <c r="S727" s="8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>
      <c r="A728" s="82"/>
      <c r="B728" s="82"/>
      <c r="C728" s="82"/>
      <c r="D728" s="82"/>
      <c r="E728" s="82"/>
      <c r="F728" s="82"/>
      <c r="G728" s="82"/>
      <c r="H728" s="83"/>
      <c r="I728" s="84"/>
      <c r="J728" s="84"/>
      <c r="K728" s="83"/>
      <c r="L728" s="85"/>
      <c r="M728" s="83"/>
      <c r="N728" s="83"/>
      <c r="O728" s="83"/>
      <c r="P728" s="83"/>
      <c r="Q728" s="83"/>
      <c r="R728" s="83"/>
      <c r="S728" s="8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>
      <c r="A729" s="82"/>
      <c r="B729" s="82"/>
      <c r="C729" s="82"/>
      <c r="D729" s="82"/>
      <c r="E729" s="82"/>
      <c r="F729" s="82"/>
      <c r="G729" s="82"/>
      <c r="H729" s="83"/>
      <c r="I729" s="84"/>
      <c r="J729" s="84"/>
      <c r="K729" s="83"/>
      <c r="L729" s="85"/>
      <c r="M729" s="83"/>
      <c r="N729" s="83"/>
      <c r="O729" s="83"/>
      <c r="P729" s="83"/>
      <c r="Q729" s="83"/>
      <c r="R729" s="83"/>
      <c r="S729" s="8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>
      <c r="A730" s="82"/>
      <c r="B730" s="82"/>
      <c r="C730" s="82"/>
      <c r="D730" s="82"/>
      <c r="E730" s="82"/>
      <c r="F730" s="82"/>
      <c r="G730" s="82"/>
      <c r="H730" s="83"/>
      <c r="I730" s="84"/>
      <c r="J730" s="84"/>
      <c r="K730" s="83"/>
      <c r="L730" s="85"/>
      <c r="M730" s="83"/>
      <c r="N730" s="83"/>
      <c r="O730" s="83"/>
      <c r="P730" s="83"/>
      <c r="Q730" s="83"/>
      <c r="R730" s="83"/>
      <c r="S730" s="8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>
      <c r="A731" s="82"/>
      <c r="B731" s="82"/>
      <c r="C731" s="82"/>
      <c r="D731" s="82"/>
      <c r="E731" s="82"/>
      <c r="F731" s="82"/>
      <c r="G731" s="82"/>
      <c r="H731" s="83"/>
      <c r="I731" s="84"/>
      <c r="J731" s="84"/>
      <c r="K731" s="83"/>
      <c r="L731" s="85"/>
      <c r="M731" s="83"/>
      <c r="N731" s="83"/>
      <c r="O731" s="83"/>
      <c r="P731" s="83"/>
      <c r="Q731" s="83"/>
      <c r="R731" s="83"/>
      <c r="S731" s="8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>
      <c r="A732" s="82"/>
      <c r="B732" s="82"/>
      <c r="C732" s="82"/>
      <c r="D732" s="82"/>
      <c r="E732" s="82"/>
      <c r="F732" s="82"/>
      <c r="G732" s="82"/>
      <c r="H732" s="83"/>
      <c r="I732" s="84"/>
      <c r="J732" s="84"/>
      <c r="K732" s="83"/>
      <c r="L732" s="85"/>
      <c r="M732" s="83"/>
      <c r="N732" s="83"/>
      <c r="O732" s="83"/>
      <c r="P732" s="83"/>
      <c r="Q732" s="83"/>
      <c r="R732" s="83"/>
      <c r="S732" s="8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>
      <c r="A733" s="82"/>
      <c r="B733" s="82"/>
      <c r="C733" s="82"/>
      <c r="D733" s="82"/>
      <c r="E733" s="82"/>
      <c r="F733" s="82"/>
      <c r="G733" s="82"/>
      <c r="H733" s="83"/>
      <c r="I733" s="84"/>
      <c r="J733" s="84"/>
      <c r="K733" s="83"/>
      <c r="L733" s="85"/>
      <c r="M733" s="83"/>
      <c r="N733" s="83"/>
      <c r="O733" s="83"/>
      <c r="P733" s="83"/>
      <c r="Q733" s="83"/>
      <c r="R733" s="83"/>
      <c r="S733" s="8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>
      <c r="A734" s="82"/>
      <c r="B734" s="82"/>
      <c r="C734" s="82"/>
      <c r="D734" s="82"/>
      <c r="E734" s="82"/>
      <c r="F734" s="82"/>
      <c r="G734" s="82"/>
      <c r="H734" s="83"/>
      <c r="I734" s="84"/>
      <c r="J734" s="84"/>
      <c r="K734" s="83"/>
      <c r="L734" s="85"/>
      <c r="M734" s="83"/>
      <c r="N734" s="83"/>
      <c r="O734" s="83"/>
      <c r="P734" s="83"/>
      <c r="Q734" s="83"/>
      <c r="R734" s="83"/>
      <c r="S734" s="8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>
      <c r="A735" s="82"/>
      <c r="B735" s="82"/>
      <c r="C735" s="82"/>
      <c r="D735" s="82"/>
      <c r="E735" s="82"/>
      <c r="F735" s="82"/>
      <c r="G735" s="82"/>
      <c r="H735" s="83"/>
      <c r="I735" s="84"/>
      <c r="J735" s="84"/>
      <c r="K735" s="83"/>
      <c r="L735" s="85"/>
      <c r="M735" s="83"/>
      <c r="N735" s="83"/>
      <c r="O735" s="83"/>
      <c r="P735" s="83"/>
      <c r="Q735" s="83"/>
      <c r="R735" s="83"/>
      <c r="S735" s="8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>
      <c r="A736" s="82"/>
      <c r="B736" s="82"/>
      <c r="C736" s="82"/>
      <c r="D736" s="82"/>
      <c r="E736" s="82"/>
      <c r="F736" s="82"/>
      <c r="G736" s="82"/>
      <c r="H736" s="83"/>
      <c r="I736" s="84"/>
      <c r="J736" s="84"/>
      <c r="K736" s="83"/>
      <c r="L736" s="85"/>
      <c r="M736" s="83"/>
      <c r="N736" s="83"/>
      <c r="O736" s="83"/>
      <c r="P736" s="83"/>
      <c r="Q736" s="83"/>
      <c r="R736" s="83"/>
      <c r="S736" s="8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>
      <c r="A737" s="82"/>
      <c r="B737" s="82"/>
      <c r="C737" s="82"/>
      <c r="D737" s="82"/>
      <c r="E737" s="82"/>
      <c r="F737" s="82"/>
      <c r="G737" s="82"/>
      <c r="H737" s="83"/>
      <c r="I737" s="84"/>
      <c r="J737" s="84"/>
      <c r="K737" s="83"/>
      <c r="L737" s="85"/>
      <c r="M737" s="83"/>
      <c r="N737" s="83"/>
      <c r="O737" s="83"/>
      <c r="P737" s="83"/>
      <c r="Q737" s="83"/>
      <c r="R737" s="83"/>
      <c r="S737" s="8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>
      <c r="A738" s="82"/>
      <c r="B738" s="82"/>
      <c r="C738" s="82"/>
      <c r="D738" s="82"/>
      <c r="E738" s="82"/>
      <c r="F738" s="82"/>
      <c r="G738" s="82"/>
      <c r="H738" s="83"/>
      <c r="I738" s="84"/>
      <c r="J738" s="84"/>
      <c r="K738" s="83"/>
      <c r="L738" s="85"/>
      <c r="M738" s="83"/>
      <c r="N738" s="83"/>
      <c r="O738" s="83"/>
      <c r="P738" s="83"/>
      <c r="Q738" s="83"/>
      <c r="R738" s="83"/>
      <c r="S738" s="8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>
      <c r="A739" s="82"/>
      <c r="B739" s="82"/>
      <c r="C739" s="82"/>
      <c r="D739" s="82"/>
      <c r="E739" s="82"/>
      <c r="F739" s="82"/>
      <c r="G739" s="82"/>
      <c r="H739" s="83"/>
      <c r="I739" s="84"/>
      <c r="J739" s="84"/>
      <c r="K739" s="83"/>
      <c r="L739" s="85"/>
      <c r="M739" s="83"/>
      <c r="N739" s="83"/>
      <c r="O739" s="83"/>
      <c r="P739" s="83"/>
      <c r="Q739" s="83"/>
      <c r="R739" s="83"/>
      <c r="S739" s="8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>
      <c r="A740" s="82"/>
      <c r="B740" s="82"/>
      <c r="C740" s="82"/>
      <c r="D740" s="82"/>
      <c r="E740" s="82"/>
      <c r="F740" s="82"/>
      <c r="G740" s="82"/>
      <c r="H740" s="83"/>
      <c r="I740" s="84"/>
      <c r="J740" s="84"/>
      <c r="K740" s="83"/>
      <c r="L740" s="85"/>
      <c r="M740" s="83"/>
      <c r="N740" s="83"/>
      <c r="O740" s="83"/>
      <c r="P740" s="83"/>
      <c r="Q740" s="83"/>
      <c r="R740" s="83"/>
      <c r="S740" s="8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>
      <c r="A741" s="82"/>
      <c r="B741" s="82"/>
      <c r="C741" s="82"/>
      <c r="D741" s="82"/>
      <c r="E741" s="82"/>
      <c r="F741" s="82"/>
      <c r="G741" s="82"/>
      <c r="H741" s="83"/>
      <c r="I741" s="84"/>
      <c r="J741" s="84"/>
      <c r="K741" s="83"/>
      <c r="L741" s="85"/>
      <c r="M741" s="83"/>
      <c r="N741" s="83"/>
      <c r="O741" s="83"/>
      <c r="P741" s="83"/>
      <c r="Q741" s="83"/>
      <c r="R741" s="83"/>
      <c r="S741" s="8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>
      <c r="A742" s="82"/>
      <c r="B742" s="82"/>
      <c r="C742" s="82"/>
      <c r="D742" s="82"/>
      <c r="E742" s="82"/>
      <c r="F742" s="82"/>
      <c r="G742" s="82"/>
      <c r="H742" s="83"/>
      <c r="I742" s="84"/>
      <c r="J742" s="84"/>
      <c r="K742" s="83"/>
      <c r="L742" s="85"/>
      <c r="M742" s="83"/>
      <c r="N742" s="83"/>
      <c r="O742" s="83"/>
      <c r="P742" s="83"/>
      <c r="Q742" s="83"/>
      <c r="R742" s="83"/>
      <c r="S742" s="8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>
      <c r="A743" s="82"/>
      <c r="B743" s="82"/>
      <c r="C743" s="82"/>
      <c r="D743" s="82"/>
      <c r="E743" s="82"/>
      <c r="F743" s="82"/>
      <c r="G743" s="82"/>
      <c r="H743" s="83"/>
      <c r="I743" s="84"/>
      <c r="J743" s="84"/>
      <c r="K743" s="83"/>
      <c r="L743" s="85"/>
      <c r="M743" s="83"/>
      <c r="N743" s="83"/>
      <c r="O743" s="83"/>
      <c r="P743" s="83"/>
      <c r="Q743" s="83"/>
      <c r="R743" s="83"/>
      <c r="S743" s="8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>
      <c r="A744" s="82"/>
      <c r="B744" s="82"/>
      <c r="C744" s="82"/>
      <c r="D744" s="82"/>
      <c r="E744" s="82"/>
      <c r="F744" s="82"/>
      <c r="G744" s="82"/>
      <c r="H744" s="83"/>
      <c r="I744" s="84"/>
      <c r="J744" s="84"/>
      <c r="K744" s="83"/>
      <c r="L744" s="85"/>
      <c r="M744" s="83"/>
      <c r="N744" s="83"/>
      <c r="O744" s="83"/>
      <c r="P744" s="83"/>
      <c r="Q744" s="83"/>
      <c r="R744" s="83"/>
      <c r="S744" s="8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>
      <c r="A745" s="82"/>
      <c r="B745" s="82"/>
      <c r="C745" s="82"/>
      <c r="D745" s="82"/>
      <c r="E745" s="82"/>
      <c r="F745" s="82"/>
      <c r="G745" s="82"/>
      <c r="H745" s="83"/>
      <c r="I745" s="84"/>
      <c r="J745" s="84"/>
      <c r="K745" s="83"/>
      <c r="L745" s="85"/>
      <c r="M745" s="83"/>
      <c r="N745" s="83"/>
      <c r="O745" s="83"/>
      <c r="P745" s="83"/>
      <c r="Q745" s="83"/>
      <c r="R745" s="83"/>
      <c r="S745" s="8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>
      <c r="A746" s="82"/>
      <c r="B746" s="82"/>
      <c r="C746" s="82"/>
      <c r="D746" s="82"/>
      <c r="E746" s="82"/>
      <c r="F746" s="82"/>
      <c r="G746" s="82"/>
      <c r="H746" s="83"/>
      <c r="I746" s="84"/>
      <c r="J746" s="84"/>
      <c r="K746" s="83"/>
      <c r="L746" s="85"/>
      <c r="M746" s="83"/>
      <c r="N746" s="83"/>
      <c r="O746" s="83"/>
      <c r="P746" s="83"/>
      <c r="Q746" s="83"/>
      <c r="R746" s="83"/>
      <c r="S746" s="8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>
      <c r="A747" s="82"/>
      <c r="B747" s="82"/>
      <c r="C747" s="82"/>
      <c r="D747" s="82"/>
      <c r="E747" s="82"/>
      <c r="F747" s="82"/>
      <c r="G747" s="82"/>
      <c r="H747" s="83"/>
      <c r="I747" s="84"/>
      <c r="J747" s="84"/>
      <c r="K747" s="83"/>
      <c r="L747" s="85"/>
      <c r="M747" s="83"/>
      <c r="N747" s="83"/>
      <c r="O747" s="83"/>
      <c r="P747" s="83"/>
      <c r="Q747" s="83"/>
      <c r="R747" s="83"/>
      <c r="S747" s="8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>
      <c r="A748" s="82"/>
      <c r="B748" s="82"/>
      <c r="C748" s="82"/>
      <c r="D748" s="82"/>
      <c r="E748" s="82"/>
      <c r="F748" s="82"/>
      <c r="G748" s="82"/>
      <c r="H748" s="83"/>
      <c r="I748" s="84"/>
      <c r="J748" s="84"/>
      <c r="K748" s="83"/>
      <c r="L748" s="85"/>
      <c r="M748" s="83"/>
      <c r="N748" s="83"/>
      <c r="O748" s="83"/>
      <c r="P748" s="83"/>
      <c r="Q748" s="83"/>
      <c r="R748" s="83"/>
      <c r="S748" s="8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>
      <c r="A749" s="82"/>
      <c r="B749" s="82"/>
      <c r="C749" s="82"/>
      <c r="D749" s="82"/>
      <c r="E749" s="82"/>
      <c r="F749" s="82"/>
      <c r="G749" s="82"/>
      <c r="H749" s="83"/>
      <c r="I749" s="84"/>
      <c r="J749" s="84"/>
      <c r="K749" s="83"/>
      <c r="L749" s="85"/>
      <c r="M749" s="83"/>
      <c r="N749" s="83"/>
      <c r="O749" s="83"/>
      <c r="P749" s="83"/>
      <c r="Q749" s="83"/>
      <c r="R749" s="83"/>
      <c r="S749" s="8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>
      <c r="A750" s="82"/>
      <c r="B750" s="82"/>
      <c r="C750" s="82"/>
      <c r="D750" s="82"/>
      <c r="E750" s="82"/>
      <c r="F750" s="82"/>
      <c r="G750" s="82"/>
      <c r="H750" s="83"/>
      <c r="I750" s="84"/>
      <c r="J750" s="84"/>
      <c r="K750" s="83"/>
      <c r="L750" s="85"/>
      <c r="M750" s="83"/>
      <c r="N750" s="83"/>
      <c r="O750" s="83"/>
      <c r="P750" s="83"/>
      <c r="Q750" s="83"/>
      <c r="R750" s="83"/>
      <c r="S750" s="8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>
      <c r="A751" s="82"/>
      <c r="B751" s="82"/>
      <c r="C751" s="82"/>
      <c r="D751" s="82"/>
      <c r="E751" s="82"/>
      <c r="F751" s="82"/>
      <c r="G751" s="82"/>
      <c r="H751" s="83"/>
      <c r="I751" s="84"/>
      <c r="J751" s="84"/>
      <c r="K751" s="83"/>
      <c r="L751" s="85"/>
      <c r="M751" s="83"/>
      <c r="N751" s="83"/>
      <c r="O751" s="83"/>
      <c r="P751" s="83"/>
      <c r="Q751" s="83"/>
      <c r="R751" s="83"/>
      <c r="S751" s="8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>
      <c r="A752" s="82"/>
      <c r="B752" s="82"/>
      <c r="C752" s="82"/>
      <c r="D752" s="82"/>
      <c r="E752" s="82"/>
      <c r="F752" s="82"/>
      <c r="G752" s="82"/>
      <c r="H752" s="83"/>
      <c r="I752" s="84"/>
      <c r="J752" s="84"/>
      <c r="K752" s="83"/>
      <c r="L752" s="85"/>
      <c r="M752" s="83"/>
      <c r="N752" s="83"/>
      <c r="O752" s="83"/>
      <c r="P752" s="83"/>
      <c r="Q752" s="83"/>
      <c r="R752" s="83"/>
      <c r="S752" s="8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>
      <c r="A753" s="82"/>
      <c r="B753" s="82"/>
      <c r="C753" s="82"/>
      <c r="D753" s="82"/>
      <c r="E753" s="82"/>
      <c r="F753" s="82"/>
      <c r="G753" s="82"/>
      <c r="H753" s="83"/>
      <c r="I753" s="84"/>
      <c r="J753" s="84"/>
      <c r="K753" s="83"/>
      <c r="L753" s="85"/>
      <c r="M753" s="83"/>
      <c r="N753" s="83"/>
      <c r="O753" s="83"/>
      <c r="P753" s="83"/>
      <c r="Q753" s="83"/>
      <c r="R753" s="83"/>
      <c r="S753" s="8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>
      <c r="A754" s="82"/>
      <c r="B754" s="82"/>
      <c r="C754" s="82"/>
      <c r="D754" s="82"/>
      <c r="E754" s="82"/>
      <c r="F754" s="82"/>
      <c r="G754" s="82"/>
      <c r="H754" s="83"/>
      <c r="I754" s="84"/>
      <c r="J754" s="84"/>
      <c r="K754" s="83"/>
      <c r="L754" s="85"/>
      <c r="M754" s="83"/>
      <c r="N754" s="83"/>
      <c r="O754" s="83"/>
      <c r="P754" s="83"/>
      <c r="Q754" s="83"/>
      <c r="R754" s="83"/>
      <c r="S754" s="8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>
      <c r="A755" s="82"/>
      <c r="B755" s="82"/>
      <c r="C755" s="82"/>
      <c r="D755" s="82"/>
      <c r="E755" s="82"/>
      <c r="F755" s="82"/>
      <c r="G755" s="82"/>
      <c r="H755" s="83"/>
      <c r="I755" s="84"/>
      <c r="J755" s="84"/>
      <c r="K755" s="83"/>
      <c r="L755" s="85"/>
      <c r="M755" s="83"/>
      <c r="N755" s="83"/>
      <c r="O755" s="83"/>
      <c r="P755" s="83"/>
      <c r="Q755" s="83"/>
      <c r="R755" s="83"/>
      <c r="S755" s="8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>
      <c r="A756" s="82"/>
      <c r="B756" s="82"/>
      <c r="C756" s="82"/>
      <c r="D756" s="82"/>
      <c r="E756" s="82"/>
      <c r="F756" s="82"/>
      <c r="G756" s="82"/>
      <c r="H756" s="83"/>
      <c r="I756" s="84"/>
      <c r="J756" s="84"/>
      <c r="K756" s="83"/>
      <c r="L756" s="85"/>
      <c r="M756" s="83"/>
      <c r="N756" s="83"/>
      <c r="O756" s="83"/>
      <c r="P756" s="83"/>
      <c r="Q756" s="83"/>
      <c r="R756" s="83"/>
      <c r="S756" s="8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>
      <c r="A757" s="82"/>
      <c r="B757" s="82"/>
      <c r="C757" s="82"/>
      <c r="D757" s="82"/>
      <c r="E757" s="82"/>
      <c r="F757" s="82"/>
      <c r="G757" s="82"/>
      <c r="H757" s="83"/>
      <c r="I757" s="84"/>
      <c r="J757" s="84"/>
      <c r="K757" s="83"/>
      <c r="L757" s="85"/>
      <c r="M757" s="83"/>
      <c r="N757" s="83"/>
      <c r="O757" s="83"/>
      <c r="P757" s="83"/>
      <c r="Q757" s="83"/>
      <c r="R757" s="83"/>
      <c r="S757" s="8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>
      <c r="A758" s="82"/>
      <c r="B758" s="82"/>
      <c r="C758" s="82"/>
      <c r="D758" s="82"/>
      <c r="E758" s="82"/>
      <c r="F758" s="82"/>
      <c r="G758" s="82"/>
      <c r="H758" s="83"/>
      <c r="I758" s="84"/>
      <c r="J758" s="84"/>
      <c r="K758" s="83"/>
      <c r="L758" s="85"/>
      <c r="M758" s="83"/>
      <c r="N758" s="83"/>
      <c r="O758" s="83"/>
      <c r="P758" s="83"/>
      <c r="Q758" s="83"/>
      <c r="R758" s="83"/>
      <c r="S758" s="8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>
      <c r="A759" s="82"/>
      <c r="B759" s="82"/>
      <c r="C759" s="82"/>
      <c r="D759" s="82"/>
      <c r="E759" s="82"/>
      <c r="F759" s="82"/>
      <c r="G759" s="82"/>
      <c r="H759" s="83"/>
      <c r="I759" s="84"/>
      <c r="J759" s="84"/>
      <c r="K759" s="83"/>
      <c r="L759" s="85"/>
      <c r="M759" s="83"/>
      <c r="N759" s="83"/>
      <c r="O759" s="83"/>
      <c r="P759" s="83"/>
      <c r="Q759" s="83"/>
      <c r="R759" s="83"/>
      <c r="S759" s="8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>
      <c r="A760" s="82"/>
      <c r="B760" s="82"/>
      <c r="C760" s="82"/>
      <c r="D760" s="82"/>
      <c r="E760" s="82"/>
      <c r="F760" s="82"/>
      <c r="G760" s="82"/>
      <c r="H760" s="83"/>
      <c r="I760" s="84"/>
      <c r="J760" s="84"/>
      <c r="K760" s="83"/>
      <c r="L760" s="85"/>
      <c r="M760" s="83"/>
      <c r="N760" s="83"/>
      <c r="O760" s="83"/>
      <c r="P760" s="83"/>
      <c r="Q760" s="83"/>
      <c r="R760" s="83"/>
      <c r="S760" s="8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>
      <c r="A761" s="82"/>
      <c r="B761" s="82"/>
      <c r="C761" s="82"/>
      <c r="D761" s="82"/>
      <c r="E761" s="82"/>
      <c r="F761" s="82"/>
      <c r="G761" s="82"/>
      <c r="H761" s="83"/>
      <c r="I761" s="84"/>
      <c r="J761" s="84"/>
      <c r="K761" s="83"/>
      <c r="L761" s="85"/>
      <c r="M761" s="83"/>
      <c r="N761" s="83"/>
      <c r="O761" s="83"/>
      <c r="P761" s="83"/>
      <c r="Q761" s="83"/>
      <c r="R761" s="83"/>
      <c r="S761" s="8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>
      <c r="A762" s="82"/>
      <c r="B762" s="82"/>
      <c r="C762" s="82"/>
      <c r="D762" s="82"/>
      <c r="E762" s="82"/>
      <c r="F762" s="82"/>
      <c r="G762" s="82"/>
      <c r="H762" s="83"/>
      <c r="I762" s="84"/>
      <c r="J762" s="84"/>
      <c r="K762" s="83"/>
      <c r="L762" s="85"/>
      <c r="M762" s="83"/>
      <c r="N762" s="83"/>
      <c r="O762" s="83"/>
      <c r="P762" s="83"/>
      <c r="Q762" s="83"/>
      <c r="R762" s="83"/>
      <c r="S762" s="8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>
      <c r="A763" s="82"/>
      <c r="B763" s="82"/>
      <c r="C763" s="82"/>
      <c r="D763" s="82"/>
      <c r="E763" s="82"/>
      <c r="F763" s="82"/>
      <c r="G763" s="82"/>
      <c r="H763" s="83"/>
      <c r="I763" s="84"/>
      <c r="J763" s="84"/>
      <c r="K763" s="83"/>
      <c r="L763" s="85"/>
      <c r="M763" s="83"/>
      <c r="N763" s="83"/>
      <c r="O763" s="83"/>
      <c r="P763" s="83"/>
      <c r="Q763" s="83"/>
      <c r="R763" s="83"/>
      <c r="S763" s="8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>
      <c r="A764" s="82"/>
      <c r="B764" s="82"/>
      <c r="C764" s="82"/>
      <c r="D764" s="82"/>
      <c r="E764" s="82"/>
      <c r="F764" s="82"/>
      <c r="G764" s="82"/>
      <c r="H764" s="83"/>
      <c r="I764" s="84"/>
      <c r="J764" s="84"/>
      <c r="K764" s="83"/>
      <c r="L764" s="85"/>
      <c r="M764" s="83"/>
      <c r="N764" s="83"/>
      <c r="O764" s="83"/>
      <c r="P764" s="83"/>
      <c r="Q764" s="83"/>
      <c r="R764" s="83"/>
      <c r="S764" s="8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>
      <c r="A765" s="82"/>
      <c r="B765" s="82"/>
      <c r="C765" s="82"/>
      <c r="D765" s="82"/>
      <c r="E765" s="82"/>
      <c r="F765" s="82"/>
      <c r="G765" s="82"/>
      <c r="H765" s="83"/>
      <c r="I765" s="84"/>
      <c r="J765" s="84"/>
      <c r="K765" s="83"/>
      <c r="L765" s="85"/>
      <c r="M765" s="83"/>
      <c r="N765" s="83"/>
      <c r="O765" s="83"/>
      <c r="P765" s="83"/>
      <c r="Q765" s="83"/>
      <c r="R765" s="83"/>
      <c r="S765" s="8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82"/>
      <c r="B766" s="82"/>
      <c r="C766" s="82"/>
      <c r="D766" s="82"/>
      <c r="E766" s="82"/>
      <c r="F766" s="82"/>
      <c r="G766" s="82"/>
      <c r="H766" s="83"/>
      <c r="I766" s="84"/>
      <c r="J766" s="84"/>
      <c r="K766" s="83"/>
      <c r="L766" s="85"/>
      <c r="M766" s="83"/>
      <c r="N766" s="83"/>
      <c r="O766" s="83"/>
      <c r="P766" s="83"/>
      <c r="Q766" s="83"/>
      <c r="R766" s="83"/>
      <c r="S766" s="8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82"/>
      <c r="B767" s="82"/>
      <c r="C767" s="82"/>
      <c r="D767" s="82"/>
      <c r="E767" s="82"/>
      <c r="F767" s="82"/>
      <c r="G767" s="82"/>
      <c r="H767" s="83"/>
      <c r="I767" s="84"/>
      <c r="J767" s="84"/>
      <c r="K767" s="83"/>
      <c r="L767" s="85"/>
      <c r="M767" s="83"/>
      <c r="N767" s="83"/>
      <c r="O767" s="83"/>
      <c r="P767" s="83"/>
      <c r="Q767" s="83"/>
      <c r="R767" s="83"/>
      <c r="S767" s="8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82"/>
      <c r="B768" s="82"/>
      <c r="C768" s="82"/>
      <c r="D768" s="82"/>
      <c r="E768" s="82"/>
      <c r="F768" s="82"/>
      <c r="G768" s="82"/>
      <c r="H768" s="83"/>
      <c r="I768" s="84"/>
      <c r="J768" s="84"/>
      <c r="K768" s="83"/>
      <c r="L768" s="85"/>
      <c r="M768" s="83"/>
      <c r="N768" s="83"/>
      <c r="O768" s="83"/>
      <c r="P768" s="83"/>
      <c r="Q768" s="83"/>
      <c r="R768" s="83"/>
      <c r="S768" s="8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82"/>
      <c r="B769" s="82"/>
      <c r="C769" s="82"/>
      <c r="D769" s="82"/>
      <c r="E769" s="82"/>
      <c r="F769" s="82"/>
      <c r="G769" s="82"/>
      <c r="H769" s="83"/>
      <c r="I769" s="84"/>
      <c r="J769" s="84"/>
      <c r="K769" s="83"/>
      <c r="L769" s="85"/>
      <c r="M769" s="83"/>
      <c r="N769" s="83"/>
      <c r="O769" s="83"/>
      <c r="P769" s="83"/>
      <c r="Q769" s="83"/>
      <c r="R769" s="83"/>
      <c r="S769" s="8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82"/>
      <c r="B770" s="82"/>
      <c r="C770" s="82"/>
      <c r="D770" s="82"/>
      <c r="E770" s="82"/>
      <c r="F770" s="82"/>
      <c r="G770" s="82"/>
      <c r="H770" s="83"/>
      <c r="I770" s="84"/>
      <c r="J770" s="84"/>
      <c r="K770" s="83"/>
      <c r="L770" s="85"/>
      <c r="M770" s="83"/>
      <c r="N770" s="83"/>
      <c r="O770" s="83"/>
      <c r="P770" s="83"/>
      <c r="Q770" s="83"/>
      <c r="R770" s="83"/>
      <c r="S770" s="8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82"/>
      <c r="B771" s="82"/>
      <c r="C771" s="82"/>
      <c r="D771" s="82"/>
      <c r="E771" s="82"/>
      <c r="F771" s="82"/>
      <c r="G771" s="82"/>
      <c r="H771" s="83"/>
      <c r="I771" s="84"/>
      <c r="J771" s="84"/>
      <c r="K771" s="83"/>
      <c r="L771" s="85"/>
      <c r="M771" s="83"/>
      <c r="N771" s="83"/>
      <c r="O771" s="83"/>
      <c r="P771" s="83"/>
      <c r="Q771" s="83"/>
      <c r="R771" s="83"/>
      <c r="S771" s="8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82"/>
      <c r="B772" s="82"/>
      <c r="C772" s="82"/>
      <c r="D772" s="82"/>
      <c r="E772" s="82"/>
      <c r="F772" s="82"/>
      <c r="G772" s="82"/>
      <c r="H772" s="83"/>
      <c r="I772" s="84"/>
      <c r="J772" s="84"/>
      <c r="K772" s="83"/>
      <c r="L772" s="85"/>
      <c r="M772" s="83"/>
      <c r="N772" s="83"/>
      <c r="O772" s="83"/>
      <c r="P772" s="83"/>
      <c r="Q772" s="83"/>
      <c r="R772" s="83"/>
      <c r="S772" s="8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82"/>
      <c r="B773" s="82"/>
      <c r="C773" s="82"/>
      <c r="D773" s="82"/>
      <c r="E773" s="82"/>
      <c r="F773" s="82"/>
      <c r="G773" s="82"/>
      <c r="H773" s="83"/>
      <c r="I773" s="84"/>
      <c r="J773" s="84"/>
      <c r="K773" s="83"/>
      <c r="L773" s="85"/>
      <c r="M773" s="83"/>
      <c r="N773" s="83"/>
      <c r="O773" s="83"/>
      <c r="P773" s="83"/>
      <c r="Q773" s="83"/>
      <c r="R773" s="83"/>
      <c r="S773" s="8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82"/>
      <c r="B774" s="82"/>
      <c r="C774" s="82"/>
      <c r="D774" s="82"/>
      <c r="E774" s="82"/>
      <c r="F774" s="82"/>
      <c r="G774" s="82"/>
      <c r="H774" s="83"/>
      <c r="I774" s="84"/>
      <c r="J774" s="84"/>
      <c r="K774" s="83"/>
      <c r="L774" s="85"/>
      <c r="M774" s="83"/>
      <c r="N774" s="83"/>
      <c r="O774" s="83"/>
      <c r="P774" s="83"/>
      <c r="Q774" s="83"/>
      <c r="R774" s="83"/>
      <c r="S774" s="8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82"/>
      <c r="B775" s="82"/>
      <c r="C775" s="82"/>
      <c r="D775" s="82"/>
      <c r="E775" s="82"/>
      <c r="F775" s="82"/>
      <c r="G775" s="82"/>
      <c r="H775" s="83"/>
      <c r="I775" s="84"/>
      <c r="J775" s="84"/>
      <c r="K775" s="83"/>
      <c r="L775" s="85"/>
      <c r="M775" s="83"/>
      <c r="N775" s="83"/>
      <c r="O775" s="83"/>
      <c r="P775" s="83"/>
      <c r="Q775" s="83"/>
      <c r="R775" s="83"/>
      <c r="S775" s="8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82"/>
      <c r="B776" s="82"/>
      <c r="C776" s="82"/>
      <c r="D776" s="82"/>
      <c r="E776" s="82"/>
      <c r="F776" s="82"/>
      <c r="G776" s="82"/>
      <c r="H776" s="83"/>
      <c r="I776" s="84"/>
      <c r="J776" s="84"/>
      <c r="K776" s="83"/>
      <c r="L776" s="85"/>
      <c r="M776" s="83"/>
      <c r="N776" s="83"/>
      <c r="O776" s="83"/>
      <c r="P776" s="83"/>
      <c r="Q776" s="83"/>
      <c r="R776" s="83"/>
      <c r="S776" s="8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82"/>
      <c r="B777" s="82"/>
      <c r="C777" s="82"/>
      <c r="D777" s="82"/>
      <c r="E777" s="82"/>
      <c r="F777" s="82"/>
      <c r="G777" s="82"/>
      <c r="H777" s="83"/>
      <c r="I777" s="84"/>
      <c r="J777" s="84"/>
      <c r="K777" s="83"/>
      <c r="L777" s="85"/>
      <c r="M777" s="83"/>
      <c r="N777" s="83"/>
      <c r="O777" s="83"/>
      <c r="P777" s="83"/>
      <c r="Q777" s="83"/>
      <c r="R777" s="83"/>
      <c r="S777" s="8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82"/>
      <c r="B778" s="82"/>
      <c r="C778" s="82"/>
      <c r="D778" s="82"/>
      <c r="E778" s="82"/>
      <c r="F778" s="82"/>
      <c r="G778" s="82"/>
      <c r="H778" s="83"/>
      <c r="I778" s="84"/>
      <c r="J778" s="84"/>
      <c r="K778" s="83"/>
      <c r="L778" s="85"/>
      <c r="M778" s="83"/>
      <c r="N778" s="83"/>
      <c r="O778" s="83"/>
      <c r="P778" s="83"/>
      <c r="Q778" s="83"/>
      <c r="R778" s="83"/>
      <c r="S778" s="8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82"/>
      <c r="B779" s="82"/>
      <c r="C779" s="82"/>
      <c r="D779" s="82"/>
      <c r="E779" s="82"/>
      <c r="F779" s="82"/>
      <c r="G779" s="82"/>
      <c r="H779" s="83"/>
      <c r="I779" s="84"/>
      <c r="J779" s="84"/>
      <c r="K779" s="83"/>
      <c r="L779" s="85"/>
      <c r="M779" s="83"/>
      <c r="N779" s="83"/>
      <c r="O779" s="83"/>
      <c r="P779" s="83"/>
      <c r="Q779" s="83"/>
      <c r="R779" s="83"/>
      <c r="S779" s="8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82"/>
      <c r="B780" s="82"/>
      <c r="C780" s="82"/>
      <c r="D780" s="82"/>
      <c r="E780" s="82"/>
      <c r="F780" s="82"/>
      <c r="G780" s="82"/>
      <c r="H780" s="83"/>
      <c r="I780" s="84"/>
      <c r="J780" s="84"/>
      <c r="K780" s="83"/>
      <c r="L780" s="85"/>
      <c r="M780" s="83"/>
      <c r="N780" s="83"/>
      <c r="O780" s="83"/>
      <c r="P780" s="83"/>
      <c r="Q780" s="83"/>
      <c r="R780" s="83"/>
      <c r="S780" s="8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82"/>
      <c r="B781" s="82"/>
      <c r="C781" s="82"/>
      <c r="D781" s="82"/>
      <c r="E781" s="82"/>
      <c r="F781" s="82"/>
      <c r="G781" s="82"/>
      <c r="H781" s="83"/>
      <c r="I781" s="84"/>
      <c r="J781" s="84"/>
      <c r="K781" s="83"/>
      <c r="L781" s="85"/>
      <c r="M781" s="83"/>
      <c r="N781" s="83"/>
      <c r="O781" s="83"/>
      <c r="P781" s="83"/>
      <c r="Q781" s="83"/>
      <c r="R781" s="83"/>
      <c r="S781" s="8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82"/>
      <c r="B782" s="82"/>
      <c r="C782" s="82"/>
      <c r="D782" s="82"/>
      <c r="E782" s="82"/>
      <c r="F782" s="82"/>
      <c r="G782" s="82"/>
      <c r="H782" s="83"/>
      <c r="I782" s="84"/>
      <c r="J782" s="84"/>
      <c r="K782" s="83"/>
      <c r="L782" s="85"/>
      <c r="M782" s="83"/>
      <c r="N782" s="83"/>
      <c r="O782" s="83"/>
      <c r="P782" s="83"/>
      <c r="Q782" s="83"/>
      <c r="R782" s="83"/>
      <c r="S782" s="8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82"/>
      <c r="B783" s="82"/>
      <c r="C783" s="82"/>
      <c r="D783" s="82"/>
      <c r="E783" s="82"/>
      <c r="F783" s="82"/>
      <c r="G783" s="82"/>
      <c r="H783" s="83"/>
      <c r="I783" s="84"/>
      <c r="J783" s="84"/>
      <c r="K783" s="83"/>
      <c r="L783" s="85"/>
      <c r="M783" s="83"/>
      <c r="N783" s="83"/>
      <c r="O783" s="83"/>
      <c r="P783" s="83"/>
      <c r="Q783" s="83"/>
      <c r="R783" s="83"/>
      <c r="S783" s="8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82"/>
      <c r="B784" s="82"/>
      <c r="C784" s="82"/>
      <c r="D784" s="82"/>
      <c r="E784" s="82"/>
      <c r="F784" s="82"/>
      <c r="G784" s="82"/>
      <c r="H784" s="83"/>
      <c r="I784" s="84"/>
      <c r="J784" s="84"/>
      <c r="K784" s="83"/>
      <c r="L784" s="85"/>
      <c r="M784" s="83"/>
      <c r="N784" s="83"/>
      <c r="O784" s="83"/>
      <c r="P784" s="83"/>
      <c r="Q784" s="83"/>
      <c r="R784" s="83"/>
      <c r="S784" s="8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82"/>
      <c r="B785" s="82"/>
      <c r="C785" s="82"/>
      <c r="D785" s="82"/>
      <c r="E785" s="82"/>
      <c r="F785" s="82"/>
      <c r="G785" s="82"/>
      <c r="H785" s="83"/>
      <c r="I785" s="84"/>
      <c r="J785" s="84"/>
      <c r="K785" s="83"/>
      <c r="L785" s="85"/>
      <c r="M785" s="83"/>
      <c r="N785" s="83"/>
      <c r="O785" s="83"/>
      <c r="P785" s="83"/>
      <c r="Q785" s="83"/>
      <c r="R785" s="83"/>
      <c r="S785" s="8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82"/>
      <c r="B786" s="82"/>
      <c r="C786" s="82"/>
      <c r="D786" s="82"/>
      <c r="E786" s="82"/>
      <c r="F786" s="82"/>
      <c r="G786" s="82"/>
      <c r="H786" s="83"/>
      <c r="I786" s="84"/>
      <c r="J786" s="84"/>
      <c r="K786" s="83"/>
      <c r="L786" s="85"/>
      <c r="M786" s="83"/>
      <c r="N786" s="83"/>
      <c r="O786" s="83"/>
      <c r="P786" s="83"/>
      <c r="Q786" s="83"/>
      <c r="R786" s="83"/>
      <c r="S786" s="8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82"/>
      <c r="B787" s="82"/>
      <c r="C787" s="82"/>
      <c r="D787" s="82"/>
      <c r="E787" s="82"/>
      <c r="F787" s="82"/>
      <c r="G787" s="82"/>
      <c r="H787" s="83"/>
      <c r="I787" s="84"/>
      <c r="J787" s="84"/>
      <c r="K787" s="83"/>
      <c r="L787" s="85"/>
      <c r="M787" s="83"/>
      <c r="N787" s="83"/>
      <c r="O787" s="83"/>
      <c r="P787" s="83"/>
      <c r="Q787" s="83"/>
      <c r="R787" s="83"/>
      <c r="S787" s="8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82"/>
      <c r="B788" s="82"/>
      <c r="C788" s="82"/>
      <c r="D788" s="82"/>
      <c r="E788" s="82"/>
      <c r="F788" s="82"/>
      <c r="G788" s="82"/>
      <c r="H788" s="83"/>
      <c r="I788" s="84"/>
      <c r="J788" s="84"/>
      <c r="K788" s="83"/>
      <c r="L788" s="85"/>
      <c r="M788" s="83"/>
      <c r="N788" s="83"/>
      <c r="O788" s="83"/>
      <c r="P788" s="83"/>
      <c r="Q788" s="83"/>
      <c r="R788" s="83"/>
      <c r="S788" s="8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82"/>
      <c r="B789" s="82"/>
      <c r="C789" s="82"/>
      <c r="D789" s="82"/>
      <c r="E789" s="82"/>
      <c r="F789" s="82"/>
      <c r="G789" s="82"/>
      <c r="H789" s="83"/>
      <c r="I789" s="84"/>
      <c r="J789" s="84"/>
      <c r="K789" s="83"/>
      <c r="L789" s="85"/>
      <c r="M789" s="83"/>
      <c r="N789" s="83"/>
      <c r="O789" s="83"/>
      <c r="P789" s="83"/>
      <c r="Q789" s="83"/>
      <c r="R789" s="83"/>
      <c r="S789" s="8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82"/>
      <c r="B790" s="82"/>
      <c r="C790" s="82"/>
      <c r="D790" s="82"/>
      <c r="E790" s="82"/>
      <c r="F790" s="82"/>
      <c r="G790" s="82"/>
      <c r="H790" s="83"/>
      <c r="I790" s="84"/>
      <c r="J790" s="84"/>
      <c r="K790" s="83"/>
      <c r="L790" s="85"/>
      <c r="M790" s="83"/>
      <c r="N790" s="83"/>
      <c r="O790" s="83"/>
      <c r="P790" s="83"/>
      <c r="Q790" s="83"/>
      <c r="R790" s="83"/>
      <c r="S790" s="8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82"/>
      <c r="B791" s="82"/>
      <c r="C791" s="82"/>
      <c r="D791" s="82"/>
      <c r="E791" s="82"/>
      <c r="F791" s="82"/>
      <c r="G791" s="82"/>
      <c r="H791" s="83"/>
      <c r="I791" s="84"/>
      <c r="J791" s="84"/>
      <c r="K791" s="83"/>
      <c r="L791" s="85"/>
      <c r="M791" s="83"/>
      <c r="N791" s="83"/>
      <c r="O791" s="83"/>
      <c r="P791" s="83"/>
      <c r="Q791" s="83"/>
      <c r="R791" s="83"/>
      <c r="S791" s="8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82"/>
      <c r="B792" s="82"/>
      <c r="C792" s="82"/>
      <c r="D792" s="82"/>
      <c r="E792" s="82"/>
      <c r="F792" s="82"/>
      <c r="G792" s="82"/>
      <c r="H792" s="83"/>
      <c r="I792" s="84"/>
      <c r="J792" s="84"/>
      <c r="K792" s="83"/>
      <c r="L792" s="85"/>
      <c r="M792" s="83"/>
      <c r="N792" s="83"/>
      <c r="O792" s="83"/>
      <c r="P792" s="83"/>
      <c r="Q792" s="83"/>
      <c r="R792" s="83"/>
      <c r="S792" s="8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>
      <c r="A793" s="82"/>
      <c r="B793" s="82"/>
      <c r="C793" s="82"/>
      <c r="D793" s="82"/>
      <c r="E793" s="82"/>
      <c r="F793" s="82"/>
      <c r="G793" s="82"/>
      <c r="H793" s="83"/>
      <c r="I793" s="84"/>
      <c r="J793" s="84"/>
      <c r="K793" s="83"/>
      <c r="L793" s="85"/>
      <c r="M793" s="83"/>
      <c r="N793" s="83"/>
      <c r="O793" s="83"/>
      <c r="P793" s="83"/>
      <c r="Q793" s="83"/>
      <c r="R793" s="83"/>
      <c r="S793" s="8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>
      <c r="A794" s="82"/>
      <c r="B794" s="82"/>
      <c r="C794" s="82"/>
      <c r="D794" s="82"/>
      <c r="E794" s="82"/>
      <c r="F794" s="82"/>
      <c r="G794" s="82"/>
      <c r="H794" s="83"/>
      <c r="I794" s="84"/>
      <c r="J794" s="84"/>
      <c r="K794" s="83"/>
      <c r="L794" s="85"/>
      <c r="M794" s="83"/>
      <c r="N794" s="83"/>
      <c r="O794" s="83"/>
      <c r="P794" s="83"/>
      <c r="Q794" s="83"/>
      <c r="R794" s="83"/>
      <c r="S794" s="8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>
      <c r="A795" s="82"/>
      <c r="B795" s="82"/>
      <c r="C795" s="82"/>
      <c r="D795" s="82"/>
      <c r="E795" s="82"/>
      <c r="F795" s="82"/>
      <c r="G795" s="82"/>
      <c r="H795" s="83"/>
      <c r="I795" s="84"/>
      <c r="J795" s="84"/>
      <c r="K795" s="83"/>
      <c r="L795" s="85"/>
      <c r="M795" s="83"/>
      <c r="N795" s="83"/>
      <c r="O795" s="83"/>
      <c r="P795" s="83"/>
      <c r="Q795" s="83"/>
      <c r="R795" s="83"/>
      <c r="S795" s="8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>
      <c r="A796" s="82"/>
      <c r="B796" s="82"/>
      <c r="C796" s="82"/>
      <c r="D796" s="82"/>
      <c r="E796" s="82"/>
      <c r="F796" s="82"/>
      <c r="G796" s="82"/>
      <c r="H796" s="83"/>
      <c r="I796" s="84"/>
      <c r="J796" s="84"/>
      <c r="K796" s="83"/>
      <c r="L796" s="85"/>
      <c r="M796" s="83"/>
      <c r="N796" s="83"/>
      <c r="O796" s="83"/>
      <c r="P796" s="83"/>
      <c r="Q796" s="83"/>
      <c r="R796" s="83"/>
      <c r="S796" s="8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>
      <c r="A797" s="82"/>
      <c r="B797" s="82"/>
      <c r="C797" s="82"/>
      <c r="D797" s="82"/>
      <c r="E797" s="82"/>
      <c r="F797" s="82"/>
      <c r="G797" s="82"/>
      <c r="H797" s="83"/>
      <c r="I797" s="84"/>
      <c r="J797" s="84"/>
      <c r="K797" s="83"/>
      <c r="L797" s="85"/>
      <c r="M797" s="83"/>
      <c r="N797" s="83"/>
      <c r="O797" s="83"/>
      <c r="P797" s="83"/>
      <c r="Q797" s="83"/>
      <c r="R797" s="83"/>
      <c r="S797" s="8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>
      <c r="A798" s="82"/>
      <c r="B798" s="82"/>
      <c r="C798" s="82"/>
      <c r="D798" s="82"/>
      <c r="E798" s="82"/>
      <c r="F798" s="82"/>
      <c r="G798" s="82"/>
      <c r="H798" s="83"/>
      <c r="I798" s="84"/>
      <c r="J798" s="84"/>
      <c r="K798" s="83"/>
      <c r="L798" s="85"/>
      <c r="M798" s="83"/>
      <c r="N798" s="83"/>
      <c r="O798" s="83"/>
      <c r="P798" s="83"/>
      <c r="Q798" s="83"/>
      <c r="R798" s="83"/>
      <c r="S798" s="8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>
      <c r="A799" s="82"/>
      <c r="B799" s="82"/>
      <c r="C799" s="82"/>
      <c r="D799" s="82"/>
      <c r="E799" s="82"/>
      <c r="F799" s="82"/>
      <c r="G799" s="82"/>
      <c r="H799" s="83"/>
      <c r="I799" s="84"/>
      <c r="J799" s="84"/>
      <c r="K799" s="83"/>
      <c r="L799" s="85"/>
      <c r="M799" s="83"/>
      <c r="N799" s="83"/>
      <c r="O799" s="83"/>
      <c r="P799" s="83"/>
      <c r="Q799" s="83"/>
      <c r="R799" s="83"/>
      <c r="S799" s="8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>
      <c r="A800" s="82"/>
      <c r="B800" s="82"/>
      <c r="C800" s="82"/>
      <c r="D800" s="82"/>
      <c r="E800" s="82"/>
      <c r="F800" s="82"/>
      <c r="G800" s="82"/>
      <c r="H800" s="83"/>
      <c r="I800" s="84"/>
      <c r="J800" s="84"/>
      <c r="K800" s="83"/>
      <c r="L800" s="85"/>
      <c r="M800" s="83"/>
      <c r="N800" s="83"/>
      <c r="O800" s="83"/>
      <c r="P800" s="83"/>
      <c r="Q800" s="83"/>
      <c r="R800" s="83"/>
      <c r="S800" s="8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>
      <c r="A801" s="82"/>
      <c r="B801" s="82"/>
      <c r="C801" s="82"/>
      <c r="D801" s="82"/>
      <c r="E801" s="82"/>
      <c r="F801" s="82"/>
      <c r="G801" s="82"/>
      <c r="H801" s="83"/>
      <c r="I801" s="84"/>
      <c r="J801" s="84"/>
      <c r="K801" s="83"/>
      <c r="L801" s="85"/>
      <c r="M801" s="83"/>
      <c r="N801" s="83"/>
      <c r="O801" s="83"/>
      <c r="P801" s="83"/>
      <c r="Q801" s="83"/>
      <c r="R801" s="83"/>
      <c r="S801" s="8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>
      <c r="A802" s="82"/>
      <c r="B802" s="82"/>
      <c r="C802" s="82"/>
      <c r="D802" s="82"/>
      <c r="E802" s="82"/>
      <c r="F802" s="82"/>
      <c r="G802" s="82"/>
      <c r="H802" s="83"/>
      <c r="I802" s="84"/>
      <c r="J802" s="84"/>
      <c r="K802" s="83"/>
      <c r="L802" s="85"/>
      <c r="M802" s="83"/>
      <c r="N802" s="83"/>
      <c r="O802" s="83"/>
      <c r="P802" s="83"/>
      <c r="Q802" s="83"/>
      <c r="R802" s="83"/>
      <c r="S802" s="8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>
      <c r="A803" s="82"/>
      <c r="B803" s="82"/>
      <c r="C803" s="82"/>
      <c r="D803" s="82"/>
      <c r="E803" s="82"/>
      <c r="F803" s="82"/>
      <c r="G803" s="82"/>
      <c r="H803" s="83"/>
      <c r="I803" s="84"/>
      <c r="J803" s="84"/>
      <c r="K803" s="83"/>
      <c r="L803" s="85"/>
      <c r="M803" s="83"/>
      <c r="N803" s="83"/>
      <c r="O803" s="83"/>
      <c r="P803" s="83"/>
      <c r="Q803" s="83"/>
      <c r="R803" s="83"/>
      <c r="S803" s="8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>
      <c r="A804" s="82"/>
      <c r="B804" s="82"/>
      <c r="C804" s="82"/>
      <c r="D804" s="82"/>
      <c r="E804" s="82"/>
      <c r="F804" s="82"/>
      <c r="G804" s="82"/>
      <c r="H804" s="83"/>
      <c r="I804" s="84"/>
      <c r="J804" s="84"/>
      <c r="K804" s="83"/>
      <c r="L804" s="85"/>
      <c r="M804" s="83"/>
      <c r="N804" s="83"/>
      <c r="O804" s="83"/>
      <c r="P804" s="83"/>
      <c r="Q804" s="83"/>
      <c r="R804" s="83"/>
      <c r="S804" s="8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>
      <c r="A805" s="82"/>
      <c r="B805" s="82"/>
      <c r="C805" s="82"/>
      <c r="D805" s="82"/>
      <c r="E805" s="82"/>
      <c r="F805" s="82"/>
      <c r="G805" s="82"/>
      <c r="H805" s="83"/>
      <c r="I805" s="84"/>
      <c r="J805" s="84"/>
      <c r="K805" s="83"/>
      <c r="L805" s="85"/>
      <c r="M805" s="83"/>
      <c r="N805" s="83"/>
      <c r="O805" s="83"/>
      <c r="P805" s="83"/>
      <c r="Q805" s="83"/>
      <c r="R805" s="83"/>
      <c r="S805" s="8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>
      <c r="A806" s="82"/>
      <c r="B806" s="82"/>
      <c r="C806" s="82"/>
      <c r="D806" s="82"/>
      <c r="E806" s="82"/>
      <c r="F806" s="82"/>
      <c r="G806" s="82"/>
      <c r="H806" s="83"/>
      <c r="I806" s="84"/>
      <c r="J806" s="84"/>
      <c r="K806" s="83"/>
      <c r="L806" s="85"/>
      <c r="M806" s="83"/>
      <c r="N806" s="83"/>
      <c r="O806" s="83"/>
      <c r="P806" s="83"/>
      <c r="Q806" s="83"/>
      <c r="R806" s="83"/>
      <c r="S806" s="8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>
      <c r="A807" s="82"/>
      <c r="B807" s="82"/>
      <c r="C807" s="82"/>
      <c r="D807" s="82"/>
      <c r="E807" s="82"/>
      <c r="F807" s="82"/>
      <c r="G807" s="82"/>
      <c r="H807" s="83"/>
      <c r="I807" s="84"/>
      <c r="J807" s="84"/>
      <c r="K807" s="83"/>
      <c r="L807" s="85"/>
      <c r="M807" s="83"/>
      <c r="N807" s="83"/>
      <c r="O807" s="83"/>
      <c r="P807" s="83"/>
      <c r="Q807" s="83"/>
      <c r="R807" s="83"/>
      <c r="S807" s="8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>
      <c r="A808" s="82"/>
      <c r="B808" s="82"/>
      <c r="C808" s="82"/>
      <c r="D808" s="82"/>
      <c r="E808" s="82"/>
      <c r="F808" s="82"/>
      <c r="G808" s="82"/>
      <c r="H808" s="83"/>
      <c r="I808" s="84"/>
      <c r="J808" s="84"/>
      <c r="K808" s="83"/>
      <c r="L808" s="85"/>
      <c r="M808" s="83"/>
      <c r="N808" s="83"/>
      <c r="O808" s="83"/>
      <c r="P808" s="83"/>
      <c r="Q808" s="83"/>
      <c r="R808" s="83"/>
      <c r="S808" s="8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>
      <c r="A809" s="82"/>
      <c r="B809" s="82"/>
      <c r="C809" s="82"/>
      <c r="D809" s="82"/>
      <c r="E809" s="82"/>
      <c r="F809" s="82"/>
      <c r="G809" s="82"/>
      <c r="H809" s="83"/>
      <c r="I809" s="84"/>
      <c r="J809" s="84"/>
      <c r="K809" s="83"/>
      <c r="L809" s="85"/>
      <c r="M809" s="83"/>
      <c r="N809" s="83"/>
      <c r="O809" s="83"/>
      <c r="P809" s="83"/>
      <c r="Q809" s="83"/>
      <c r="R809" s="83"/>
      <c r="S809" s="8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>
      <c r="A810" s="82"/>
      <c r="B810" s="82"/>
      <c r="C810" s="82"/>
      <c r="D810" s="82"/>
      <c r="E810" s="82"/>
      <c r="F810" s="82"/>
      <c r="G810" s="82"/>
      <c r="H810" s="83"/>
      <c r="I810" s="84"/>
      <c r="J810" s="84"/>
      <c r="K810" s="83"/>
      <c r="L810" s="85"/>
      <c r="M810" s="83"/>
      <c r="N810" s="83"/>
      <c r="O810" s="83"/>
      <c r="P810" s="83"/>
      <c r="Q810" s="83"/>
      <c r="R810" s="83"/>
      <c r="S810" s="8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>
      <c r="A811" s="82"/>
      <c r="B811" s="82"/>
      <c r="C811" s="82"/>
      <c r="D811" s="82"/>
      <c r="E811" s="82"/>
      <c r="F811" s="82"/>
      <c r="G811" s="82"/>
      <c r="H811" s="83"/>
      <c r="I811" s="84"/>
      <c r="J811" s="84"/>
      <c r="K811" s="83"/>
      <c r="L811" s="85"/>
      <c r="M811" s="83"/>
      <c r="N811" s="83"/>
      <c r="O811" s="83"/>
      <c r="P811" s="83"/>
      <c r="Q811" s="83"/>
      <c r="R811" s="83"/>
      <c r="S811" s="8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>
      <c r="A812" s="82"/>
      <c r="B812" s="82"/>
      <c r="C812" s="82"/>
      <c r="D812" s="82"/>
      <c r="E812" s="82"/>
      <c r="F812" s="82"/>
      <c r="G812" s="82"/>
      <c r="H812" s="83"/>
      <c r="I812" s="84"/>
      <c r="J812" s="84"/>
      <c r="K812" s="83"/>
      <c r="L812" s="85"/>
      <c r="M812" s="83"/>
      <c r="N812" s="83"/>
      <c r="O812" s="83"/>
      <c r="P812" s="83"/>
      <c r="Q812" s="83"/>
      <c r="R812" s="83"/>
      <c r="S812" s="8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>
      <c r="A813" s="82"/>
      <c r="B813" s="82"/>
      <c r="C813" s="82"/>
      <c r="D813" s="82"/>
      <c r="E813" s="82"/>
      <c r="F813" s="82"/>
      <c r="G813" s="82"/>
      <c r="H813" s="83"/>
      <c r="I813" s="84"/>
      <c r="J813" s="84"/>
      <c r="K813" s="83"/>
      <c r="L813" s="85"/>
      <c r="M813" s="83"/>
      <c r="N813" s="83"/>
      <c r="O813" s="83"/>
      <c r="P813" s="83"/>
      <c r="Q813" s="83"/>
      <c r="R813" s="83"/>
      <c r="S813" s="8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>
      <c r="A814" s="82"/>
      <c r="B814" s="82"/>
      <c r="C814" s="82"/>
      <c r="D814" s="82"/>
      <c r="E814" s="82"/>
      <c r="F814" s="82"/>
      <c r="G814" s="82"/>
      <c r="H814" s="83"/>
      <c r="I814" s="84"/>
      <c r="J814" s="84"/>
      <c r="K814" s="83"/>
      <c r="L814" s="85"/>
      <c r="M814" s="83"/>
      <c r="N814" s="83"/>
      <c r="O814" s="83"/>
      <c r="P814" s="83"/>
      <c r="Q814" s="83"/>
      <c r="R814" s="83"/>
      <c r="S814" s="8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>
      <c r="A815" s="82"/>
      <c r="B815" s="82"/>
      <c r="C815" s="82"/>
      <c r="D815" s="82"/>
      <c r="E815" s="82"/>
      <c r="F815" s="82"/>
      <c r="G815" s="82"/>
      <c r="H815" s="83"/>
      <c r="I815" s="84"/>
      <c r="J815" s="84"/>
      <c r="K815" s="83"/>
      <c r="L815" s="85"/>
      <c r="M815" s="83"/>
      <c r="N815" s="83"/>
      <c r="O815" s="83"/>
      <c r="P815" s="83"/>
      <c r="Q815" s="83"/>
      <c r="R815" s="83"/>
      <c r="S815" s="8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>
      <c r="A816" s="82"/>
      <c r="B816" s="82"/>
      <c r="C816" s="82"/>
      <c r="D816" s="82"/>
      <c r="E816" s="82"/>
      <c r="F816" s="82"/>
      <c r="G816" s="82"/>
      <c r="H816" s="83"/>
      <c r="I816" s="84"/>
      <c r="J816" s="84"/>
      <c r="K816" s="83"/>
      <c r="L816" s="85"/>
      <c r="M816" s="83"/>
      <c r="N816" s="83"/>
      <c r="O816" s="83"/>
      <c r="P816" s="83"/>
      <c r="Q816" s="83"/>
      <c r="R816" s="83"/>
      <c r="S816" s="8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>
      <c r="A817" s="82"/>
      <c r="B817" s="82"/>
      <c r="C817" s="82"/>
      <c r="D817" s="82"/>
      <c r="E817" s="82"/>
      <c r="F817" s="82"/>
      <c r="G817" s="82"/>
      <c r="H817" s="83"/>
      <c r="I817" s="84"/>
      <c r="J817" s="84"/>
      <c r="K817" s="83"/>
      <c r="L817" s="85"/>
      <c r="M817" s="83"/>
      <c r="N817" s="83"/>
      <c r="O817" s="83"/>
      <c r="P817" s="83"/>
      <c r="Q817" s="83"/>
      <c r="R817" s="83"/>
      <c r="S817" s="8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>
      <c r="A818" s="82"/>
      <c r="B818" s="82"/>
      <c r="C818" s="82"/>
      <c r="D818" s="82"/>
      <c r="E818" s="82"/>
      <c r="F818" s="82"/>
      <c r="G818" s="82"/>
      <c r="H818" s="83"/>
      <c r="I818" s="84"/>
      <c r="J818" s="84"/>
      <c r="K818" s="83"/>
      <c r="L818" s="85"/>
      <c r="M818" s="83"/>
      <c r="N818" s="83"/>
      <c r="O818" s="83"/>
      <c r="P818" s="83"/>
      <c r="Q818" s="83"/>
      <c r="R818" s="83"/>
      <c r="S818" s="8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>
      <c r="A819" s="82"/>
      <c r="B819" s="82"/>
      <c r="C819" s="82"/>
      <c r="D819" s="82"/>
      <c r="E819" s="82"/>
      <c r="F819" s="82"/>
      <c r="G819" s="82"/>
      <c r="H819" s="83"/>
      <c r="I819" s="84"/>
      <c r="J819" s="84"/>
      <c r="K819" s="83"/>
      <c r="L819" s="85"/>
      <c r="M819" s="83"/>
      <c r="N819" s="83"/>
      <c r="O819" s="83"/>
      <c r="P819" s="83"/>
      <c r="Q819" s="83"/>
      <c r="R819" s="83"/>
      <c r="S819" s="8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>
      <c r="A820" s="82"/>
      <c r="B820" s="82"/>
      <c r="C820" s="82"/>
      <c r="D820" s="82"/>
      <c r="E820" s="82"/>
      <c r="F820" s="82"/>
      <c r="G820" s="82"/>
      <c r="H820" s="83"/>
      <c r="I820" s="84"/>
      <c r="J820" s="84"/>
      <c r="K820" s="83"/>
      <c r="L820" s="85"/>
      <c r="M820" s="83"/>
      <c r="N820" s="83"/>
      <c r="O820" s="83"/>
      <c r="P820" s="83"/>
      <c r="Q820" s="83"/>
      <c r="R820" s="83"/>
      <c r="S820" s="8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>
      <c r="A821" s="82"/>
      <c r="B821" s="82"/>
      <c r="C821" s="82"/>
      <c r="D821" s="82"/>
      <c r="E821" s="82"/>
      <c r="F821" s="82"/>
      <c r="G821" s="82"/>
      <c r="H821" s="83"/>
      <c r="I821" s="84"/>
      <c r="J821" s="84"/>
      <c r="K821" s="83"/>
      <c r="L821" s="85"/>
      <c r="M821" s="83"/>
      <c r="N821" s="83"/>
      <c r="O821" s="83"/>
      <c r="P821" s="83"/>
      <c r="Q821" s="83"/>
      <c r="R821" s="83"/>
      <c r="S821" s="8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>
      <c r="A822" s="82"/>
      <c r="B822" s="82"/>
      <c r="C822" s="82"/>
      <c r="D822" s="82"/>
      <c r="E822" s="82"/>
      <c r="F822" s="82"/>
      <c r="G822" s="82"/>
      <c r="H822" s="83"/>
      <c r="I822" s="84"/>
      <c r="J822" s="84"/>
      <c r="K822" s="83"/>
      <c r="L822" s="85"/>
      <c r="M822" s="83"/>
      <c r="N822" s="83"/>
      <c r="O822" s="83"/>
      <c r="P822" s="83"/>
      <c r="Q822" s="83"/>
      <c r="R822" s="83"/>
      <c r="S822" s="8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>
      <c r="A823" s="82"/>
      <c r="B823" s="82"/>
      <c r="C823" s="82"/>
      <c r="D823" s="82"/>
      <c r="E823" s="82"/>
      <c r="F823" s="82"/>
      <c r="G823" s="82"/>
      <c r="H823" s="83"/>
      <c r="I823" s="84"/>
      <c r="J823" s="84"/>
      <c r="K823" s="83"/>
      <c r="L823" s="85"/>
      <c r="M823" s="83"/>
      <c r="N823" s="83"/>
      <c r="O823" s="83"/>
      <c r="P823" s="83"/>
      <c r="Q823" s="83"/>
      <c r="R823" s="83"/>
      <c r="S823" s="8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>
      <c r="A824" s="82"/>
      <c r="B824" s="82"/>
      <c r="C824" s="82"/>
      <c r="D824" s="82"/>
      <c r="E824" s="82"/>
      <c r="F824" s="82"/>
      <c r="G824" s="82"/>
      <c r="H824" s="83"/>
      <c r="I824" s="84"/>
      <c r="J824" s="84"/>
      <c r="K824" s="83"/>
      <c r="L824" s="85"/>
      <c r="M824" s="83"/>
      <c r="N824" s="83"/>
      <c r="O824" s="83"/>
      <c r="P824" s="83"/>
      <c r="Q824" s="83"/>
      <c r="R824" s="83"/>
      <c r="S824" s="8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>
      <c r="A825" s="82"/>
      <c r="B825" s="82"/>
      <c r="C825" s="82"/>
      <c r="D825" s="82"/>
      <c r="E825" s="82"/>
      <c r="F825" s="82"/>
      <c r="G825" s="82"/>
      <c r="H825" s="83"/>
      <c r="I825" s="84"/>
      <c r="J825" s="84"/>
      <c r="K825" s="83"/>
      <c r="L825" s="85"/>
      <c r="M825" s="83"/>
      <c r="N825" s="83"/>
      <c r="O825" s="83"/>
      <c r="P825" s="83"/>
      <c r="Q825" s="83"/>
      <c r="R825" s="83"/>
      <c r="S825" s="8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>
      <c r="A826" s="82"/>
      <c r="B826" s="82"/>
      <c r="C826" s="82"/>
      <c r="D826" s="82"/>
      <c r="E826" s="82"/>
      <c r="F826" s="82"/>
      <c r="G826" s="82"/>
      <c r="H826" s="83"/>
      <c r="I826" s="84"/>
      <c r="J826" s="84"/>
      <c r="K826" s="83"/>
      <c r="L826" s="85"/>
      <c r="M826" s="83"/>
      <c r="N826" s="83"/>
      <c r="O826" s="83"/>
      <c r="P826" s="83"/>
      <c r="Q826" s="83"/>
      <c r="R826" s="83"/>
      <c r="S826" s="8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>
      <c r="A827" s="82"/>
      <c r="B827" s="82"/>
      <c r="C827" s="82"/>
      <c r="D827" s="82"/>
      <c r="E827" s="82"/>
      <c r="F827" s="82"/>
      <c r="G827" s="82"/>
      <c r="H827" s="83"/>
      <c r="I827" s="84"/>
      <c r="J827" s="84"/>
      <c r="K827" s="83"/>
      <c r="L827" s="85"/>
      <c r="M827" s="83"/>
      <c r="N827" s="83"/>
      <c r="O827" s="83"/>
      <c r="P827" s="83"/>
      <c r="Q827" s="83"/>
      <c r="R827" s="83"/>
      <c r="S827" s="8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>
      <c r="A828" s="82"/>
      <c r="B828" s="82"/>
      <c r="C828" s="82"/>
      <c r="D828" s="82"/>
      <c r="E828" s="82"/>
      <c r="F828" s="82"/>
      <c r="G828" s="82"/>
      <c r="H828" s="83"/>
      <c r="I828" s="84"/>
      <c r="J828" s="84"/>
      <c r="K828" s="83"/>
      <c r="L828" s="85"/>
      <c r="M828" s="83"/>
      <c r="N828" s="83"/>
      <c r="O828" s="83"/>
      <c r="P828" s="83"/>
      <c r="Q828" s="83"/>
      <c r="R828" s="83"/>
      <c r="S828" s="8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>
      <c r="A829" s="82"/>
      <c r="B829" s="82"/>
      <c r="C829" s="82"/>
      <c r="D829" s="82"/>
      <c r="E829" s="82"/>
      <c r="F829" s="82"/>
      <c r="G829" s="82"/>
      <c r="H829" s="83"/>
      <c r="I829" s="84"/>
      <c r="J829" s="84"/>
      <c r="K829" s="83"/>
      <c r="L829" s="85"/>
      <c r="M829" s="83"/>
      <c r="N829" s="83"/>
      <c r="O829" s="83"/>
      <c r="P829" s="83"/>
      <c r="Q829" s="83"/>
      <c r="R829" s="83"/>
      <c r="S829" s="8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>
      <c r="A830" s="82"/>
      <c r="B830" s="82"/>
      <c r="C830" s="82"/>
      <c r="D830" s="82"/>
      <c r="E830" s="82"/>
      <c r="F830" s="82"/>
      <c r="G830" s="82"/>
      <c r="H830" s="83"/>
      <c r="I830" s="84"/>
      <c r="J830" s="84"/>
      <c r="K830" s="83"/>
      <c r="L830" s="85"/>
      <c r="M830" s="83"/>
      <c r="N830" s="83"/>
      <c r="O830" s="83"/>
      <c r="P830" s="83"/>
      <c r="Q830" s="83"/>
      <c r="R830" s="83"/>
      <c r="S830" s="8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>
      <c r="A831" s="82"/>
      <c r="B831" s="82"/>
      <c r="C831" s="82"/>
      <c r="D831" s="82"/>
      <c r="E831" s="82"/>
      <c r="F831" s="82"/>
      <c r="G831" s="82"/>
      <c r="H831" s="83"/>
      <c r="I831" s="84"/>
      <c r="J831" s="84"/>
      <c r="K831" s="83"/>
      <c r="L831" s="85"/>
      <c r="M831" s="83"/>
      <c r="N831" s="83"/>
      <c r="O831" s="83"/>
      <c r="P831" s="83"/>
      <c r="Q831" s="83"/>
      <c r="R831" s="83"/>
      <c r="S831" s="8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>
      <c r="A832" s="82"/>
      <c r="B832" s="82"/>
      <c r="C832" s="82"/>
      <c r="D832" s="82"/>
      <c r="E832" s="82"/>
      <c r="F832" s="82"/>
      <c r="G832" s="82"/>
      <c r="H832" s="83"/>
      <c r="I832" s="84"/>
      <c r="J832" s="84"/>
      <c r="K832" s="83"/>
      <c r="L832" s="85"/>
      <c r="M832" s="83"/>
      <c r="N832" s="83"/>
      <c r="O832" s="83"/>
      <c r="P832" s="83"/>
      <c r="Q832" s="83"/>
      <c r="R832" s="83"/>
      <c r="S832" s="8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>
      <c r="A833" s="82"/>
      <c r="B833" s="82"/>
      <c r="C833" s="82"/>
      <c r="D833" s="82"/>
      <c r="E833" s="82"/>
      <c r="F833" s="82"/>
      <c r="G833" s="82"/>
      <c r="H833" s="83"/>
      <c r="I833" s="84"/>
      <c r="J833" s="84"/>
      <c r="K833" s="83"/>
      <c r="L833" s="85"/>
      <c r="M833" s="83"/>
      <c r="N833" s="83"/>
      <c r="O833" s="83"/>
      <c r="P833" s="83"/>
      <c r="Q833" s="83"/>
      <c r="R833" s="83"/>
      <c r="S833" s="8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>
      <c r="A834" s="82"/>
      <c r="B834" s="82"/>
      <c r="C834" s="82"/>
      <c r="D834" s="82"/>
      <c r="E834" s="82"/>
      <c r="F834" s="82"/>
      <c r="G834" s="82"/>
      <c r="H834" s="83"/>
      <c r="I834" s="84"/>
      <c r="J834" s="84"/>
      <c r="K834" s="83"/>
      <c r="L834" s="85"/>
      <c r="M834" s="83"/>
      <c r="N834" s="83"/>
      <c r="O834" s="83"/>
      <c r="P834" s="83"/>
      <c r="Q834" s="83"/>
      <c r="R834" s="83"/>
      <c r="S834" s="8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>
      <c r="A835" s="82"/>
      <c r="B835" s="82"/>
      <c r="C835" s="82"/>
      <c r="D835" s="82"/>
      <c r="E835" s="82"/>
      <c r="F835" s="82"/>
      <c r="G835" s="82"/>
      <c r="H835" s="83"/>
      <c r="I835" s="84"/>
      <c r="J835" s="84"/>
      <c r="K835" s="83"/>
      <c r="L835" s="85"/>
      <c r="M835" s="83"/>
      <c r="N835" s="83"/>
      <c r="O835" s="83"/>
      <c r="P835" s="83"/>
      <c r="Q835" s="83"/>
      <c r="R835" s="83"/>
      <c r="S835" s="8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>
      <c r="A836" s="82"/>
      <c r="B836" s="82"/>
      <c r="C836" s="82"/>
      <c r="D836" s="82"/>
      <c r="E836" s="82"/>
      <c r="F836" s="82"/>
      <c r="G836" s="82"/>
      <c r="H836" s="83"/>
      <c r="I836" s="84"/>
      <c r="J836" s="84"/>
      <c r="K836" s="83"/>
      <c r="L836" s="85"/>
      <c r="M836" s="83"/>
      <c r="N836" s="83"/>
      <c r="O836" s="83"/>
      <c r="P836" s="83"/>
      <c r="Q836" s="83"/>
      <c r="R836" s="83"/>
      <c r="S836" s="8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>
      <c r="A837" s="82"/>
      <c r="B837" s="82"/>
      <c r="C837" s="82"/>
      <c r="D837" s="82"/>
      <c r="E837" s="82"/>
      <c r="F837" s="82"/>
      <c r="G837" s="82"/>
      <c r="H837" s="83"/>
      <c r="I837" s="84"/>
      <c r="J837" s="84"/>
      <c r="K837" s="83"/>
      <c r="L837" s="85"/>
      <c r="M837" s="83"/>
      <c r="N837" s="83"/>
      <c r="O837" s="83"/>
      <c r="P837" s="83"/>
      <c r="Q837" s="83"/>
      <c r="R837" s="83"/>
      <c r="S837" s="8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>
      <c r="A838" s="82"/>
      <c r="B838" s="82"/>
      <c r="C838" s="82"/>
      <c r="D838" s="82"/>
      <c r="E838" s="82"/>
      <c r="F838" s="82"/>
      <c r="G838" s="82"/>
      <c r="H838" s="83"/>
      <c r="I838" s="84"/>
      <c r="J838" s="84"/>
      <c r="K838" s="83"/>
      <c r="L838" s="85"/>
      <c r="M838" s="83"/>
      <c r="N838" s="83"/>
      <c r="O838" s="83"/>
      <c r="P838" s="83"/>
      <c r="Q838" s="83"/>
      <c r="R838" s="83"/>
      <c r="S838" s="8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>
      <c r="A839" s="82"/>
      <c r="B839" s="82"/>
      <c r="C839" s="82"/>
      <c r="D839" s="82"/>
      <c r="E839" s="82"/>
      <c r="F839" s="82"/>
      <c r="G839" s="82"/>
      <c r="H839" s="83"/>
      <c r="I839" s="84"/>
      <c r="J839" s="84"/>
      <c r="K839" s="83"/>
      <c r="L839" s="85"/>
      <c r="M839" s="83"/>
      <c r="N839" s="83"/>
      <c r="O839" s="83"/>
      <c r="P839" s="83"/>
      <c r="Q839" s="83"/>
      <c r="R839" s="83"/>
      <c r="S839" s="8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>
      <c r="A840" s="82"/>
      <c r="B840" s="82"/>
      <c r="C840" s="82"/>
      <c r="D840" s="82"/>
      <c r="E840" s="82"/>
      <c r="F840" s="82"/>
      <c r="G840" s="82"/>
      <c r="H840" s="83"/>
      <c r="I840" s="84"/>
      <c r="J840" s="84"/>
      <c r="K840" s="83"/>
      <c r="L840" s="85"/>
      <c r="M840" s="83"/>
      <c r="N840" s="83"/>
      <c r="O840" s="83"/>
      <c r="P840" s="83"/>
      <c r="Q840" s="83"/>
      <c r="R840" s="83"/>
      <c r="S840" s="8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>
      <c r="A841" s="82"/>
      <c r="B841" s="82"/>
      <c r="C841" s="82"/>
      <c r="D841" s="82"/>
      <c r="E841" s="82"/>
      <c r="F841" s="82"/>
      <c r="G841" s="82"/>
      <c r="H841" s="83"/>
      <c r="I841" s="84"/>
      <c r="J841" s="84"/>
      <c r="K841" s="83"/>
      <c r="L841" s="85"/>
      <c r="M841" s="83"/>
      <c r="N841" s="83"/>
      <c r="O841" s="83"/>
      <c r="P841" s="83"/>
      <c r="Q841" s="83"/>
      <c r="R841" s="83"/>
      <c r="S841" s="8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>
      <c r="A842" s="82"/>
      <c r="B842" s="82"/>
      <c r="C842" s="82"/>
      <c r="D842" s="82"/>
      <c r="E842" s="82"/>
      <c r="F842" s="82"/>
      <c r="G842" s="82"/>
      <c r="H842" s="83"/>
      <c r="I842" s="84"/>
      <c r="J842" s="84"/>
      <c r="K842" s="83"/>
      <c r="L842" s="85"/>
      <c r="M842" s="83"/>
      <c r="N842" s="83"/>
      <c r="O842" s="83"/>
      <c r="P842" s="83"/>
      <c r="Q842" s="83"/>
      <c r="R842" s="83"/>
      <c r="S842" s="8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>
      <c r="A843" s="82"/>
      <c r="B843" s="82"/>
      <c r="C843" s="82"/>
      <c r="D843" s="82"/>
      <c r="E843" s="82"/>
      <c r="F843" s="82"/>
      <c r="G843" s="82"/>
      <c r="H843" s="83"/>
      <c r="I843" s="84"/>
      <c r="J843" s="84"/>
      <c r="K843" s="83"/>
      <c r="L843" s="85"/>
      <c r="M843" s="83"/>
      <c r="N843" s="83"/>
      <c r="O843" s="83"/>
      <c r="P843" s="83"/>
      <c r="Q843" s="83"/>
      <c r="R843" s="83"/>
      <c r="S843" s="8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>
      <c r="A844" s="82"/>
      <c r="B844" s="82"/>
      <c r="C844" s="82"/>
      <c r="D844" s="82"/>
      <c r="E844" s="82"/>
      <c r="F844" s="82"/>
      <c r="G844" s="82"/>
      <c r="H844" s="83"/>
      <c r="I844" s="84"/>
      <c r="J844" s="84"/>
      <c r="K844" s="83"/>
      <c r="L844" s="85"/>
      <c r="M844" s="83"/>
      <c r="N844" s="83"/>
      <c r="O844" s="83"/>
      <c r="P844" s="83"/>
      <c r="Q844" s="83"/>
      <c r="R844" s="83"/>
      <c r="S844" s="8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>
      <c r="A845" s="82"/>
      <c r="B845" s="82"/>
      <c r="C845" s="82"/>
      <c r="D845" s="82"/>
      <c r="E845" s="82"/>
      <c r="F845" s="82"/>
      <c r="G845" s="82"/>
      <c r="H845" s="83"/>
      <c r="I845" s="84"/>
      <c r="J845" s="84"/>
      <c r="K845" s="83"/>
      <c r="L845" s="85"/>
      <c r="M845" s="83"/>
      <c r="N845" s="83"/>
      <c r="O845" s="83"/>
      <c r="P845" s="83"/>
      <c r="Q845" s="83"/>
      <c r="R845" s="83"/>
      <c r="S845" s="8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>
      <c r="A846" s="82"/>
      <c r="B846" s="82"/>
      <c r="C846" s="82"/>
      <c r="D846" s="82"/>
      <c r="E846" s="82"/>
      <c r="F846" s="82"/>
      <c r="G846" s="82"/>
      <c r="H846" s="83"/>
      <c r="I846" s="84"/>
      <c r="J846" s="84"/>
      <c r="K846" s="83"/>
      <c r="L846" s="85"/>
      <c r="M846" s="83"/>
      <c r="N846" s="83"/>
      <c r="O846" s="83"/>
      <c r="P846" s="83"/>
      <c r="Q846" s="83"/>
      <c r="R846" s="83"/>
      <c r="S846" s="8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>
      <c r="A847" s="82"/>
      <c r="B847" s="82"/>
      <c r="C847" s="82"/>
      <c r="D847" s="82"/>
      <c r="E847" s="82"/>
      <c r="F847" s="82"/>
      <c r="G847" s="82"/>
      <c r="H847" s="83"/>
      <c r="I847" s="84"/>
      <c r="J847" s="84"/>
      <c r="K847" s="83"/>
      <c r="L847" s="85"/>
      <c r="M847" s="83"/>
      <c r="N847" s="83"/>
      <c r="O847" s="83"/>
      <c r="P847" s="83"/>
      <c r="Q847" s="83"/>
      <c r="R847" s="83"/>
      <c r="S847" s="8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>
      <c r="A848" s="82"/>
      <c r="B848" s="82"/>
      <c r="C848" s="82"/>
      <c r="D848" s="82"/>
      <c r="E848" s="82"/>
      <c r="F848" s="82"/>
      <c r="G848" s="82"/>
      <c r="H848" s="83"/>
      <c r="I848" s="84"/>
      <c r="J848" s="84"/>
      <c r="K848" s="83"/>
      <c r="L848" s="85"/>
      <c r="M848" s="83"/>
      <c r="N848" s="83"/>
      <c r="O848" s="83"/>
      <c r="P848" s="83"/>
      <c r="Q848" s="83"/>
      <c r="R848" s="83"/>
      <c r="S848" s="8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>
      <c r="A849" s="82"/>
      <c r="B849" s="82"/>
      <c r="C849" s="82"/>
      <c r="D849" s="82"/>
      <c r="E849" s="82"/>
      <c r="F849" s="82"/>
      <c r="G849" s="82"/>
      <c r="H849" s="83"/>
      <c r="I849" s="84"/>
      <c r="J849" s="84"/>
      <c r="K849" s="83"/>
      <c r="L849" s="85"/>
      <c r="M849" s="83"/>
      <c r="N849" s="83"/>
      <c r="O849" s="83"/>
      <c r="P849" s="83"/>
      <c r="Q849" s="83"/>
      <c r="R849" s="83"/>
      <c r="S849" s="8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>
      <c r="A850" s="82"/>
      <c r="B850" s="82"/>
      <c r="C850" s="82"/>
      <c r="D850" s="82"/>
      <c r="E850" s="82"/>
      <c r="F850" s="82"/>
      <c r="G850" s="82"/>
      <c r="H850" s="83"/>
      <c r="I850" s="84"/>
      <c r="J850" s="84"/>
      <c r="K850" s="83"/>
      <c r="L850" s="85"/>
      <c r="M850" s="83"/>
      <c r="N850" s="83"/>
      <c r="O850" s="83"/>
      <c r="P850" s="83"/>
      <c r="Q850" s="83"/>
      <c r="R850" s="83"/>
      <c r="S850" s="8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>
      <c r="A851" s="82"/>
      <c r="B851" s="82"/>
      <c r="C851" s="82"/>
      <c r="D851" s="82"/>
      <c r="E851" s="82"/>
      <c r="F851" s="82"/>
      <c r="G851" s="82"/>
      <c r="H851" s="83"/>
      <c r="I851" s="84"/>
      <c r="J851" s="84"/>
      <c r="K851" s="83"/>
      <c r="L851" s="85"/>
      <c r="M851" s="83"/>
      <c r="N851" s="83"/>
      <c r="O851" s="83"/>
      <c r="P851" s="83"/>
      <c r="Q851" s="83"/>
      <c r="R851" s="83"/>
      <c r="S851" s="8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>
      <c r="A852" s="82"/>
      <c r="B852" s="82"/>
      <c r="C852" s="82"/>
      <c r="D852" s="82"/>
      <c r="E852" s="82"/>
      <c r="F852" s="82"/>
      <c r="G852" s="82"/>
      <c r="H852" s="83"/>
      <c r="I852" s="84"/>
      <c r="J852" s="84"/>
      <c r="K852" s="83"/>
      <c r="L852" s="85"/>
      <c r="M852" s="83"/>
      <c r="N852" s="83"/>
      <c r="O852" s="83"/>
      <c r="P852" s="83"/>
      <c r="Q852" s="83"/>
      <c r="R852" s="83"/>
      <c r="S852" s="8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>
      <c r="A853" s="82"/>
      <c r="B853" s="82"/>
      <c r="C853" s="82"/>
      <c r="D853" s="82"/>
      <c r="E853" s="82"/>
      <c r="F853" s="82"/>
      <c r="G853" s="82"/>
      <c r="H853" s="83"/>
      <c r="I853" s="84"/>
      <c r="J853" s="84"/>
      <c r="K853" s="83"/>
      <c r="L853" s="85"/>
      <c r="M853" s="83"/>
      <c r="N853" s="83"/>
      <c r="O853" s="83"/>
      <c r="P853" s="83"/>
      <c r="Q853" s="83"/>
      <c r="R853" s="83"/>
      <c r="S853" s="8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>
      <c r="A854" s="82"/>
      <c r="B854" s="82"/>
      <c r="C854" s="82"/>
      <c r="D854" s="82"/>
      <c r="E854" s="82"/>
      <c r="F854" s="82"/>
      <c r="G854" s="82"/>
      <c r="H854" s="83"/>
      <c r="I854" s="84"/>
      <c r="J854" s="84"/>
      <c r="K854" s="83"/>
      <c r="L854" s="85"/>
      <c r="M854" s="83"/>
      <c r="N854" s="83"/>
      <c r="O854" s="83"/>
      <c r="P854" s="83"/>
      <c r="Q854" s="83"/>
      <c r="R854" s="83"/>
      <c r="S854" s="8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>
      <c r="A855" s="82"/>
      <c r="B855" s="82"/>
      <c r="C855" s="82"/>
      <c r="D855" s="82"/>
      <c r="E855" s="82"/>
      <c r="F855" s="82"/>
      <c r="G855" s="82"/>
      <c r="H855" s="83"/>
      <c r="I855" s="84"/>
      <c r="J855" s="84"/>
      <c r="K855" s="83"/>
      <c r="L855" s="85"/>
      <c r="M855" s="83"/>
      <c r="N855" s="83"/>
      <c r="O855" s="83"/>
      <c r="P855" s="83"/>
      <c r="Q855" s="83"/>
      <c r="R855" s="83"/>
      <c r="S855" s="8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>
      <c r="A856" s="82"/>
      <c r="B856" s="82"/>
      <c r="C856" s="82"/>
      <c r="D856" s="82"/>
      <c r="E856" s="82"/>
      <c r="F856" s="82"/>
      <c r="G856" s="82"/>
      <c r="H856" s="83"/>
      <c r="I856" s="84"/>
      <c r="J856" s="84"/>
      <c r="K856" s="83"/>
      <c r="L856" s="85"/>
      <c r="M856" s="83"/>
      <c r="N856" s="83"/>
      <c r="O856" s="83"/>
      <c r="P856" s="83"/>
      <c r="Q856" s="83"/>
      <c r="R856" s="83"/>
      <c r="S856" s="8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>
      <c r="A857" s="82"/>
      <c r="B857" s="82"/>
      <c r="C857" s="82"/>
      <c r="D857" s="82"/>
      <c r="E857" s="82"/>
      <c r="F857" s="82"/>
      <c r="G857" s="82"/>
      <c r="H857" s="83"/>
      <c r="I857" s="84"/>
      <c r="J857" s="84"/>
      <c r="K857" s="83"/>
      <c r="L857" s="85"/>
      <c r="M857" s="83"/>
      <c r="N857" s="83"/>
      <c r="O857" s="83"/>
      <c r="P857" s="83"/>
      <c r="Q857" s="83"/>
      <c r="R857" s="83"/>
      <c r="S857" s="8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>
      <c r="A858" s="82"/>
      <c r="B858" s="82"/>
      <c r="C858" s="82"/>
      <c r="D858" s="82"/>
      <c r="E858" s="82"/>
      <c r="F858" s="82"/>
      <c r="G858" s="82"/>
      <c r="H858" s="83"/>
      <c r="I858" s="84"/>
      <c r="J858" s="84"/>
      <c r="K858" s="83"/>
      <c r="L858" s="85"/>
      <c r="M858" s="83"/>
      <c r="N858" s="83"/>
      <c r="O858" s="83"/>
      <c r="P858" s="83"/>
      <c r="Q858" s="83"/>
      <c r="R858" s="83"/>
      <c r="S858" s="8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>
      <c r="A859" s="82"/>
      <c r="B859" s="82"/>
      <c r="C859" s="82"/>
      <c r="D859" s="82"/>
      <c r="E859" s="82"/>
      <c r="F859" s="82"/>
      <c r="G859" s="82"/>
      <c r="H859" s="83"/>
      <c r="I859" s="84"/>
      <c r="J859" s="84"/>
      <c r="K859" s="83"/>
      <c r="L859" s="85"/>
      <c r="M859" s="83"/>
      <c r="N859" s="83"/>
      <c r="O859" s="83"/>
      <c r="P859" s="83"/>
      <c r="Q859" s="83"/>
      <c r="R859" s="83"/>
      <c r="S859" s="8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>
      <c r="A860" s="82"/>
      <c r="B860" s="82"/>
      <c r="C860" s="82"/>
      <c r="D860" s="82"/>
      <c r="E860" s="82"/>
      <c r="F860" s="82"/>
      <c r="G860" s="82"/>
      <c r="H860" s="83"/>
      <c r="I860" s="84"/>
      <c r="J860" s="84"/>
      <c r="K860" s="83"/>
      <c r="L860" s="85"/>
      <c r="M860" s="83"/>
      <c r="N860" s="83"/>
      <c r="O860" s="83"/>
      <c r="P860" s="83"/>
      <c r="Q860" s="83"/>
      <c r="R860" s="83"/>
      <c r="S860" s="8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>
      <c r="A861" s="82"/>
      <c r="B861" s="82"/>
      <c r="C861" s="82"/>
      <c r="D861" s="82"/>
      <c r="E861" s="82"/>
      <c r="F861" s="82"/>
      <c r="G861" s="82"/>
      <c r="H861" s="83"/>
      <c r="I861" s="84"/>
      <c r="J861" s="84"/>
      <c r="K861" s="83"/>
      <c r="L861" s="85"/>
      <c r="M861" s="83"/>
      <c r="N861" s="83"/>
      <c r="O861" s="83"/>
      <c r="P861" s="83"/>
      <c r="Q861" s="83"/>
      <c r="R861" s="83"/>
      <c r="S861" s="8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>
      <c r="A862" s="82"/>
      <c r="B862" s="82"/>
      <c r="C862" s="82"/>
      <c r="D862" s="82"/>
      <c r="E862" s="82"/>
      <c r="F862" s="82"/>
      <c r="G862" s="82"/>
      <c r="H862" s="83"/>
      <c r="I862" s="84"/>
      <c r="J862" s="84"/>
      <c r="K862" s="83"/>
      <c r="L862" s="85"/>
      <c r="M862" s="83"/>
      <c r="N862" s="83"/>
      <c r="O862" s="83"/>
      <c r="P862" s="83"/>
      <c r="Q862" s="83"/>
      <c r="R862" s="83"/>
      <c r="S862" s="8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>
      <c r="A863" s="82"/>
      <c r="B863" s="82"/>
      <c r="C863" s="82"/>
      <c r="D863" s="82"/>
      <c r="E863" s="82"/>
      <c r="F863" s="82"/>
      <c r="G863" s="82"/>
      <c r="H863" s="83"/>
      <c r="I863" s="84"/>
      <c r="J863" s="84"/>
      <c r="K863" s="83"/>
      <c r="L863" s="85"/>
      <c r="M863" s="83"/>
      <c r="N863" s="83"/>
      <c r="O863" s="83"/>
      <c r="P863" s="83"/>
      <c r="Q863" s="83"/>
      <c r="R863" s="83"/>
      <c r="S863" s="8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>
      <c r="A864" s="82"/>
      <c r="B864" s="82"/>
      <c r="C864" s="82"/>
      <c r="D864" s="82"/>
      <c r="E864" s="82"/>
      <c r="F864" s="82"/>
      <c r="G864" s="82"/>
      <c r="H864" s="83"/>
      <c r="I864" s="84"/>
      <c r="J864" s="84"/>
      <c r="K864" s="83"/>
      <c r="L864" s="85"/>
      <c r="M864" s="83"/>
      <c r="N864" s="83"/>
      <c r="O864" s="83"/>
      <c r="P864" s="83"/>
      <c r="Q864" s="83"/>
      <c r="R864" s="83"/>
      <c r="S864" s="8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>
      <c r="A865" s="82"/>
      <c r="B865" s="82"/>
      <c r="C865" s="82"/>
      <c r="D865" s="82"/>
      <c r="E865" s="82"/>
      <c r="F865" s="82"/>
      <c r="G865" s="82"/>
      <c r="H865" s="83"/>
      <c r="I865" s="84"/>
      <c r="J865" s="84"/>
      <c r="K865" s="83"/>
      <c r="L865" s="85"/>
      <c r="M865" s="83"/>
      <c r="N865" s="83"/>
      <c r="O865" s="83"/>
      <c r="P865" s="83"/>
      <c r="Q865" s="83"/>
      <c r="R865" s="83"/>
      <c r="S865" s="8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>
      <c r="A866" s="82"/>
      <c r="B866" s="82"/>
      <c r="C866" s="82"/>
      <c r="D866" s="82"/>
      <c r="E866" s="82"/>
      <c r="F866" s="82"/>
      <c r="G866" s="82"/>
      <c r="H866" s="83"/>
      <c r="I866" s="84"/>
      <c r="J866" s="84"/>
      <c r="K866" s="83"/>
      <c r="L866" s="85"/>
      <c r="M866" s="83"/>
      <c r="N866" s="83"/>
      <c r="O866" s="83"/>
      <c r="P866" s="83"/>
      <c r="Q866" s="83"/>
      <c r="R866" s="83"/>
      <c r="S866" s="8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>
      <c r="A867" s="82"/>
      <c r="B867" s="82"/>
      <c r="C867" s="82"/>
      <c r="D867" s="82"/>
      <c r="E867" s="82"/>
      <c r="F867" s="82"/>
      <c r="G867" s="82"/>
      <c r="H867" s="83"/>
      <c r="I867" s="84"/>
      <c r="J867" s="84"/>
      <c r="K867" s="83"/>
      <c r="L867" s="85"/>
      <c r="M867" s="83"/>
      <c r="N867" s="83"/>
      <c r="O867" s="83"/>
      <c r="P867" s="83"/>
      <c r="Q867" s="83"/>
      <c r="R867" s="83"/>
      <c r="S867" s="8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>
      <c r="A868" s="82"/>
      <c r="B868" s="82"/>
      <c r="C868" s="82"/>
      <c r="D868" s="82"/>
      <c r="E868" s="82"/>
      <c r="F868" s="82"/>
      <c r="G868" s="82"/>
      <c r="H868" s="83"/>
      <c r="I868" s="84"/>
      <c r="J868" s="84"/>
      <c r="K868" s="83"/>
      <c r="L868" s="85"/>
      <c r="M868" s="83"/>
      <c r="N868" s="83"/>
      <c r="O868" s="83"/>
      <c r="P868" s="83"/>
      <c r="Q868" s="83"/>
      <c r="R868" s="83"/>
      <c r="S868" s="8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>
      <c r="A869" s="82"/>
      <c r="B869" s="82"/>
      <c r="C869" s="82"/>
      <c r="D869" s="82"/>
      <c r="E869" s="82"/>
      <c r="F869" s="82"/>
      <c r="G869" s="82"/>
      <c r="H869" s="83"/>
      <c r="I869" s="84"/>
      <c r="J869" s="84"/>
      <c r="K869" s="83"/>
      <c r="L869" s="85"/>
      <c r="M869" s="83"/>
      <c r="N869" s="83"/>
      <c r="O869" s="83"/>
      <c r="P869" s="83"/>
      <c r="Q869" s="83"/>
      <c r="R869" s="83"/>
      <c r="S869" s="8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>
      <c r="A870" s="82"/>
      <c r="B870" s="82"/>
      <c r="C870" s="82"/>
      <c r="D870" s="82"/>
      <c r="E870" s="82"/>
      <c r="F870" s="82"/>
      <c r="G870" s="82"/>
      <c r="H870" s="83"/>
      <c r="I870" s="84"/>
      <c r="J870" s="84"/>
      <c r="K870" s="83"/>
      <c r="L870" s="85"/>
      <c r="M870" s="83"/>
      <c r="N870" s="83"/>
      <c r="O870" s="83"/>
      <c r="P870" s="83"/>
      <c r="Q870" s="83"/>
      <c r="R870" s="83"/>
      <c r="S870" s="8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>
      <c r="A871" s="82"/>
      <c r="B871" s="82"/>
      <c r="C871" s="82"/>
      <c r="D871" s="82"/>
      <c r="E871" s="82"/>
      <c r="F871" s="82"/>
      <c r="G871" s="82"/>
      <c r="H871" s="83"/>
      <c r="I871" s="84"/>
      <c r="J871" s="84"/>
      <c r="K871" s="83"/>
      <c r="L871" s="85"/>
      <c r="M871" s="83"/>
      <c r="N871" s="83"/>
      <c r="O871" s="83"/>
      <c r="P871" s="83"/>
      <c r="Q871" s="83"/>
      <c r="R871" s="83"/>
      <c r="S871" s="8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>
      <c r="A872" s="82"/>
      <c r="B872" s="82"/>
      <c r="C872" s="82"/>
      <c r="D872" s="82"/>
      <c r="E872" s="82"/>
      <c r="F872" s="82"/>
      <c r="G872" s="82"/>
      <c r="H872" s="83"/>
      <c r="I872" s="84"/>
      <c r="J872" s="84"/>
      <c r="K872" s="83"/>
      <c r="L872" s="85"/>
      <c r="M872" s="83"/>
      <c r="N872" s="83"/>
      <c r="O872" s="83"/>
      <c r="P872" s="83"/>
      <c r="Q872" s="83"/>
      <c r="R872" s="83"/>
      <c r="S872" s="8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>
      <c r="A873" s="82"/>
      <c r="B873" s="82"/>
      <c r="C873" s="82"/>
      <c r="D873" s="82"/>
      <c r="E873" s="82"/>
      <c r="F873" s="82"/>
      <c r="G873" s="82"/>
      <c r="H873" s="83"/>
      <c r="I873" s="84"/>
      <c r="J873" s="84"/>
      <c r="K873" s="83"/>
      <c r="L873" s="85"/>
      <c r="M873" s="83"/>
      <c r="N873" s="83"/>
      <c r="O873" s="83"/>
      <c r="P873" s="83"/>
      <c r="Q873" s="83"/>
      <c r="R873" s="83"/>
      <c r="S873" s="8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>
      <c r="A874" s="82"/>
      <c r="B874" s="82"/>
      <c r="C874" s="82"/>
      <c r="D874" s="82"/>
      <c r="E874" s="82"/>
      <c r="F874" s="82"/>
      <c r="G874" s="82"/>
      <c r="H874" s="83"/>
      <c r="I874" s="84"/>
      <c r="J874" s="84"/>
      <c r="K874" s="83"/>
      <c r="L874" s="85"/>
      <c r="M874" s="83"/>
      <c r="N874" s="83"/>
      <c r="O874" s="83"/>
      <c r="P874" s="83"/>
      <c r="Q874" s="83"/>
      <c r="R874" s="83"/>
      <c r="S874" s="8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>
      <c r="A875" s="82"/>
      <c r="B875" s="82"/>
      <c r="C875" s="82"/>
      <c r="D875" s="82"/>
      <c r="E875" s="82"/>
      <c r="F875" s="82"/>
      <c r="G875" s="82"/>
      <c r="H875" s="83"/>
      <c r="I875" s="84"/>
      <c r="J875" s="84"/>
      <c r="K875" s="83"/>
      <c r="L875" s="85"/>
      <c r="M875" s="83"/>
      <c r="N875" s="83"/>
      <c r="O875" s="83"/>
      <c r="P875" s="83"/>
      <c r="Q875" s="83"/>
      <c r="R875" s="83"/>
      <c r="S875" s="8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>
      <c r="A876" s="82"/>
      <c r="B876" s="82"/>
      <c r="C876" s="82"/>
      <c r="D876" s="82"/>
      <c r="E876" s="82"/>
      <c r="F876" s="82"/>
      <c r="G876" s="82"/>
      <c r="H876" s="83"/>
      <c r="I876" s="84"/>
      <c r="J876" s="84"/>
      <c r="K876" s="83"/>
      <c r="L876" s="85"/>
      <c r="M876" s="83"/>
      <c r="N876" s="83"/>
      <c r="O876" s="83"/>
      <c r="P876" s="83"/>
      <c r="Q876" s="83"/>
      <c r="R876" s="83"/>
      <c r="S876" s="8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>
      <c r="A877" s="82"/>
      <c r="B877" s="82"/>
      <c r="C877" s="82"/>
      <c r="D877" s="82"/>
      <c r="E877" s="82"/>
      <c r="F877" s="82"/>
      <c r="G877" s="82"/>
      <c r="H877" s="83"/>
      <c r="I877" s="84"/>
      <c r="J877" s="84"/>
      <c r="K877" s="83"/>
      <c r="L877" s="85"/>
      <c r="M877" s="83"/>
      <c r="N877" s="83"/>
      <c r="O877" s="83"/>
      <c r="P877" s="83"/>
      <c r="Q877" s="83"/>
      <c r="R877" s="83"/>
      <c r="S877" s="8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>
      <c r="A878" s="82"/>
      <c r="B878" s="82"/>
      <c r="C878" s="82"/>
      <c r="D878" s="82"/>
      <c r="E878" s="82"/>
      <c r="F878" s="82"/>
      <c r="G878" s="82"/>
      <c r="H878" s="83"/>
      <c r="I878" s="84"/>
      <c r="J878" s="84"/>
      <c r="K878" s="83"/>
      <c r="L878" s="85"/>
      <c r="M878" s="83"/>
      <c r="N878" s="83"/>
      <c r="O878" s="83"/>
      <c r="P878" s="83"/>
      <c r="Q878" s="83"/>
      <c r="R878" s="83"/>
      <c r="S878" s="8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>
      <c r="A879" s="82"/>
      <c r="B879" s="82"/>
      <c r="C879" s="82"/>
      <c r="D879" s="82"/>
      <c r="E879" s="82"/>
      <c r="F879" s="82"/>
      <c r="G879" s="82"/>
      <c r="H879" s="83"/>
      <c r="I879" s="84"/>
      <c r="J879" s="84"/>
      <c r="K879" s="83"/>
      <c r="L879" s="85"/>
      <c r="M879" s="83"/>
      <c r="N879" s="83"/>
      <c r="O879" s="83"/>
      <c r="P879" s="83"/>
      <c r="Q879" s="83"/>
      <c r="R879" s="83"/>
      <c r="S879" s="8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>
      <c r="A880" s="82"/>
      <c r="B880" s="82"/>
      <c r="C880" s="82"/>
      <c r="D880" s="82"/>
      <c r="E880" s="82"/>
      <c r="F880" s="82"/>
      <c r="G880" s="82"/>
      <c r="H880" s="83"/>
      <c r="I880" s="84"/>
      <c r="J880" s="84"/>
      <c r="K880" s="83"/>
      <c r="L880" s="85"/>
      <c r="M880" s="83"/>
      <c r="N880" s="83"/>
      <c r="O880" s="83"/>
      <c r="P880" s="83"/>
      <c r="Q880" s="83"/>
      <c r="R880" s="83"/>
      <c r="S880" s="8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>
      <c r="A881" s="82"/>
      <c r="B881" s="82"/>
      <c r="C881" s="82"/>
      <c r="D881" s="82"/>
      <c r="E881" s="82"/>
      <c r="F881" s="82"/>
      <c r="G881" s="82"/>
      <c r="H881" s="83"/>
      <c r="I881" s="84"/>
      <c r="J881" s="84"/>
      <c r="K881" s="83"/>
      <c r="L881" s="85"/>
      <c r="M881" s="83"/>
      <c r="N881" s="83"/>
      <c r="O881" s="83"/>
      <c r="P881" s="83"/>
      <c r="Q881" s="83"/>
      <c r="R881" s="83"/>
      <c r="S881" s="8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>
      <c r="A882" s="82"/>
      <c r="B882" s="82"/>
      <c r="C882" s="82"/>
      <c r="D882" s="82"/>
      <c r="E882" s="82"/>
      <c r="F882" s="82"/>
      <c r="G882" s="82"/>
      <c r="H882" s="83"/>
      <c r="I882" s="84"/>
      <c r="J882" s="84"/>
      <c r="K882" s="83"/>
      <c r="L882" s="85"/>
      <c r="M882" s="83"/>
      <c r="N882" s="83"/>
      <c r="O882" s="83"/>
      <c r="P882" s="83"/>
      <c r="Q882" s="83"/>
      <c r="R882" s="83"/>
      <c r="S882" s="8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>
      <c r="A883" s="82"/>
      <c r="B883" s="82"/>
      <c r="C883" s="82"/>
      <c r="D883" s="82"/>
      <c r="E883" s="82"/>
      <c r="F883" s="82"/>
      <c r="G883" s="82"/>
      <c r="H883" s="83"/>
      <c r="I883" s="84"/>
      <c r="J883" s="84"/>
      <c r="K883" s="83"/>
      <c r="L883" s="85"/>
      <c r="M883" s="83"/>
      <c r="N883" s="83"/>
      <c r="O883" s="83"/>
      <c r="P883" s="83"/>
      <c r="Q883" s="83"/>
      <c r="R883" s="83"/>
      <c r="S883" s="8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>
      <c r="A884" s="82"/>
      <c r="B884" s="82"/>
      <c r="C884" s="82"/>
      <c r="D884" s="82"/>
      <c r="E884" s="82"/>
      <c r="F884" s="82"/>
      <c r="G884" s="82"/>
      <c r="H884" s="83"/>
      <c r="I884" s="84"/>
      <c r="J884" s="84"/>
      <c r="K884" s="83"/>
      <c r="L884" s="85"/>
      <c r="M884" s="83"/>
      <c r="N884" s="83"/>
      <c r="O884" s="83"/>
      <c r="P884" s="83"/>
      <c r="Q884" s="83"/>
      <c r="R884" s="83"/>
      <c r="S884" s="8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>
      <c r="A885" s="82"/>
      <c r="B885" s="82"/>
      <c r="C885" s="82"/>
      <c r="D885" s="82"/>
      <c r="E885" s="82"/>
      <c r="F885" s="82"/>
      <c r="G885" s="82"/>
      <c r="H885" s="83"/>
      <c r="I885" s="84"/>
      <c r="J885" s="84"/>
      <c r="K885" s="83"/>
      <c r="L885" s="85"/>
      <c r="M885" s="83"/>
      <c r="N885" s="83"/>
      <c r="O885" s="83"/>
      <c r="P885" s="83"/>
      <c r="Q885" s="83"/>
      <c r="R885" s="83"/>
      <c r="S885" s="8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>
      <c r="A886" s="82"/>
      <c r="B886" s="82"/>
      <c r="C886" s="82"/>
      <c r="D886" s="82"/>
      <c r="E886" s="82"/>
      <c r="F886" s="82"/>
      <c r="G886" s="82"/>
      <c r="H886" s="83"/>
      <c r="I886" s="84"/>
      <c r="J886" s="84"/>
      <c r="K886" s="83"/>
      <c r="L886" s="85"/>
      <c r="M886" s="83"/>
      <c r="N886" s="83"/>
      <c r="O886" s="83"/>
      <c r="P886" s="83"/>
      <c r="Q886" s="83"/>
      <c r="R886" s="83"/>
      <c r="S886" s="8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>
      <c r="A887" s="82"/>
      <c r="B887" s="82"/>
      <c r="C887" s="82"/>
      <c r="D887" s="82"/>
      <c r="E887" s="82"/>
      <c r="F887" s="82"/>
      <c r="G887" s="82"/>
      <c r="H887" s="83"/>
      <c r="I887" s="84"/>
      <c r="J887" s="84"/>
      <c r="K887" s="83"/>
      <c r="L887" s="85"/>
      <c r="M887" s="83"/>
      <c r="N887" s="83"/>
      <c r="O887" s="83"/>
      <c r="P887" s="83"/>
      <c r="Q887" s="83"/>
      <c r="R887" s="83"/>
      <c r="S887" s="8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>
      <c r="A888" s="82"/>
      <c r="B888" s="82"/>
      <c r="C888" s="82"/>
      <c r="D888" s="82"/>
      <c r="E888" s="82"/>
      <c r="F888" s="82"/>
      <c r="G888" s="82"/>
      <c r="H888" s="83"/>
      <c r="I888" s="84"/>
      <c r="J888" s="84"/>
      <c r="K888" s="83"/>
      <c r="L888" s="85"/>
      <c r="M888" s="83"/>
      <c r="N888" s="83"/>
      <c r="O888" s="83"/>
      <c r="P888" s="83"/>
      <c r="Q888" s="83"/>
      <c r="R888" s="83"/>
      <c r="S888" s="8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>
      <c r="A889" s="82"/>
      <c r="B889" s="82"/>
      <c r="C889" s="82"/>
      <c r="D889" s="82"/>
      <c r="E889" s="82"/>
      <c r="F889" s="82"/>
      <c r="G889" s="82"/>
      <c r="H889" s="83"/>
      <c r="I889" s="84"/>
      <c r="J889" s="84"/>
      <c r="K889" s="83"/>
      <c r="L889" s="85"/>
      <c r="M889" s="83"/>
      <c r="N889" s="83"/>
      <c r="O889" s="83"/>
      <c r="P889" s="83"/>
      <c r="Q889" s="83"/>
      <c r="R889" s="83"/>
      <c r="S889" s="8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>
      <c r="A890" s="82"/>
      <c r="B890" s="82"/>
      <c r="C890" s="82"/>
      <c r="D890" s="82"/>
      <c r="E890" s="82"/>
      <c r="F890" s="82"/>
      <c r="G890" s="82"/>
      <c r="H890" s="83"/>
      <c r="I890" s="84"/>
      <c r="J890" s="84"/>
      <c r="K890" s="83"/>
      <c r="L890" s="85"/>
      <c r="M890" s="83"/>
      <c r="N890" s="83"/>
      <c r="O890" s="83"/>
      <c r="P890" s="83"/>
      <c r="Q890" s="83"/>
      <c r="R890" s="83"/>
      <c r="S890" s="8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>
      <c r="A891" s="82"/>
      <c r="B891" s="82"/>
      <c r="C891" s="82"/>
      <c r="D891" s="82"/>
      <c r="E891" s="82"/>
      <c r="F891" s="82"/>
      <c r="G891" s="82"/>
      <c r="H891" s="83"/>
      <c r="I891" s="84"/>
      <c r="J891" s="84"/>
      <c r="K891" s="83"/>
      <c r="L891" s="85"/>
      <c r="M891" s="83"/>
      <c r="N891" s="83"/>
      <c r="O891" s="83"/>
      <c r="P891" s="83"/>
      <c r="Q891" s="83"/>
      <c r="R891" s="83"/>
      <c r="S891" s="8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>
      <c r="A892" s="82"/>
      <c r="B892" s="82"/>
      <c r="C892" s="82"/>
      <c r="D892" s="82"/>
      <c r="E892" s="82"/>
      <c r="F892" s="82"/>
      <c r="G892" s="82"/>
      <c r="H892" s="83"/>
      <c r="I892" s="84"/>
      <c r="J892" s="84"/>
      <c r="K892" s="83"/>
      <c r="L892" s="85"/>
      <c r="M892" s="83"/>
      <c r="N892" s="83"/>
      <c r="O892" s="83"/>
      <c r="P892" s="83"/>
      <c r="Q892" s="83"/>
      <c r="R892" s="83"/>
      <c r="S892" s="8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>
      <c r="A893" s="82"/>
      <c r="B893" s="82"/>
      <c r="C893" s="82"/>
      <c r="D893" s="82"/>
      <c r="E893" s="82"/>
      <c r="F893" s="82"/>
      <c r="G893" s="82"/>
      <c r="H893" s="83"/>
      <c r="I893" s="84"/>
      <c r="J893" s="84"/>
      <c r="K893" s="83"/>
      <c r="L893" s="85"/>
      <c r="M893" s="83"/>
      <c r="N893" s="83"/>
      <c r="O893" s="83"/>
      <c r="P893" s="83"/>
      <c r="Q893" s="83"/>
      <c r="R893" s="83"/>
      <c r="S893" s="8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>
      <c r="A894" s="82"/>
      <c r="B894" s="82"/>
      <c r="C894" s="82"/>
      <c r="D894" s="82"/>
      <c r="E894" s="82"/>
      <c r="F894" s="82"/>
      <c r="G894" s="82"/>
      <c r="H894" s="83"/>
      <c r="I894" s="84"/>
      <c r="J894" s="84"/>
      <c r="K894" s="83"/>
      <c r="L894" s="85"/>
      <c r="M894" s="83"/>
      <c r="N894" s="83"/>
      <c r="O894" s="83"/>
      <c r="P894" s="83"/>
      <c r="Q894" s="83"/>
      <c r="R894" s="83"/>
      <c r="S894" s="8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>
      <c r="A895" s="82"/>
      <c r="B895" s="82"/>
      <c r="C895" s="82"/>
      <c r="D895" s="82"/>
      <c r="E895" s="82"/>
      <c r="F895" s="82"/>
      <c r="G895" s="82"/>
      <c r="H895" s="83"/>
      <c r="I895" s="84"/>
      <c r="J895" s="84"/>
      <c r="K895" s="83"/>
      <c r="L895" s="85"/>
      <c r="M895" s="83"/>
      <c r="N895" s="83"/>
      <c r="O895" s="83"/>
      <c r="P895" s="83"/>
      <c r="Q895" s="83"/>
      <c r="R895" s="83"/>
      <c r="S895" s="8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>
      <c r="A896" s="82"/>
      <c r="B896" s="82"/>
      <c r="C896" s="82"/>
      <c r="D896" s="82"/>
      <c r="E896" s="82"/>
      <c r="F896" s="82"/>
      <c r="G896" s="82"/>
      <c r="H896" s="83"/>
      <c r="I896" s="84"/>
      <c r="J896" s="84"/>
      <c r="K896" s="83"/>
      <c r="L896" s="85"/>
      <c r="M896" s="83"/>
      <c r="N896" s="83"/>
      <c r="O896" s="83"/>
      <c r="P896" s="83"/>
      <c r="Q896" s="83"/>
      <c r="R896" s="83"/>
      <c r="S896" s="8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>
      <c r="A897" s="82"/>
      <c r="B897" s="82"/>
      <c r="C897" s="82"/>
      <c r="D897" s="82"/>
      <c r="E897" s="82"/>
      <c r="F897" s="82"/>
      <c r="G897" s="82"/>
      <c r="H897" s="83"/>
      <c r="I897" s="84"/>
      <c r="J897" s="84"/>
      <c r="K897" s="83"/>
      <c r="L897" s="85"/>
      <c r="M897" s="83"/>
      <c r="N897" s="83"/>
      <c r="O897" s="83"/>
      <c r="P897" s="83"/>
      <c r="Q897" s="83"/>
      <c r="R897" s="83"/>
      <c r="S897" s="8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>
      <c r="A898" s="82"/>
      <c r="B898" s="82"/>
      <c r="C898" s="82"/>
      <c r="D898" s="82"/>
      <c r="E898" s="82"/>
      <c r="F898" s="82"/>
      <c r="G898" s="82"/>
      <c r="H898" s="83"/>
      <c r="I898" s="84"/>
      <c r="J898" s="84"/>
      <c r="K898" s="83"/>
      <c r="L898" s="85"/>
      <c r="M898" s="83"/>
      <c r="N898" s="83"/>
      <c r="O898" s="83"/>
      <c r="P898" s="83"/>
      <c r="Q898" s="83"/>
      <c r="R898" s="83"/>
      <c r="S898" s="8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>
      <c r="A899" s="82"/>
      <c r="B899" s="82"/>
      <c r="C899" s="82"/>
      <c r="D899" s="82"/>
      <c r="E899" s="82"/>
      <c r="F899" s="82"/>
      <c r="G899" s="82"/>
      <c r="H899" s="83"/>
      <c r="I899" s="84"/>
      <c r="J899" s="84"/>
      <c r="K899" s="83"/>
      <c r="L899" s="85"/>
      <c r="M899" s="83"/>
      <c r="N899" s="83"/>
      <c r="O899" s="83"/>
      <c r="P899" s="83"/>
      <c r="Q899" s="83"/>
      <c r="R899" s="83"/>
      <c r="S899" s="8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>
      <c r="A900" s="82"/>
      <c r="B900" s="82"/>
      <c r="C900" s="82"/>
      <c r="D900" s="82"/>
      <c r="E900" s="82"/>
      <c r="F900" s="82"/>
      <c r="G900" s="82"/>
      <c r="H900" s="83"/>
      <c r="I900" s="84"/>
      <c r="J900" s="84"/>
      <c r="K900" s="83"/>
      <c r="L900" s="85"/>
      <c r="M900" s="83"/>
      <c r="N900" s="83"/>
      <c r="O900" s="83"/>
      <c r="P900" s="83"/>
      <c r="Q900" s="83"/>
      <c r="R900" s="83"/>
      <c r="S900" s="8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>
      <c r="A901" s="82"/>
      <c r="B901" s="82"/>
      <c r="C901" s="82"/>
      <c r="D901" s="82"/>
      <c r="E901" s="82"/>
      <c r="F901" s="82"/>
      <c r="G901" s="82"/>
      <c r="H901" s="83"/>
      <c r="I901" s="84"/>
      <c r="J901" s="84"/>
      <c r="K901" s="83"/>
      <c r="L901" s="85"/>
      <c r="M901" s="83"/>
      <c r="N901" s="83"/>
      <c r="O901" s="83"/>
      <c r="P901" s="83"/>
      <c r="Q901" s="83"/>
      <c r="R901" s="83"/>
      <c r="S901" s="8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>
      <c r="A902" s="82"/>
      <c r="B902" s="82"/>
      <c r="C902" s="82"/>
      <c r="D902" s="82"/>
      <c r="E902" s="82"/>
      <c r="F902" s="82"/>
      <c r="G902" s="82"/>
      <c r="H902" s="83"/>
      <c r="I902" s="84"/>
      <c r="J902" s="84"/>
      <c r="K902" s="83"/>
      <c r="L902" s="85"/>
      <c r="M902" s="83"/>
      <c r="N902" s="83"/>
      <c r="O902" s="83"/>
      <c r="P902" s="83"/>
      <c r="Q902" s="83"/>
      <c r="R902" s="83"/>
      <c r="S902" s="8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>
      <c r="A903" s="82"/>
      <c r="B903" s="82"/>
      <c r="C903" s="82"/>
      <c r="D903" s="82"/>
      <c r="E903" s="82"/>
      <c r="F903" s="82"/>
      <c r="G903" s="82"/>
      <c r="H903" s="83"/>
      <c r="I903" s="84"/>
      <c r="J903" s="84"/>
      <c r="K903" s="83"/>
      <c r="L903" s="85"/>
      <c r="M903" s="83"/>
      <c r="N903" s="83"/>
      <c r="O903" s="83"/>
      <c r="P903" s="83"/>
      <c r="Q903" s="83"/>
      <c r="R903" s="83"/>
      <c r="S903" s="8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>
      <c r="A904" s="82"/>
      <c r="B904" s="82"/>
      <c r="C904" s="82"/>
      <c r="D904" s="82"/>
      <c r="E904" s="82"/>
      <c r="F904" s="82"/>
      <c r="G904" s="82"/>
      <c r="H904" s="83"/>
      <c r="I904" s="84"/>
      <c r="J904" s="84"/>
      <c r="K904" s="83"/>
      <c r="L904" s="85"/>
      <c r="M904" s="83"/>
      <c r="N904" s="83"/>
      <c r="O904" s="83"/>
      <c r="P904" s="83"/>
      <c r="Q904" s="83"/>
      <c r="R904" s="83"/>
      <c r="S904" s="8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>
      <c r="A905" s="82"/>
      <c r="B905" s="82"/>
      <c r="C905" s="82"/>
      <c r="D905" s="82"/>
      <c r="E905" s="82"/>
      <c r="F905" s="82"/>
      <c r="G905" s="82"/>
      <c r="H905" s="83"/>
      <c r="I905" s="84"/>
      <c r="J905" s="84"/>
      <c r="K905" s="83"/>
      <c r="L905" s="85"/>
      <c r="M905" s="83"/>
      <c r="N905" s="83"/>
      <c r="O905" s="83"/>
      <c r="P905" s="83"/>
      <c r="Q905" s="83"/>
      <c r="R905" s="83"/>
      <c r="S905" s="8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>
      <c r="A906" s="82"/>
      <c r="B906" s="82"/>
      <c r="C906" s="82"/>
      <c r="D906" s="82"/>
      <c r="E906" s="82"/>
      <c r="F906" s="82"/>
      <c r="G906" s="82"/>
      <c r="H906" s="83"/>
      <c r="I906" s="84"/>
      <c r="J906" s="84"/>
      <c r="K906" s="83"/>
      <c r="L906" s="85"/>
      <c r="M906" s="83"/>
      <c r="N906" s="83"/>
      <c r="O906" s="83"/>
      <c r="P906" s="83"/>
      <c r="Q906" s="83"/>
      <c r="R906" s="83"/>
      <c r="S906" s="8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>
      <c r="A907" s="82"/>
      <c r="B907" s="82"/>
      <c r="C907" s="82"/>
      <c r="D907" s="82"/>
      <c r="E907" s="82"/>
      <c r="F907" s="82"/>
      <c r="G907" s="82"/>
      <c r="H907" s="83"/>
      <c r="I907" s="84"/>
      <c r="J907" s="84"/>
      <c r="K907" s="83"/>
      <c r="L907" s="85"/>
      <c r="M907" s="83"/>
      <c r="N907" s="83"/>
      <c r="O907" s="83"/>
      <c r="P907" s="83"/>
      <c r="Q907" s="83"/>
      <c r="R907" s="83"/>
      <c r="S907" s="8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>
      <c r="A908" s="82"/>
      <c r="B908" s="82"/>
      <c r="C908" s="82"/>
      <c r="D908" s="82"/>
      <c r="E908" s="82"/>
      <c r="F908" s="82"/>
      <c r="G908" s="82"/>
      <c r="H908" s="83"/>
      <c r="I908" s="84"/>
      <c r="J908" s="84"/>
      <c r="K908" s="83"/>
      <c r="L908" s="85"/>
      <c r="M908" s="83"/>
      <c r="N908" s="83"/>
      <c r="O908" s="83"/>
      <c r="P908" s="83"/>
      <c r="Q908" s="83"/>
      <c r="R908" s="83"/>
      <c r="S908" s="8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>
      <c r="A909" s="82"/>
      <c r="B909" s="82"/>
      <c r="C909" s="82"/>
      <c r="D909" s="82"/>
      <c r="E909" s="82"/>
      <c r="F909" s="82"/>
      <c r="G909" s="82"/>
      <c r="H909" s="83"/>
      <c r="I909" s="84"/>
      <c r="J909" s="84"/>
      <c r="K909" s="83"/>
      <c r="L909" s="85"/>
      <c r="M909" s="83"/>
      <c r="N909" s="83"/>
      <c r="O909" s="83"/>
      <c r="P909" s="83"/>
      <c r="Q909" s="83"/>
      <c r="R909" s="83"/>
      <c r="S909" s="8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>
      <c r="A910" s="82"/>
      <c r="B910" s="82"/>
      <c r="C910" s="82"/>
      <c r="D910" s="82"/>
      <c r="E910" s="82"/>
      <c r="F910" s="82"/>
      <c r="G910" s="82"/>
      <c r="H910" s="83"/>
      <c r="I910" s="84"/>
      <c r="J910" s="84"/>
      <c r="K910" s="83"/>
      <c r="L910" s="85"/>
      <c r="M910" s="83"/>
      <c r="N910" s="83"/>
      <c r="O910" s="83"/>
      <c r="P910" s="83"/>
      <c r="Q910" s="83"/>
      <c r="R910" s="83"/>
      <c r="S910" s="8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>
      <c r="A911" s="82"/>
      <c r="B911" s="82"/>
      <c r="C911" s="82"/>
      <c r="D911" s="82"/>
      <c r="E911" s="82"/>
      <c r="F911" s="82"/>
      <c r="G911" s="82"/>
      <c r="H911" s="83"/>
      <c r="I911" s="84"/>
      <c r="J911" s="84"/>
      <c r="K911" s="83"/>
      <c r="L911" s="85"/>
      <c r="M911" s="83"/>
      <c r="N911" s="83"/>
      <c r="O911" s="83"/>
      <c r="P911" s="83"/>
      <c r="Q911" s="83"/>
      <c r="R911" s="83"/>
      <c r="S911" s="8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>
      <c r="A912" s="82"/>
      <c r="B912" s="82"/>
      <c r="C912" s="82"/>
      <c r="D912" s="82"/>
      <c r="E912" s="82"/>
      <c r="F912" s="82"/>
      <c r="G912" s="82"/>
      <c r="H912" s="83"/>
      <c r="I912" s="84"/>
      <c r="J912" s="84"/>
      <c r="K912" s="83"/>
      <c r="L912" s="85"/>
      <c r="M912" s="83"/>
      <c r="N912" s="83"/>
      <c r="O912" s="83"/>
      <c r="P912" s="83"/>
      <c r="Q912" s="83"/>
      <c r="R912" s="83"/>
      <c r="S912" s="8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>
      <c r="A913" s="82"/>
      <c r="B913" s="82"/>
      <c r="C913" s="82"/>
      <c r="D913" s="82"/>
      <c r="E913" s="82"/>
      <c r="F913" s="82"/>
      <c r="G913" s="82"/>
      <c r="H913" s="83"/>
      <c r="I913" s="84"/>
      <c r="J913" s="84"/>
      <c r="K913" s="83"/>
      <c r="L913" s="85"/>
      <c r="M913" s="83"/>
      <c r="N913" s="83"/>
      <c r="O913" s="83"/>
      <c r="P913" s="83"/>
      <c r="Q913" s="83"/>
      <c r="R913" s="83"/>
      <c r="S913" s="8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>
      <c r="A914" s="82"/>
      <c r="B914" s="82"/>
      <c r="C914" s="82"/>
      <c r="D914" s="82"/>
      <c r="E914" s="82"/>
      <c r="F914" s="82"/>
      <c r="G914" s="82"/>
      <c r="H914" s="83"/>
      <c r="I914" s="84"/>
      <c r="J914" s="84"/>
      <c r="K914" s="83"/>
      <c r="L914" s="85"/>
      <c r="M914" s="83"/>
      <c r="N914" s="83"/>
      <c r="O914" s="83"/>
      <c r="P914" s="83"/>
      <c r="Q914" s="83"/>
      <c r="R914" s="83"/>
      <c r="S914" s="8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>
      <c r="A915" s="82"/>
      <c r="B915" s="82"/>
      <c r="C915" s="82"/>
      <c r="D915" s="82"/>
      <c r="E915" s="82"/>
      <c r="F915" s="82"/>
      <c r="G915" s="82"/>
      <c r="H915" s="83"/>
      <c r="I915" s="84"/>
      <c r="J915" s="84"/>
      <c r="K915" s="83"/>
      <c r="L915" s="85"/>
      <c r="M915" s="83"/>
      <c r="N915" s="83"/>
      <c r="O915" s="83"/>
      <c r="P915" s="83"/>
      <c r="Q915" s="83"/>
      <c r="R915" s="83"/>
      <c r="S915" s="8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>
      <c r="A916" s="82"/>
      <c r="B916" s="82"/>
      <c r="C916" s="82"/>
      <c r="D916" s="82"/>
      <c r="E916" s="82"/>
      <c r="F916" s="82"/>
      <c r="G916" s="82"/>
      <c r="H916" s="83"/>
      <c r="I916" s="84"/>
      <c r="J916" s="84"/>
      <c r="K916" s="83"/>
      <c r="L916" s="85"/>
      <c r="M916" s="83"/>
      <c r="N916" s="83"/>
      <c r="O916" s="83"/>
      <c r="P916" s="83"/>
      <c r="Q916" s="83"/>
      <c r="R916" s="83"/>
      <c r="S916" s="8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>
      <c r="A917" s="82"/>
      <c r="B917" s="82"/>
      <c r="C917" s="82"/>
      <c r="D917" s="82"/>
      <c r="E917" s="82"/>
      <c r="F917" s="82"/>
      <c r="G917" s="82"/>
      <c r="H917" s="83"/>
      <c r="I917" s="84"/>
      <c r="J917" s="84"/>
      <c r="K917" s="83"/>
      <c r="L917" s="85"/>
      <c r="M917" s="83"/>
      <c r="N917" s="83"/>
      <c r="O917" s="83"/>
      <c r="P917" s="83"/>
      <c r="Q917" s="83"/>
      <c r="R917" s="83"/>
      <c r="S917" s="8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>
      <c r="A918" s="82"/>
      <c r="B918" s="82"/>
      <c r="C918" s="82"/>
      <c r="D918" s="82"/>
      <c r="E918" s="82"/>
      <c r="F918" s="82"/>
      <c r="G918" s="82"/>
      <c r="H918" s="83"/>
      <c r="I918" s="84"/>
      <c r="J918" s="84"/>
      <c r="K918" s="83"/>
      <c r="L918" s="85"/>
      <c r="M918" s="83"/>
      <c r="N918" s="83"/>
      <c r="O918" s="83"/>
      <c r="P918" s="83"/>
      <c r="Q918" s="83"/>
      <c r="R918" s="83"/>
      <c r="S918" s="8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>
      <c r="A919" s="82"/>
      <c r="B919" s="82"/>
      <c r="C919" s="82"/>
      <c r="D919" s="82"/>
      <c r="E919" s="82"/>
      <c r="F919" s="82"/>
      <c r="G919" s="82"/>
      <c r="H919" s="83"/>
      <c r="I919" s="84"/>
      <c r="J919" s="84"/>
      <c r="K919" s="83"/>
      <c r="L919" s="85"/>
      <c r="M919" s="83"/>
      <c r="N919" s="83"/>
      <c r="O919" s="83"/>
      <c r="P919" s="83"/>
      <c r="Q919" s="83"/>
      <c r="R919" s="83"/>
      <c r="S919" s="8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>
      <c r="A920" s="82"/>
      <c r="B920" s="82"/>
      <c r="C920" s="82"/>
      <c r="D920" s="82"/>
      <c r="E920" s="82"/>
      <c r="F920" s="82"/>
      <c r="G920" s="82"/>
      <c r="H920" s="83"/>
      <c r="I920" s="84"/>
      <c r="J920" s="84"/>
      <c r="K920" s="83"/>
      <c r="L920" s="85"/>
      <c r="M920" s="83"/>
      <c r="N920" s="83"/>
      <c r="O920" s="83"/>
      <c r="P920" s="83"/>
      <c r="Q920" s="83"/>
      <c r="R920" s="83"/>
      <c r="S920" s="8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>
      <c r="A921" s="82"/>
      <c r="B921" s="82"/>
      <c r="C921" s="82"/>
      <c r="D921" s="82"/>
      <c r="E921" s="82"/>
      <c r="F921" s="82"/>
      <c r="G921" s="82"/>
      <c r="H921" s="83"/>
      <c r="I921" s="84"/>
      <c r="J921" s="84"/>
      <c r="K921" s="83"/>
      <c r="L921" s="85"/>
      <c r="M921" s="83"/>
      <c r="N921" s="83"/>
      <c r="O921" s="83"/>
      <c r="P921" s="83"/>
      <c r="Q921" s="83"/>
      <c r="R921" s="83"/>
      <c r="S921" s="8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>
      <c r="A922" s="82"/>
      <c r="B922" s="82"/>
      <c r="C922" s="82"/>
      <c r="D922" s="82"/>
      <c r="E922" s="82"/>
      <c r="F922" s="82"/>
      <c r="G922" s="82"/>
      <c r="H922" s="83"/>
      <c r="I922" s="84"/>
      <c r="J922" s="84"/>
      <c r="K922" s="83"/>
      <c r="L922" s="85"/>
      <c r="M922" s="83"/>
      <c r="N922" s="83"/>
      <c r="O922" s="83"/>
      <c r="P922" s="83"/>
      <c r="Q922" s="83"/>
      <c r="R922" s="83"/>
      <c r="S922" s="8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>
      <c r="A923" s="82"/>
      <c r="B923" s="82"/>
      <c r="C923" s="82"/>
      <c r="D923" s="82"/>
      <c r="E923" s="82"/>
      <c r="F923" s="82"/>
      <c r="G923" s="82"/>
      <c r="H923" s="83"/>
      <c r="I923" s="84"/>
      <c r="J923" s="84"/>
      <c r="K923" s="83"/>
      <c r="L923" s="85"/>
      <c r="M923" s="83"/>
      <c r="N923" s="83"/>
      <c r="O923" s="83"/>
      <c r="P923" s="83"/>
      <c r="Q923" s="83"/>
      <c r="R923" s="83"/>
      <c r="S923" s="8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>
      <c r="A924" s="82"/>
      <c r="B924" s="82"/>
      <c r="C924" s="82"/>
      <c r="D924" s="82"/>
      <c r="E924" s="82"/>
      <c r="F924" s="82"/>
      <c r="G924" s="82"/>
      <c r="H924" s="83"/>
      <c r="I924" s="84"/>
      <c r="J924" s="84"/>
      <c r="K924" s="83"/>
      <c r="L924" s="85"/>
      <c r="M924" s="83"/>
      <c r="N924" s="83"/>
      <c r="O924" s="83"/>
      <c r="P924" s="83"/>
      <c r="Q924" s="83"/>
      <c r="R924" s="83"/>
      <c r="S924" s="8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>
      <c r="A925" s="82"/>
      <c r="B925" s="82"/>
      <c r="C925" s="82"/>
      <c r="D925" s="82"/>
      <c r="E925" s="82"/>
      <c r="F925" s="82"/>
      <c r="G925" s="82"/>
      <c r="H925" s="83"/>
      <c r="I925" s="84"/>
      <c r="J925" s="84"/>
      <c r="K925" s="83"/>
      <c r="L925" s="85"/>
      <c r="M925" s="83"/>
      <c r="N925" s="83"/>
      <c r="O925" s="83"/>
      <c r="P925" s="83"/>
      <c r="Q925" s="83"/>
      <c r="R925" s="83"/>
      <c r="S925" s="8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>
      <c r="A926" s="82"/>
      <c r="B926" s="82"/>
      <c r="C926" s="82"/>
      <c r="D926" s="82"/>
      <c r="E926" s="82"/>
      <c r="F926" s="82"/>
      <c r="G926" s="82"/>
      <c r="H926" s="83"/>
      <c r="I926" s="84"/>
      <c r="J926" s="84"/>
      <c r="K926" s="83"/>
      <c r="L926" s="85"/>
      <c r="M926" s="83"/>
      <c r="N926" s="83"/>
      <c r="O926" s="83"/>
      <c r="P926" s="83"/>
      <c r="Q926" s="83"/>
      <c r="R926" s="83"/>
      <c r="S926" s="8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>
      <c r="A927" s="82"/>
      <c r="B927" s="82"/>
      <c r="C927" s="82"/>
      <c r="D927" s="82"/>
      <c r="E927" s="82"/>
      <c r="F927" s="82"/>
      <c r="G927" s="82"/>
      <c r="H927" s="83"/>
      <c r="I927" s="84"/>
      <c r="J927" s="84"/>
      <c r="K927" s="83"/>
      <c r="L927" s="85"/>
      <c r="M927" s="83"/>
      <c r="N927" s="83"/>
      <c r="O927" s="83"/>
      <c r="P927" s="83"/>
      <c r="Q927" s="83"/>
      <c r="R927" s="83"/>
      <c r="S927" s="8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>
      <c r="A928" s="82"/>
      <c r="B928" s="82"/>
      <c r="C928" s="82"/>
      <c r="D928" s="82"/>
      <c r="E928" s="82"/>
      <c r="F928" s="82"/>
      <c r="G928" s="82"/>
      <c r="H928" s="83"/>
      <c r="I928" s="84"/>
      <c r="J928" s="84"/>
      <c r="K928" s="83"/>
      <c r="L928" s="85"/>
      <c r="M928" s="83"/>
      <c r="N928" s="83"/>
      <c r="O928" s="83"/>
      <c r="P928" s="83"/>
      <c r="Q928" s="83"/>
      <c r="R928" s="83"/>
      <c r="S928" s="8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>
      <c r="A929" s="82"/>
      <c r="B929" s="82"/>
      <c r="C929" s="82"/>
      <c r="D929" s="82"/>
      <c r="E929" s="82"/>
      <c r="F929" s="82"/>
      <c r="G929" s="82"/>
      <c r="H929" s="83"/>
      <c r="I929" s="84"/>
      <c r="J929" s="84"/>
      <c r="K929" s="83"/>
      <c r="L929" s="85"/>
      <c r="M929" s="83"/>
      <c r="N929" s="83"/>
      <c r="O929" s="83"/>
      <c r="P929" s="83"/>
      <c r="Q929" s="83"/>
      <c r="R929" s="83"/>
      <c r="S929" s="8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>
      <c r="A930" s="82"/>
      <c r="B930" s="82"/>
      <c r="C930" s="82"/>
      <c r="D930" s="82"/>
      <c r="E930" s="82"/>
      <c r="F930" s="82"/>
      <c r="G930" s="82"/>
      <c r="H930" s="83"/>
      <c r="I930" s="84"/>
      <c r="J930" s="84"/>
      <c r="K930" s="83"/>
      <c r="L930" s="85"/>
      <c r="M930" s="83"/>
      <c r="N930" s="83"/>
      <c r="O930" s="83"/>
      <c r="P930" s="83"/>
      <c r="Q930" s="83"/>
      <c r="R930" s="83"/>
      <c r="S930" s="8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>
      <c r="A931" s="82"/>
      <c r="B931" s="82"/>
      <c r="C931" s="82"/>
      <c r="D931" s="82"/>
      <c r="E931" s="82"/>
      <c r="F931" s="82"/>
      <c r="G931" s="82"/>
      <c r="H931" s="83"/>
      <c r="I931" s="84"/>
      <c r="J931" s="84"/>
      <c r="K931" s="83"/>
      <c r="L931" s="85"/>
      <c r="M931" s="83"/>
      <c r="N931" s="83"/>
      <c r="O931" s="83"/>
      <c r="P931" s="83"/>
      <c r="Q931" s="83"/>
      <c r="R931" s="83"/>
      <c r="S931" s="8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>
      <c r="A932" s="82"/>
      <c r="B932" s="82"/>
      <c r="C932" s="82"/>
      <c r="D932" s="82"/>
      <c r="E932" s="82"/>
      <c r="F932" s="82"/>
      <c r="G932" s="82"/>
      <c r="H932" s="83"/>
      <c r="I932" s="84"/>
      <c r="J932" s="84"/>
      <c r="K932" s="83"/>
      <c r="L932" s="85"/>
      <c r="M932" s="83"/>
      <c r="N932" s="83"/>
      <c r="O932" s="83"/>
      <c r="P932" s="83"/>
      <c r="Q932" s="83"/>
      <c r="R932" s="83"/>
      <c r="S932" s="8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>
      <c r="A933" s="82"/>
      <c r="B933" s="82"/>
      <c r="C933" s="82"/>
      <c r="D933" s="82"/>
      <c r="E933" s="82"/>
      <c r="F933" s="82"/>
      <c r="G933" s="82"/>
      <c r="H933" s="83"/>
      <c r="I933" s="84"/>
      <c r="J933" s="84"/>
      <c r="K933" s="83"/>
      <c r="L933" s="85"/>
      <c r="M933" s="83"/>
      <c r="N933" s="83"/>
      <c r="O933" s="83"/>
      <c r="P933" s="83"/>
      <c r="Q933" s="83"/>
      <c r="R933" s="83"/>
      <c r="S933" s="8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>
      <c r="A934" s="82"/>
      <c r="B934" s="82"/>
      <c r="C934" s="82"/>
      <c r="D934" s="82"/>
      <c r="E934" s="82"/>
      <c r="F934" s="82"/>
      <c r="G934" s="82"/>
      <c r="H934" s="83"/>
      <c r="I934" s="84"/>
      <c r="J934" s="84"/>
      <c r="K934" s="83"/>
      <c r="L934" s="85"/>
      <c r="M934" s="83"/>
      <c r="N934" s="83"/>
      <c r="O934" s="83"/>
      <c r="P934" s="83"/>
      <c r="Q934" s="83"/>
      <c r="R934" s="83"/>
      <c r="S934" s="8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>
      <c r="A935" s="82"/>
      <c r="B935" s="82"/>
      <c r="C935" s="82"/>
      <c r="D935" s="82"/>
      <c r="E935" s="82"/>
      <c r="F935" s="82"/>
      <c r="G935" s="82"/>
      <c r="H935" s="83"/>
      <c r="I935" s="84"/>
      <c r="J935" s="84"/>
      <c r="K935" s="83"/>
      <c r="L935" s="85"/>
      <c r="M935" s="83"/>
      <c r="N935" s="83"/>
      <c r="O935" s="83"/>
      <c r="P935" s="83"/>
      <c r="Q935" s="83"/>
      <c r="R935" s="83"/>
      <c r="S935" s="8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>
      <c r="A936" s="82"/>
      <c r="B936" s="82"/>
      <c r="C936" s="82"/>
      <c r="D936" s="82"/>
      <c r="E936" s="82"/>
      <c r="F936" s="82"/>
      <c r="G936" s="82"/>
      <c r="H936" s="83"/>
      <c r="I936" s="84"/>
      <c r="J936" s="84"/>
      <c r="K936" s="83"/>
      <c r="L936" s="85"/>
      <c r="M936" s="83"/>
      <c r="N936" s="83"/>
      <c r="O936" s="83"/>
      <c r="P936" s="83"/>
      <c r="Q936" s="83"/>
      <c r="R936" s="83"/>
      <c r="S936" s="8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>
      <c r="A937" s="82"/>
      <c r="B937" s="82"/>
      <c r="C937" s="82"/>
      <c r="D937" s="82"/>
      <c r="E937" s="82"/>
      <c r="F937" s="82"/>
      <c r="G937" s="82"/>
      <c r="H937" s="83"/>
      <c r="I937" s="84"/>
      <c r="J937" s="84"/>
      <c r="K937" s="83"/>
      <c r="L937" s="85"/>
      <c r="M937" s="83"/>
      <c r="N937" s="83"/>
      <c r="O937" s="83"/>
      <c r="P937" s="83"/>
      <c r="Q937" s="83"/>
      <c r="R937" s="83"/>
      <c r="S937" s="8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>
      <c r="A938" s="82"/>
      <c r="B938" s="82"/>
      <c r="C938" s="82"/>
      <c r="D938" s="82"/>
      <c r="E938" s="82"/>
      <c r="F938" s="82"/>
      <c r="G938" s="82"/>
      <c r="H938" s="83"/>
      <c r="I938" s="84"/>
      <c r="J938" s="84"/>
      <c r="K938" s="83"/>
      <c r="L938" s="85"/>
      <c r="M938" s="83"/>
      <c r="N938" s="83"/>
      <c r="O938" s="83"/>
      <c r="P938" s="83"/>
      <c r="Q938" s="83"/>
      <c r="R938" s="83"/>
      <c r="S938" s="8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>
      <c r="A939" s="82"/>
      <c r="B939" s="82"/>
      <c r="C939" s="82"/>
      <c r="D939" s="82"/>
      <c r="E939" s="82"/>
      <c r="F939" s="82"/>
      <c r="G939" s="82"/>
      <c r="H939" s="83"/>
      <c r="I939" s="84"/>
      <c r="J939" s="84"/>
      <c r="K939" s="83"/>
      <c r="L939" s="85"/>
      <c r="M939" s="83"/>
      <c r="N939" s="83"/>
      <c r="O939" s="83"/>
      <c r="P939" s="83"/>
      <c r="Q939" s="83"/>
      <c r="R939" s="83"/>
      <c r="S939" s="8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>
      <c r="A940" s="82"/>
      <c r="B940" s="82"/>
      <c r="C940" s="82"/>
      <c r="D940" s="82"/>
      <c r="E940" s="82"/>
      <c r="F940" s="82"/>
      <c r="G940" s="82"/>
      <c r="H940" s="83"/>
      <c r="I940" s="84"/>
      <c r="J940" s="84"/>
      <c r="K940" s="83"/>
      <c r="L940" s="85"/>
      <c r="M940" s="83"/>
      <c r="N940" s="83"/>
      <c r="O940" s="83"/>
      <c r="P940" s="83"/>
      <c r="Q940" s="83"/>
      <c r="R940" s="83"/>
      <c r="S940" s="8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>
      <c r="A941" s="82"/>
      <c r="B941" s="82"/>
      <c r="C941" s="82"/>
      <c r="D941" s="82"/>
      <c r="E941" s="82"/>
      <c r="F941" s="82"/>
      <c r="G941" s="82"/>
      <c r="H941" s="83"/>
      <c r="I941" s="84"/>
      <c r="J941" s="84"/>
      <c r="K941" s="83"/>
      <c r="L941" s="85"/>
      <c r="M941" s="83"/>
      <c r="N941" s="83"/>
      <c r="O941" s="83"/>
      <c r="P941" s="83"/>
      <c r="Q941" s="83"/>
      <c r="R941" s="83"/>
      <c r="S941" s="8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>
      <c r="A942" s="82"/>
      <c r="B942" s="82"/>
      <c r="C942" s="82"/>
      <c r="D942" s="82"/>
      <c r="E942" s="82"/>
      <c r="F942" s="82"/>
      <c r="G942" s="82"/>
      <c r="H942" s="83"/>
      <c r="I942" s="84"/>
      <c r="J942" s="84"/>
      <c r="K942" s="83"/>
      <c r="L942" s="85"/>
      <c r="M942" s="83"/>
      <c r="N942" s="83"/>
      <c r="O942" s="83"/>
      <c r="P942" s="83"/>
      <c r="Q942" s="83"/>
      <c r="R942" s="83"/>
      <c r="S942" s="8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>
      <c r="A943" s="82"/>
      <c r="B943" s="82"/>
      <c r="C943" s="82"/>
      <c r="D943" s="82"/>
      <c r="E943" s="82"/>
      <c r="F943" s="82"/>
      <c r="G943" s="82"/>
      <c r="H943" s="83"/>
      <c r="I943" s="84"/>
      <c r="J943" s="84"/>
      <c r="K943" s="83"/>
      <c r="L943" s="85"/>
      <c r="M943" s="83"/>
      <c r="N943" s="83"/>
      <c r="O943" s="83"/>
      <c r="P943" s="83"/>
      <c r="Q943" s="83"/>
      <c r="R943" s="83"/>
      <c r="S943" s="8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>
      <c r="A944" s="82"/>
      <c r="B944" s="82"/>
      <c r="C944" s="82"/>
      <c r="D944" s="82"/>
      <c r="E944" s="82"/>
      <c r="F944" s="82"/>
      <c r="G944" s="82"/>
      <c r="H944" s="83"/>
      <c r="I944" s="84"/>
      <c r="J944" s="84"/>
      <c r="K944" s="83"/>
      <c r="L944" s="85"/>
      <c r="M944" s="83"/>
      <c r="N944" s="83"/>
      <c r="O944" s="83"/>
      <c r="P944" s="83"/>
      <c r="Q944" s="83"/>
      <c r="R944" s="83"/>
      <c r="S944" s="8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>
      <c r="A945" s="82"/>
      <c r="B945" s="82"/>
      <c r="C945" s="82"/>
      <c r="D945" s="82"/>
      <c r="E945" s="82"/>
      <c r="F945" s="82"/>
      <c r="G945" s="82"/>
      <c r="H945" s="83"/>
      <c r="I945" s="84"/>
      <c r="J945" s="84"/>
      <c r="K945" s="83"/>
      <c r="L945" s="85"/>
      <c r="M945" s="83"/>
      <c r="N945" s="83"/>
      <c r="O945" s="83"/>
      <c r="P945" s="83"/>
      <c r="Q945" s="83"/>
      <c r="R945" s="83"/>
      <c r="S945" s="8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>
      <c r="A946" s="82"/>
      <c r="B946" s="82"/>
      <c r="C946" s="82"/>
      <c r="D946" s="82"/>
      <c r="E946" s="82"/>
      <c r="F946" s="82"/>
      <c r="G946" s="82"/>
      <c r="H946" s="83"/>
      <c r="I946" s="84"/>
      <c r="J946" s="84"/>
      <c r="K946" s="83"/>
      <c r="L946" s="85"/>
      <c r="M946" s="83"/>
      <c r="N946" s="83"/>
      <c r="O946" s="83"/>
      <c r="P946" s="83"/>
      <c r="Q946" s="83"/>
      <c r="R946" s="83"/>
      <c r="S946" s="8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>
      <c r="A947" s="82"/>
      <c r="B947" s="82"/>
      <c r="C947" s="82"/>
      <c r="D947" s="82"/>
      <c r="E947" s="82"/>
      <c r="F947" s="82"/>
      <c r="G947" s="82"/>
      <c r="H947" s="83"/>
      <c r="I947" s="84"/>
      <c r="J947" s="84"/>
      <c r="K947" s="83"/>
      <c r="L947" s="85"/>
      <c r="M947" s="83"/>
      <c r="N947" s="83"/>
      <c r="O947" s="83"/>
      <c r="P947" s="83"/>
      <c r="Q947" s="83"/>
      <c r="R947" s="83"/>
      <c r="S947" s="8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>
      <c r="A948" s="82"/>
      <c r="B948" s="82"/>
      <c r="C948" s="82"/>
      <c r="D948" s="82"/>
      <c r="E948" s="82"/>
      <c r="F948" s="82"/>
      <c r="G948" s="82"/>
      <c r="H948" s="83"/>
      <c r="I948" s="84"/>
      <c r="J948" s="84"/>
      <c r="K948" s="83"/>
      <c r="L948" s="85"/>
      <c r="M948" s="83"/>
      <c r="N948" s="83"/>
      <c r="O948" s="83"/>
      <c r="P948" s="83"/>
      <c r="Q948" s="83"/>
      <c r="R948" s="83"/>
      <c r="S948" s="8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>
      <c r="A949" s="82"/>
      <c r="B949" s="82"/>
      <c r="C949" s="82"/>
      <c r="D949" s="82"/>
      <c r="E949" s="82"/>
      <c r="F949" s="82"/>
      <c r="G949" s="82"/>
      <c r="H949" s="83"/>
      <c r="I949" s="84"/>
      <c r="J949" s="84"/>
      <c r="K949" s="83"/>
      <c r="L949" s="85"/>
      <c r="M949" s="83"/>
      <c r="N949" s="83"/>
      <c r="O949" s="83"/>
      <c r="P949" s="83"/>
      <c r="Q949" s="83"/>
      <c r="R949" s="83"/>
      <c r="S949" s="8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>
      <c r="A950" s="82"/>
      <c r="B950" s="82"/>
      <c r="C950" s="82"/>
      <c r="D950" s="82"/>
      <c r="E950" s="82"/>
      <c r="F950" s="82"/>
      <c r="G950" s="82"/>
      <c r="H950" s="83"/>
      <c r="I950" s="84"/>
      <c r="J950" s="84"/>
      <c r="K950" s="83"/>
      <c r="L950" s="85"/>
      <c r="M950" s="83"/>
      <c r="N950" s="83"/>
      <c r="O950" s="83"/>
      <c r="P950" s="83"/>
      <c r="Q950" s="83"/>
      <c r="R950" s="83"/>
      <c r="S950" s="8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>
      <c r="A951" s="82"/>
      <c r="B951" s="82"/>
      <c r="C951" s="82"/>
      <c r="D951" s="82"/>
      <c r="E951" s="82"/>
      <c r="F951" s="82"/>
      <c r="G951" s="82"/>
      <c r="H951" s="83"/>
      <c r="I951" s="84"/>
      <c r="J951" s="84"/>
      <c r="K951" s="83"/>
      <c r="L951" s="85"/>
      <c r="M951" s="83"/>
      <c r="N951" s="83"/>
      <c r="O951" s="83"/>
      <c r="P951" s="83"/>
      <c r="Q951" s="83"/>
      <c r="R951" s="83"/>
      <c r="S951" s="8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>
      <c r="A952" s="82"/>
      <c r="B952" s="82"/>
      <c r="C952" s="82"/>
      <c r="D952" s="82"/>
      <c r="E952" s="82"/>
      <c r="F952" s="82"/>
      <c r="G952" s="82"/>
      <c r="H952" s="83"/>
      <c r="I952" s="84"/>
      <c r="J952" s="84"/>
      <c r="K952" s="83"/>
      <c r="L952" s="85"/>
      <c r="M952" s="83"/>
      <c r="N952" s="83"/>
      <c r="O952" s="83"/>
      <c r="P952" s="83"/>
      <c r="Q952" s="83"/>
      <c r="R952" s="83"/>
      <c r="S952" s="8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>
      <c r="A953" s="82"/>
      <c r="B953" s="82"/>
      <c r="C953" s="82"/>
      <c r="D953" s="82"/>
      <c r="E953" s="82"/>
      <c r="F953" s="82"/>
      <c r="G953" s="82"/>
      <c r="H953" s="83"/>
      <c r="I953" s="84"/>
      <c r="J953" s="84"/>
      <c r="K953" s="83"/>
      <c r="L953" s="85"/>
      <c r="M953" s="83"/>
      <c r="N953" s="83"/>
      <c r="O953" s="83"/>
      <c r="P953" s="83"/>
      <c r="Q953" s="83"/>
      <c r="R953" s="83"/>
      <c r="S953" s="8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>
      <c r="A954" s="82"/>
      <c r="B954" s="82"/>
      <c r="C954" s="82"/>
      <c r="D954" s="82"/>
      <c r="E954" s="82"/>
      <c r="F954" s="82"/>
      <c r="G954" s="82"/>
      <c r="H954" s="83"/>
      <c r="I954" s="84"/>
      <c r="J954" s="84"/>
      <c r="K954" s="83"/>
      <c r="L954" s="85"/>
      <c r="M954" s="83"/>
      <c r="N954" s="83"/>
      <c r="O954" s="83"/>
      <c r="P954" s="83"/>
      <c r="Q954" s="83"/>
      <c r="R954" s="83"/>
      <c r="S954" s="8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>
      <c r="A955" s="82"/>
      <c r="B955" s="82"/>
      <c r="C955" s="82"/>
      <c r="D955" s="82"/>
      <c r="E955" s="82"/>
      <c r="F955" s="82"/>
      <c r="G955" s="82"/>
      <c r="H955" s="83"/>
      <c r="I955" s="84"/>
      <c r="J955" s="84"/>
      <c r="K955" s="83"/>
      <c r="L955" s="85"/>
      <c r="M955" s="83"/>
      <c r="N955" s="83"/>
      <c r="O955" s="83"/>
      <c r="P955" s="83"/>
      <c r="Q955" s="83"/>
      <c r="R955" s="83"/>
      <c r="S955" s="8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>
      <c r="A956" s="82"/>
      <c r="B956" s="82"/>
      <c r="C956" s="82"/>
      <c r="D956" s="82"/>
      <c r="E956" s="82"/>
      <c r="F956" s="82"/>
      <c r="G956" s="82"/>
      <c r="H956" s="83"/>
      <c r="I956" s="84"/>
      <c r="J956" s="84"/>
      <c r="K956" s="83"/>
      <c r="L956" s="85"/>
      <c r="M956" s="83"/>
      <c r="N956" s="83"/>
      <c r="O956" s="83"/>
      <c r="P956" s="83"/>
      <c r="Q956" s="83"/>
      <c r="R956" s="83"/>
      <c r="S956" s="8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>
      <c r="A957" s="82"/>
      <c r="B957" s="82"/>
      <c r="C957" s="82"/>
      <c r="D957" s="82"/>
      <c r="E957" s="82"/>
      <c r="F957" s="82"/>
      <c r="G957" s="82"/>
      <c r="H957" s="83"/>
      <c r="I957" s="84"/>
      <c r="J957" s="84"/>
      <c r="K957" s="83"/>
      <c r="L957" s="85"/>
      <c r="M957" s="83"/>
      <c r="N957" s="83"/>
      <c r="O957" s="83"/>
      <c r="P957" s="83"/>
      <c r="Q957" s="83"/>
      <c r="R957" s="83"/>
      <c r="S957" s="8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>
      <c r="A958" s="82"/>
      <c r="B958" s="82"/>
      <c r="C958" s="82"/>
      <c r="D958" s="82"/>
      <c r="E958" s="82"/>
      <c r="F958" s="82"/>
      <c r="G958" s="82"/>
      <c r="H958" s="83"/>
      <c r="I958" s="84"/>
      <c r="J958" s="84"/>
      <c r="K958" s="83"/>
      <c r="L958" s="85"/>
      <c r="M958" s="83"/>
      <c r="N958" s="83"/>
      <c r="O958" s="83"/>
      <c r="P958" s="83"/>
      <c r="Q958" s="83"/>
      <c r="R958" s="83"/>
      <c r="S958" s="8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>
      <c r="A959" s="82"/>
      <c r="B959" s="82"/>
      <c r="C959" s="82"/>
      <c r="D959" s="82"/>
      <c r="E959" s="82"/>
      <c r="F959" s="82"/>
      <c r="G959" s="82"/>
      <c r="H959" s="83"/>
      <c r="I959" s="84"/>
      <c r="J959" s="84"/>
      <c r="K959" s="83"/>
      <c r="L959" s="85"/>
      <c r="M959" s="83"/>
      <c r="N959" s="83"/>
      <c r="O959" s="83"/>
      <c r="P959" s="83"/>
      <c r="Q959" s="83"/>
      <c r="R959" s="83"/>
      <c r="S959" s="8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>
      <c r="A960" s="82"/>
      <c r="B960" s="82"/>
      <c r="C960" s="82"/>
      <c r="D960" s="82"/>
      <c r="E960" s="82"/>
      <c r="F960" s="82"/>
      <c r="G960" s="82"/>
      <c r="H960" s="83"/>
      <c r="I960" s="84"/>
      <c r="J960" s="84"/>
      <c r="K960" s="83"/>
      <c r="L960" s="85"/>
      <c r="M960" s="83"/>
      <c r="N960" s="83"/>
      <c r="O960" s="83"/>
      <c r="P960" s="83"/>
      <c r="Q960" s="83"/>
      <c r="R960" s="83"/>
      <c r="S960" s="8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>
      <c r="A961" s="82"/>
      <c r="B961" s="82"/>
      <c r="C961" s="82"/>
      <c r="D961" s="82"/>
      <c r="E961" s="82"/>
      <c r="F961" s="82"/>
      <c r="G961" s="82"/>
      <c r="H961" s="83"/>
      <c r="I961" s="84"/>
      <c r="J961" s="84"/>
      <c r="K961" s="83"/>
      <c r="L961" s="85"/>
      <c r="M961" s="83"/>
      <c r="N961" s="83"/>
      <c r="O961" s="83"/>
      <c r="P961" s="83"/>
      <c r="Q961" s="83"/>
      <c r="R961" s="83"/>
      <c r="S961" s="8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>
      <c r="A962" s="82"/>
      <c r="B962" s="82"/>
      <c r="C962" s="82"/>
      <c r="D962" s="82"/>
      <c r="E962" s="82"/>
      <c r="F962" s="82"/>
      <c r="G962" s="82"/>
      <c r="H962" s="83"/>
      <c r="I962" s="84"/>
      <c r="J962" s="84"/>
      <c r="K962" s="83"/>
      <c r="L962" s="85"/>
      <c r="M962" s="83"/>
      <c r="N962" s="83"/>
      <c r="O962" s="83"/>
      <c r="P962" s="83"/>
      <c r="Q962" s="83"/>
      <c r="R962" s="83"/>
      <c r="S962" s="8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>
      <c r="A963" s="82"/>
      <c r="B963" s="82"/>
      <c r="C963" s="82"/>
      <c r="D963" s="82"/>
      <c r="E963" s="82"/>
      <c r="F963" s="82"/>
      <c r="G963" s="82"/>
      <c r="H963" s="83"/>
      <c r="I963" s="84"/>
      <c r="J963" s="84"/>
      <c r="K963" s="83"/>
      <c r="L963" s="85"/>
      <c r="M963" s="83"/>
      <c r="N963" s="83"/>
      <c r="O963" s="83"/>
      <c r="P963" s="83"/>
      <c r="Q963" s="83"/>
      <c r="R963" s="83"/>
      <c r="S963" s="8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>
      <c r="A964" s="82"/>
      <c r="B964" s="82"/>
      <c r="C964" s="82"/>
      <c r="D964" s="82"/>
      <c r="E964" s="82"/>
      <c r="F964" s="82"/>
      <c r="G964" s="82"/>
      <c r="H964" s="83"/>
      <c r="I964" s="84"/>
      <c r="J964" s="84"/>
      <c r="K964" s="83"/>
      <c r="L964" s="85"/>
      <c r="M964" s="83"/>
      <c r="N964" s="83"/>
      <c r="O964" s="83"/>
      <c r="P964" s="83"/>
      <c r="Q964" s="83"/>
      <c r="R964" s="83"/>
      <c r="S964" s="8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>
      <c r="A965" s="82"/>
      <c r="B965" s="82"/>
      <c r="C965" s="82"/>
      <c r="D965" s="82"/>
      <c r="E965" s="82"/>
      <c r="F965" s="82"/>
      <c r="G965" s="82"/>
      <c r="H965" s="83"/>
      <c r="I965" s="84"/>
      <c r="J965" s="84"/>
      <c r="K965" s="83"/>
      <c r="L965" s="85"/>
      <c r="M965" s="83"/>
      <c r="N965" s="83"/>
      <c r="O965" s="83"/>
      <c r="P965" s="83"/>
      <c r="Q965" s="83"/>
      <c r="R965" s="83"/>
      <c r="S965" s="8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>
      <c r="A966" s="82"/>
      <c r="B966" s="82"/>
      <c r="C966" s="82"/>
      <c r="D966" s="82"/>
      <c r="E966" s="82"/>
      <c r="F966" s="82"/>
      <c r="G966" s="82"/>
      <c r="H966" s="83"/>
      <c r="I966" s="84"/>
      <c r="J966" s="84"/>
      <c r="K966" s="83"/>
      <c r="L966" s="85"/>
      <c r="M966" s="83"/>
      <c r="N966" s="83"/>
      <c r="O966" s="83"/>
      <c r="P966" s="83"/>
      <c r="Q966" s="83"/>
      <c r="R966" s="83"/>
      <c r="S966" s="8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>
      <c r="A967" s="82"/>
      <c r="B967" s="82"/>
      <c r="C967" s="82"/>
      <c r="D967" s="82"/>
      <c r="E967" s="82"/>
      <c r="F967" s="82"/>
      <c r="G967" s="82"/>
      <c r="H967" s="83"/>
      <c r="I967" s="84"/>
      <c r="J967" s="84"/>
      <c r="K967" s="83"/>
      <c r="L967" s="85"/>
      <c r="M967" s="83"/>
      <c r="N967" s="83"/>
      <c r="O967" s="83"/>
      <c r="P967" s="83"/>
      <c r="Q967" s="83"/>
      <c r="R967" s="83"/>
      <c r="S967" s="8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>
      <c r="A968" s="82"/>
      <c r="B968" s="82"/>
      <c r="C968" s="82"/>
      <c r="D968" s="82"/>
      <c r="E968" s="82"/>
      <c r="F968" s="82"/>
      <c r="G968" s="82"/>
      <c r="H968" s="83"/>
      <c r="I968" s="84"/>
      <c r="J968" s="84"/>
      <c r="K968" s="83"/>
      <c r="L968" s="85"/>
      <c r="M968" s="83"/>
      <c r="N968" s="83"/>
      <c r="O968" s="83"/>
      <c r="P968" s="83"/>
      <c r="Q968" s="83"/>
      <c r="R968" s="83"/>
      <c r="S968" s="8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>
      <c r="A969" s="82"/>
      <c r="B969" s="82"/>
      <c r="C969" s="82"/>
      <c r="D969" s="82"/>
      <c r="E969" s="82"/>
      <c r="F969" s="82"/>
      <c r="G969" s="82"/>
      <c r="H969" s="83"/>
      <c r="I969" s="84"/>
      <c r="J969" s="84"/>
      <c r="K969" s="83"/>
      <c r="L969" s="85"/>
      <c r="M969" s="83"/>
      <c r="N969" s="83"/>
      <c r="O969" s="83"/>
      <c r="P969" s="83"/>
      <c r="Q969" s="83"/>
      <c r="R969" s="83"/>
      <c r="S969" s="8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>
      <c r="A970" s="82"/>
      <c r="B970" s="82"/>
      <c r="C970" s="82"/>
      <c r="D970" s="82"/>
      <c r="E970" s="82"/>
      <c r="F970" s="82"/>
      <c r="G970" s="82"/>
      <c r="H970" s="83"/>
      <c r="I970" s="84"/>
      <c r="J970" s="84"/>
      <c r="K970" s="83"/>
      <c r="L970" s="85"/>
      <c r="M970" s="83"/>
      <c r="N970" s="83"/>
      <c r="O970" s="83"/>
      <c r="P970" s="83"/>
      <c r="Q970" s="83"/>
      <c r="R970" s="83"/>
      <c r="S970" s="8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</sheetData>
  <mergeCells count="3">
    <mergeCell ref="A1:G3"/>
    <mergeCell ref="H1:P3"/>
    <mergeCell ref="Q1:S3"/>
  </mergeCells>
  <dataValidations>
    <dataValidation type="list" allowBlank="1" showErrorMessage="1" sqref="M5:M7 M9:M13 M15:M17 M21:M25 M27:M29 M49 M96">
      <formula1>"PROPOSTA ENVIADA,CONTRATO FECHADO,RECUSADO,FECHADO CRISTIANO"</formula1>
    </dataValidation>
    <dataValidation type="list" allowBlank="1" showErrorMessage="1" sqref="R5:R100">
      <formula1>"LUCAS,VITÓRIA,VINICIOS,VINICIUS,ALEXANDRE,MIKAELLE,CRISTIANO,GUSTAVO"</formula1>
    </dataValidation>
    <dataValidation type="list" allowBlank="1" showErrorMessage="1" sqref="Q5:Q7 Q9:Q13 Q15:Q17 Q21:Q25 Q27:Q29 Q49 Q96">
      <formula1>"E-MAIL,KOMMO,TELEFONE FIXO,WHATSAPP,INDICAÇÃO,CONARH"</formula1>
    </dataValidation>
    <dataValidation type="list" allowBlank="1" showErrorMessage="1" sqref="N5:N100">
      <formula1>"NOVO,ANTIGO"</formula1>
    </dataValidation>
    <dataValidation type="list" allowBlank="1" showErrorMessage="1" sqref="Q8 Q14 Q18:Q20 Q26 Q30:Q48 Q50:Q95 Q97:Q100">
      <formula1>"E-MAIL,KOMMO,TELEFONE FIXO,WHATSAPP,INDICAÇÃO,CONARH,PLANILHA LEAD"</formula1>
    </dataValidation>
    <dataValidation type="list" allowBlank="1" showErrorMessage="1" sqref="M8 M14 M18:M20 M26 M30:M48 M50:M95 M97:M100">
      <formula1>"PROPOSTA ENVIADA,CONTRATO FECHADO,RECUSADO"</formula1>
    </dataValidation>
    <dataValidation type="list" allowBlank="1" showErrorMessage="1" sqref="O5:O100">
      <formula1>"MINUTA ENVIADA,MINUTA ASSINADA"</formula1>
    </dataValidation>
  </dataValidations>
  <hyperlinks>
    <hyperlink r:id="rId1" ref="F18"/>
    <hyperlink r:id="rId2" ref="F19"/>
    <hyperlink r:id="rId3" ref="F20"/>
    <hyperlink r:id="rId4" ref="F64"/>
    <hyperlink r:id="rId5" ref="F8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1.0"/>
    <col customWidth="1" min="3" max="3" width="18.75"/>
    <col customWidth="1" min="4" max="4" width="36.88"/>
    <col customWidth="1" min="5" max="5" width="14.13"/>
    <col customWidth="1" min="6" max="6" width="39.13"/>
    <col customWidth="1" min="7" max="7" width="16.88"/>
    <col customWidth="1" min="8" max="8" width="37.0"/>
    <col customWidth="1" min="9" max="9" width="9.38"/>
    <col customWidth="1" min="10" max="10" width="15.25"/>
    <col customWidth="1" min="11" max="11" width="21.38"/>
    <col customWidth="1" min="12" max="13" width="15.13"/>
    <col customWidth="1" min="14" max="14" width="23.75"/>
    <col customWidth="1" min="15" max="15" width="20.38"/>
    <col customWidth="1" min="16" max="16" width="22.38"/>
    <col customWidth="1" min="17" max="17" width="11.25"/>
    <col customWidth="1" min="18" max="18" width="19.0"/>
    <col customWidth="1" min="19" max="19" width="18.0"/>
    <col customWidth="1" min="20" max="20" width="248.88"/>
    <col customWidth="1" min="21" max="21" width="18.0"/>
    <col customWidth="1" min="22" max="22" width="11.5"/>
  </cols>
  <sheetData>
    <row r="1">
      <c r="A1" s="1" t="s">
        <v>0</v>
      </c>
      <c r="H1" s="2" t="s">
        <v>1</v>
      </c>
      <c r="R1" s="2" t="s">
        <v>2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24.75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7" t="s">
        <v>10</v>
      </c>
      <c r="I4" s="8" t="s">
        <v>11</v>
      </c>
      <c r="J4" s="8" t="s">
        <v>12</v>
      </c>
      <c r="K4" s="9" t="s">
        <v>13</v>
      </c>
      <c r="L4" s="8" t="s">
        <v>533</v>
      </c>
      <c r="M4" s="9" t="s">
        <v>14</v>
      </c>
      <c r="N4" s="8" t="s">
        <v>15</v>
      </c>
      <c r="O4" s="8" t="s">
        <v>10</v>
      </c>
      <c r="P4" s="8" t="s">
        <v>16</v>
      </c>
      <c r="Q4" s="8" t="s">
        <v>17</v>
      </c>
      <c r="R4" s="8" t="s">
        <v>18</v>
      </c>
      <c r="S4" s="10" t="s">
        <v>19</v>
      </c>
      <c r="T4" s="10" t="s">
        <v>20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3"/>
      <c r="AJ4" s="3"/>
    </row>
    <row r="5">
      <c r="A5" s="12">
        <v>1.0</v>
      </c>
      <c r="B5" s="86" t="s">
        <v>51</v>
      </c>
      <c r="C5" s="86" t="s">
        <v>52</v>
      </c>
      <c r="D5" s="86" t="s">
        <v>53</v>
      </c>
      <c r="E5" s="86" t="s">
        <v>54</v>
      </c>
      <c r="F5" s="86" t="s">
        <v>55</v>
      </c>
      <c r="G5" s="86">
        <v>130.0</v>
      </c>
      <c r="H5" s="86" t="s">
        <v>56</v>
      </c>
      <c r="I5" s="87">
        <v>45999.0</v>
      </c>
      <c r="J5" s="88"/>
      <c r="K5" s="89" t="s">
        <v>57</v>
      </c>
      <c r="L5" s="86" t="str">
        <f t="shared" ref="L5:L131" si="1">M5/K5</f>
        <v>#VALUE!</v>
      </c>
      <c r="M5" s="89">
        <v>3200.0</v>
      </c>
      <c r="N5" s="86" t="s">
        <v>28</v>
      </c>
      <c r="O5" s="86" t="s">
        <v>29</v>
      </c>
      <c r="P5" s="90"/>
      <c r="Q5" s="91"/>
      <c r="R5" s="86" t="s">
        <v>30</v>
      </c>
      <c r="S5" s="86" t="s">
        <v>49</v>
      </c>
      <c r="T5" s="86" t="s">
        <v>59</v>
      </c>
      <c r="U5" s="92"/>
      <c r="V5" s="92"/>
      <c r="W5" s="92"/>
      <c r="X5" s="92"/>
      <c r="Y5" s="93"/>
      <c r="Z5" s="94"/>
      <c r="AA5" s="93"/>
      <c r="AB5" s="93"/>
      <c r="AC5" s="93"/>
      <c r="AD5" s="93"/>
      <c r="AE5" s="93"/>
      <c r="AF5" s="93"/>
      <c r="AG5" s="93"/>
      <c r="AH5" s="93"/>
      <c r="AI5" s="93"/>
      <c r="AJ5" s="93"/>
    </row>
    <row r="6">
      <c r="A6" s="12">
        <v>2.0</v>
      </c>
      <c r="B6" s="86" t="s">
        <v>60</v>
      </c>
      <c r="C6" s="86" t="s">
        <v>61</v>
      </c>
      <c r="D6" s="86" t="s">
        <v>62</v>
      </c>
      <c r="E6" s="86" t="s">
        <v>63</v>
      </c>
      <c r="F6" s="86" t="s">
        <v>64</v>
      </c>
      <c r="G6" s="86">
        <v>38.0</v>
      </c>
      <c r="H6" s="86" t="s">
        <v>65</v>
      </c>
      <c r="I6" s="87">
        <v>46073.0</v>
      </c>
      <c r="J6" s="88"/>
      <c r="K6" s="89">
        <v>187.26</v>
      </c>
      <c r="L6" s="86">
        <f t="shared" si="1"/>
        <v>12</v>
      </c>
      <c r="M6" s="89">
        <f>K6*12</f>
        <v>2247.12</v>
      </c>
      <c r="N6" s="86" t="s">
        <v>58</v>
      </c>
      <c r="O6" s="86" t="s">
        <v>29</v>
      </c>
      <c r="P6" s="86" t="s">
        <v>40</v>
      </c>
      <c r="Q6" s="91"/>
      <c r="R6" s="86" t="s">
        <v>30</v>
      </c>
      <c r="S6" s="86" t="s">
        <v>49</v>
      </c>
      <c r="T6" s="95" t="s">
        <v>534</v>
      </c>
      <c r="U6" s="92"/>
      <c r="V6" s="92"/>
      <c r="W6" s="92"/>
      <c r="X6" s="92"/>
      <c r="Y6" s="92"/>
      <c r="Z6" s="96"/>
      <c r="AA6" s="92"/>
      <c r="AB6" s="92"/>
      <c r="AC6" s="92"/>
      <c r="AD6" s="92"/>
      <c r="AE6" s="92"/>
      <c r="AF6" s="92"/>
      <c r="AG6" s="92"/>
      <c r="AH6" s="92"/>
      <c r="AI6" s="92"/>
      <c r="AJ6" s="92"/>
    </row>
    <row r="7">
      <c r="A7" s="12">
        <v>3.0</v>
      </c>
      <c r="B7" s="97" t="s">
        <v>93</v>
      </c>
      <c r="C7" s="97" t="s">
        <v>94</v>
      </c>
      <c r="D7" s="97" t="s">
        <v>95</v>
      </c>
      <c r="E7" s="98" t="s">
        <v>96</v>
      </c>
      <c r="F7" s="97" t="s">
        <v>97</v>
      </c>
      <c r="G7" s="99">
        <v>51.0</v>
      </c>
      <c r="H7" s="97" t="s">
        <v>39</v>
      </c>
      <c r="I7" s="100">
        <v>45987.0</v>
      </c>
      <c r="J7" s="101"/>
      <c r="K7" s="102">
        <v>926.0</v>
      </c>
      <c r="L7" s="86">
        <f t="shared" si="1"/>
        <v>24</v>
      </c>
      <c r="M7" s="102">
        <f>K7*24</f>
        <v>22224</v>
      </c>
      <c r="N7" s="103" t="s">
        <v>58</v>
      </c>
      <c r="O7" s="103" t="s">
        <v>29</v>
      </c>
      <c r="P7" s="103"/>
      <c r="Q7" s="104"/>
      <c r="R7" s="103" t="s">
        <v>98</v>
      </c>
      <c r="S7" s="103" t="s">
        <v>99</v>
      </c>
      <c r="T7" s="8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>
      <c r="A8" s="12">
        <v>4.0</v>
      </c>
      <c r="B8" s="97" t="s">
        <v>100</v>
      </c>
      <c r="C8" s="97" t="s">
        <v>101</v>
      </c>
      <c r="D8" s="97" t="s">
        <v>102</v>
      </c>
      <c r="E8" s="98" t="s">
        <v>103</v>
      </c>
      <c r="F8" s="97" t="s">
        <v>104</v>
      </c>
      <c r="G8" s="99">
        <v>278.0</v>
      </c>
      <c r="H8" s="105" t="s">
        <v>39</v>
      </c>
      <c r="I8" s="100">
        <v>46008.0</v>
      </c>
      <c r="J8" s="101"/>
      <c r="K8" s="102">
        <v>3113.6</v>
      </c>
      <c r="L8" s="86">
        <f t="shared" si="1"/>
        <v>24</v>
      </c>
      <c r="M8" s="102">
        <v>74726.4</v>
      </c>
      <c r="N8" s="103" t="s">
        <v>58</v>
      </c>
      <c r="O8" s="103" t="s">
        <v>29</v>
      </c>
      <c r="P8" s="103"/>
      <c r="Q8" s="81"/>
      <c r="R8" s="103" t="s">
        <v>73</v>
      </c>
      <c r="S8" s="103" t="s">
        <v>99</v>
      </c>
      <c r="T8" s="8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>
      <c r="A9" s="12">
        <v>5.0</v>
      </c>
      <c r="B9" s="106" t="s">
        <v>535</v>
      </c>
      <c r="C9" s="106" t="s">
        <v>536</v>
      </c>
      <c r="D9" s="86" t="s">
        <v>537</v>
      </c>
      <c r="E9" s="86" t="s">
        <v>538</v>
      </c>
      <c r="F9" s="107" t="s">
        <v>539</v>
      </c>
      <c r="G9" s="106">
        <v>6.0</v>
      </c>
      <c r="H9" s="86" t="s">
        <v>39</v>
      </c>
      <c r="I9" s="108">
        <v>46043.0</v>
      </c>
      <c r="J9" s="109"/>
      <c r="K9" s="89">
        <v>149.3</v>
      </c>
      <c r="L9" s="86">
        <f t="shared" si="1"/>
        <v>12</v>
      </c>
      <c r="M9" s="89">
        <f t="shared" ref="M9:M11" si="2">K9*12</f>
        <v>1791.6</v>
      </c>
      <c r="N9" s="106" t="s">
        <v>58</v>
      </c>
      <c r="O9" s="106" t="s">
        <v>29</v>
      </c>
      <c r="P9" s="106" t="s">
        <v>40</v>
      </c>
      <c r="Q9" s="91"/>
      <c r="R9" s="106" t="s">
        <v>30</v>
      </c>
      <c r="S9" s="106" t="s">
        <v>110</v>
      </c>
      <c r="T9" s="86" t="s">
        <v>540</v>
      </c>
      <c r="U9" s="62"/>
      <c r="V9" s="62"/>
      <c r="W9" s="62"/>
      <c r="X9" s="62"/>
      <c r="Y9" s="62"/>
      <c r="Z9" s="62"/>
      <c r="AA9" s="62"/>
      <c r="AB9" s="62"/>
      <c r="AC9" s="31"/>
      <c r="AD9" s="31"/>
      <c r="AE9" s="31"/>
      <c r="AF9" s="31"/>
      <c r="AG9" s="31"/>
      <c r="AH9" s="31"/>
      <c r="AI9" s="31"/>
      <c r="AJ9" s="31"/>
    </row>
    <row r="10">
      <c r="A10" s="12">
        <v>6.0</v>
      </c>
      <c r="B10" s="86" t="s">
        <v>541</v>
      </c>
      <c r="C10" s="86" t="s">
        <v>542</v>
      </c>
      <c r="D10" s="86" t="s">
        <v>537</v>
      </c>
      <c r="E10" s="86" t="s">
        <v>538</v>
      </c>
      <c r="F10" s="110" t="s">
        <v>539</v>
      </c>
      <c r="G10" s="86">
        <v>9.0</v>
      </c>
      <c r="H10" s="86" t="s">
        <v>39</v>
      </c>
      <c r="I10" s="108">
        <v>46043.0</v>
      </c>
      <c r="J10" s="88"/>
      <c r="K10" s="89">
        <v>166.5</v>
      </c>
      <c r="L10" s="86">
        <f t="shared" si="1"/>
        <v>12</v>
      </c>
      <c r="M10" s="89">
        <f t="shared" si="2"/>
        <v>1998</v>
      </c>
      <c r="N10" s="86" t="s">
        <v>58</v>
      </c>
      <c r="O10" s="86" t="s">
        <v>29</v>
      </c>
      <c r="P10" s="86" t="s">
        <v>40</v>
      </c>
      <c r="Q10" s="91"/>
      <c r="R10" s="86" t="s">
        <v>30</v>
      </c>
      <c r="S10" s="86" t="s">
        <v>110</v>
      </c>
      <c r="T10" s="86" t="s">
        <v>540</v>
      </c>
      <c r="U10" s="62"/>
      <c r="V10" s="62"/>
      <c r="W10" s="62"/>
      <c r="X10" s="62"/>
      <c r="Y10" s="62"/>
      <c r="Z10" s="62"/>
      <c r="AA10" s="62"/>
      <c r="AB10" s="62"/>
      <c r="AC10" s="31"/>
      <c r="AD10" s="31"/>
      <c r="AE10" s="31"/>
      <c r="AF10" s="31"/>
      <c r="AG10" s="31"/>
      <c r="AH10" s="31"/>
      <c r="AI10" s="31"/>
      <c r="AJ10" s="31"/>
    </row>
    <row r="11">
      <c r="A11" s="12">
        <v>7.0</v>
      </c>
      <c r="B11" s="97" t="s">
        <v>199</v>
      </c>
      <c r="C11" s="103" t="s">
        <v>200</v>
      </c>
      <c r="D11" s="97" t="s">
        <v>201</v>
      </c>
      <c r="E11" s="97" t="s">
        <v>202</v>
      </c>
      <c r="F11" s="103" t="s">
        <v>203</v>
      </c>
      <c r="G11" s="97">
        <v>45.0</v>
      </c>
      <c r="H11" s="97" t="s">
        <v>65</v>
      </c>
      <c r="I11" s="100">
        <v>45665.0</v>
      </c>
      <c r="J11" s="100">
        <v>46052.0</v>
      </c>
      <c r="K11" s="102">
        <v>906.3</v>
      </c>
      <c r="L11" s="86">
        <f t="shared" si="1"/>
        <v>12</v>
      </c>
      <c r="M11" s="111">
        <f t="shared" si="2"/>
        <v>10875.6</v>
      </c>
      <c r="N11" s="112" t="s">
        <v>71</v>
      </c>
      <c r="O11" s="112" t="s">
        <v>29</v>
      </c>
      <c r="P11" s="112" t="s">
        <v>72</v>
      </c>
      <c r="Q11" s="81"/>
      <c r="R11" s="112" t="s">
        <v>98</v>
      </c>
      <c r="S11" s="112" t="s">
        <v>99</v>
      </c>
      <c r="T11" s="8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>
      <c r="A12" s="12">
        <v>8.0</v>
      </c>
      <c r="B12" s="97" t="s">
        <v>199</v>
      </c>
      <c r="C12" s="97" t="s">
        <v>200</v>
      </c>
      <c r="D12" s="97" t="s">
        <v>201</v>
      </c>
      <c r="E12" s="97" t="s">
        <v>202</v>
      </c>
      <c r="F12" s="97" t="s">
        <v>203</v>
      </c>
      <c r="G12" s="97" t="s">
        <v>26</v>
      </c>
      <c r="H12" s="97" t="s">
        <v>204</v>
      </c>
      <c r="I12" s="100">
        <v>45665.0</v>
      </c>
      <c r="J12" s="101"/>
      <c r="K12" s="102" t="s">
        <v>57</v>
      </c>
      <c r="L12" s="86" t="str">
        <f t="shared" si="1"/>
        <v>#VALUE!</v>
      </c>
      <c r="M12" s="102">
        <v>7800.0</v>
      </c>
      <c r="N12" s="112" t="s">
        <v>28</v>
      </c>
      <c r="O12" s="112" t="s">
        <v>29</v>
      </c>
      <c r="P12" s="112" t="s">
        <v>40</v>
      </c>
      <c r="Q12" s="81"/>
      <c r="R12" s="112" t="s">
        <v>98</v>
      </c>
      <c r="S12" s="112" t="s">
        <v>99</v>
      </c>
      <c r="T12" s="8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>
      <c r="A13" s="12">
        <v>9.0</v>
      </c>
      <c r="B13" s="97" t="s">
        <v>268</v>
      </c>
      <c r="C13" s="103" t="s">
        <v>543</v>
      </c>
      <c r="D13" s="97" t="s">
        <v>269</v>
      </c>
      <c r="E13" s="97" t="s">
        <v>270</v>
      </c>
      <c r="F13" s="113" t="s">
        <v>544</v>
      </c>
      <c r="G13" s="97">
        <v>6.0</v>
      </c>
      <c r="H13" s="97" t="s">
        <v>48</v>
      </c>
      <c r="I13" s="100">
        <v>46034.0</v>
      </c>
      <c r="J13" s="114">
        <v>46057.0</v>
      </c>
      <c r="K13" s="102">
        <v>154.53</v>
      </c>
      <c r="L13" s="86">
        <f t="shared" si="1"/>
        <v>12</v>
      </c>
      <c r="M13" s="89">
        <f t="shared" ref="M13:M14" si="3">K13*12</f>
        <v>1854.36</v>
      </c>
      <c r="N13" s="112" t="s">
        <v>71</v>
      </c>
      <c r="O13" s="112" t="s">
        <v>29</v>
      </c>
      <c r="P13" s="112" t="s">
        <v>72</v>
      </c>
      <c r="Q13" s="97">
        <v>2170.0</v>
      </c>
      <c r="R13" s="112" t="s">
        <v>41</v>
      </c>
      <c r="S13" s="112" t="s">
        <v>129</v>
      </c>
      <c r="T13" s="115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>
      <c r="A14" s="12">
        <v>10.0</v>
      </c>
      <c r="B14" s="86" t="s">
        <v>545</v>
      </c>
      <c r="C14" s="86" t="s">
        <v>546</v>
      </c>
      <c r="D14" s="86" t="s">
        <v>537</v>
      </c>
      <c r="E14" s="86" t="s">
        <v>538</v>
      </c>
      <c r="F14" s="110" t="s">
        <v>539</v>
      </c>
      <c r="G14" s="86">
        <v>9.0</v>
      </c>
      <c r="H14" s="86" t="s">
        <v>39</v>
      </c>
      <c r="I14" s="108">
        <v>46043.0</v>
      </c>
      <c r="J14" s="88"/>
      <c r="K14" s="89">
        <v>166.5</v>
      </c>
      <c r="L14" s="86">
        <f t="shared" si="1"/>
        <v>12</v>
      </c>
      <c r="M14" s="89">
        <f t="shared" si="3"/>
        <v>1998</v>
      </c>
      <c r="N14" s="86" t="s">
        <v>58</v>
      </c>
      <c r="O14" s="106" t="s">
        <v>29</v>
      </c>
      <c r="P14" s="86" t="s">
        <v>40</v>
      </c>
      <c r="Q14" s="90"/>
      <c r="R14" s="86" t="s">
        <v>30</v>
      </c>
      <c r="S14" s="86" t="s">
        <v>110</v>
      </c>
      <c r="T14" s="86" t="s">
        <v>540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>
      <c r="A15" s="12">
        <v>11.0</v>
      </c>
      <c r="B15" s="86" t="s">
        <v>373</v>
      </c>
      <c r="C15" s="86" t="s">
        <v>374</v>
      </c>
      <c r="D15" s="86" t="s">
        <v>375</v>
      </c>
      <c r="E15" s="86" t="s">
        <v>376</v>
      </c>
      <c r="F15" s="86" t="s">
        <v>377</v>
      </c>
      <c r="G15" s="86">
        <v>2.0</v>
      </c>
      <c r="H15" s="86" t="s">
        <v>65</v>
      </c>
      <c r="I15" s="87">
        <v>46044.0</v>
      </c>
      <c r="J15" s="88"/>
      <c r="K15" s="89">
        <v>312.29</v>
      </c>
      <c r="L15" s="86">
        <f t="shared" si="1"/>
        <v>12</v>
      </c>
      <c r="M15" s="89">
        <v>3747.48</v>
      </c>
      <c r="N15" s="86" t="s">
        <v>28</v>
      </c>
      <c r="O15" s="86" t="s">
        <v>29</v>
      </c>
      <c r="P15" s="86" t="s">
        <v>40</v>
      </c>
      <c r="Q15" s="91"/>
      <c r="R15" s="86" t="s">
        <v>73</v>
      </c>
      <c r="S15" s="86" t="s">
        <v>31</v>
      </c>
      <c r="T15" s="89" t="s">
        <v>547</v>
      </c>
      <c r="U15" s="92"/>
      <c r="V15" s="92"/>
      <c r="W15" s="92"/>
      <c r="X15" s="92"/>
      <c r="Y15" s="93"/>
      <c r="Z15" s="94"/>
      <c r="AA15" s="93"/>
      <c r="AB15" s="93"/>
      <c r="AC15" s="93"/>
      <c r="AD15" s="93"/>
      <c r="AE15" s="93"/>
      <c r="AF15" s="93"/>
      <c r="AG15" s="93"/>
      <c r="AH15" s="93"/>
      <c r="AI15" s="93"/>
      <c r="AJ15" s="93"/>
    </row>
    <row r="16">
      <c r="A16" s="12">
        <v>12.0</v>
      </c>
      <c r="B16" s="86" t="s">
        <v>383</v>
      </c>
      <c r="C16" s="86" t="s">
        <v>384</v>
      </c>
      <c r="D16" s="86" t="s">
        <v>385</v>
      </c>
      <c r="E16" s="86" t="s">
        <v>386</v>
      </c>
      <c r="F16" s="86" t="s">
        <v>387</v>
      </c>
      <c r="G16" s="86">
        <v>7.0</v>
      </c>
      <c r="H16" s="86" t="s">
        <v>65</v>
      </c>
      <c r="I16" s="87">
        <v>46045.0</v>
      </c>
      <c r="J16" s="88"/>
      <c r="K16" s="89">
        <v>167.54</v>
      </c>
      <c r="L16" s="86">
        <f t="shared" si="1"/>
        <v>12</v>
      </c>
      <c r="M16" s="89">
        <v>2010.48</v>
      </c>
      <c r="N16" s="86" t="s">
        <v>28</v>
      </c>
      <c r="O16" s="86" t="s">
        <v>29</v>
      </c>
      <c r="P16" s="86" t="s">
        <v>40</v>
      </c>
      <c r="Q16" s="91"/>
      <c r="R16" s="86" t="s">
        <v>233</v>
      </c>
      <c r="S16" s="86" t="s">
        <v>31</v>
      </c>
      <c r="T16" s="86" t="s">
        <v>548</v>
      </c>
      <c r="U16" s="92"/>
      <c r="V16" s="92"/>
      <c r="W16" s="92"/>
      <c r="X16" s="92"/>
      <c r="Y16" s="93"/>
      <c r="Z16" s="94"/>
      <c r="AA16" s="93"/>
      <c r="AB16" s="93"/>
      <c r="AC16" s="93"/>
      <c r="AD16" s="93"/>
      <c r="AE16" s="93"/>
      <c r="AF16" s="93"/>
      <c r="AG16" s="93"/>
      <c r="AH16" s="93"/>
      <c r="AI16" s="93"/>
      <c r="AJ16" s="93"/>
    </row>
    <row r="17">
      <c r="A17" s="12">
        <v>13.0</v>
      </c>
      <c r="B17" s="86" t="s">
        <v>388</v>
      </c>
      <c r="C17" s="86" t="s">
        <v>389</v>
      </c>
      <c r="D17" s="86" t="s">
        <v>390</v>
      </c>
      <c r="E17" s="86" t="s">
        <v>391</v>
      </c>
      <c r="F17" s="86" t="s">
        <v>392</v>
      </c>
      <c r="G17" s="86">
        <v>150.0</v>
      </c>
      <c r="H17" s="86" t="s">
        <v>393</v>
      </c>
      <c r="I17" s="87">
        <v>46044.0</v>
      </c>
      <c r="J17" s="88"/>
      <c r="K17" s="89" t="s">
        <v>57</v>
      </c>
      <c r="L17" s="86" t="str">
        <f t="shared" si="1"/>
        <v>#VALUE!</v>
      </c>
      <c r="M17" s="89">
        <v>948.2</v>
      </c>
      <c r="N17" s="86" t="s">
        <v>28</v>
      </c>
      <c r="O17" s="86" t="s">
        <v>29</v>
      </c>
      <c r="P17" s="86" t="s">
        <v>40</v>
      </c>
      <c r="Q17" s="91"/>
      <c r="R17" s="86" t="s">
        <v>233</v>
      </c>
      <c r="S17" s="86" t="s">
        <v>31</v>
      </c>
      <c r="T17" s="86" t="s">
        <v>547</v>
      </c>
      <c r="U17" s="92"/>
      <c r="V17" s="92"/>
      <c r="W17" s="92"/>
      <c r="X17" s="92"/>
      <c r="Y17" s="93"/>
      <c r="Z17" s="94"/>
      <c r="AA17" s="93"/>
      <c r="AB17" s="93"/>
      <c r="AC17" s="93"/>
      <c r="AD17" s="93"/>
      <c r="AE17" s="93"/>
      <c r="AF17" s="93"/>
      <c r="AG17" s="93"/>
      <c r="AH17" s="93"/>
      <c r="AI17" s="93"/>
      <c r="AJ17" s="93"/>
    </row>
    <row r="18">
      <c r="A18" s="12">
        <v>14.0</v>
      </c>
      <c r="B18" s="86" t="s">
        <v>401</v>
      </c>
      <c r="C18" s="86" t="s">
        <v>402</v>
      </c>
      <c r="D18" s="86" t="s">
        <v>403</v>
      </c>
      <c r="E18" s="86" t="s">
        <v>404</v>
      </c>
      <c r="F18" s="86" t="s">
        <v>405</v>
      </c>
      <c r="G18" s="86">
        <v>11.0</v>
      </c>
      <c r="H18" s="86" t="s">
        <v>65</v>
      </c>
      <c r="I18" s="87">
        <v>46035.0</v>
      </c>
      <c r="J18" s="88"/>
      <c r="K18" s="89">
        <v>256.99</v>
      </c>
      <c r="L18" s="86">
        <f t="shared" si="1"/>
        <v>12</v>
      </c>
      <c r="M18" s="89">
        <v>3083.88</v>
      </c>
      <c r="N18" s="86" t="s">
        <v>28</v>
      </c>
      <c r="O18" s="86" t="s">
        <v>29</v>
      </c>
      <c r="P18" s="86" t="s">
        <v>40</v>
      </c>
      <c r="Q18" s="91"/>
      <c r="R18" s="86" t="s">
        <v>73</v>
      </c>
      <c r="S18" s="86" t="s">
        <v>31</v>
      </c>
      <c r="T18" s="86" t="s">
        <v>548</v>
      </c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</row>
    <row r="19">
      <c r="A19" s="12">
        <v>15.0</v>
      </c>
      <c r="B19" s="86" t="s">
        <v>406</v>
      </c>
      <c r="C19" s="86" t="s">
        <v>407</v>
      </c>
      <c r="D19" s="86" t="s">
        <v>408</v>
      </c>
      <c r="E19" s="86" t="s">
        <v>409</v>
      </c>
      <c r="F19" s="86" t="s">
        <v>410</v>
      </c>
      <c r="G19" s="86">
        <v>3.0</v>
      </c>
      <c r="H19" s="86" t="s">
        <v>411</v>
      </c>
      <c r="I19" s="87">
        <v>46034.0</v>
      </c>
      <c r="J19" s="88"/>
      <c r="K19" s="89">
        <v>115.85</v>
      </c>
      <c r="L19" s="86">
        <f t="shared" si="1"/>
        <v>24</v>
      </c>
      <c r="M19" s="89">
        <v>2780.4</v>
      </c>
      <c r="N19" s="86" t="s">
        <v>28</v>
      </c>
      <c r="O19" s="86" t="s">
        <v>29</v>
      </c>
      <c r="P19" s="86" t="s">
        <v>40</v>
      </c>
      <c r="Q19" s="91"/>
      <c r="R19" s="86" t="s">
        <v>41</v>
      </c>
      <c r="S19" s="86" t="s">
        <v>31</v>
      </c>
      <c r="T19" s="86" t="s">
        <v>547</v>
      </c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</row>
    <row r="20">
      <c r="A20" s="12">
        <v>16.0</v>
      </c>
      <c r="B20" s="110" t="s">
        <v>549</v>
      </c>
      <c r="C20" s="86" t="s">
        <v>550</v>
      </c>
      <c r="D20" s="86" t="s">
        <v>551</v>
      </c>
      <c r="E20" s="86" t="s">
        <v>552</v>
      </c>
      <c r="F20" s="86" t="s">
        <v>553</v>
      </c>
      <c r="G20" s="86">
        <v>5.0</v>
      </c>
      <c r="H20" s="86" t="s">
        <v>39</v>
      </c>
      <c r="I20" s="87">
        <v>46056.0</v>
      </c>
      <c r="J20" s="87">
        <v>46056.0</v>
      </c>
      <c r="K20" s="89">
        <v>138.82</v>
      </c>
      <c r="L20" s="86">
        <f t="shared" si="1"/>
        <v>12</v>
      </c>
      <c r="M20" s="89">
        <f>K20*12</f>
        <v>1665.84</v>
      </c>
      <c r="N20" s="86" t="s">
        <v>71</v>
      </c>
      <c r="O20" s="86" t="s">
        <v>29</v>
      </c>
      <c r="P20" s="86" t="s">
        <v>72</v>
      </c>
      <c r="Q20" s="106">
        <v>2119.0</v>
      </c>
      <c r="R20" s="86" t="s">
        <v>233</v>
      </c>
      <c r="S20" s="86" t="s">
        <v>31</v>
      </c>
      <c r="T20" s="116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</row>
    <row r="21">
      <c r="A21" s="12">
        <v>17.0</v>
      </c>
      <c r="B21" s="117" t="s">
        <v>412</v>
      </c>
      <c r="C21" s="118" t="s">
        <v>413</v>
      </c>
      <c r="D21" s="97" t="s">
        <v>414</v>
      </c>
      <c r="E21" s="97" t="s">
        <v>415</v>
      </c>
      <c r="F21" s="97" t="s">
        <v>416</v>
      </c>
      <c r="G21" s="97">
        <v>3.0</v>
      </c>
      <c r="H21" s="97" t="s">
        <v>343</v>
      </c>
      <c r="I21" s="100">
        <v>46045.0</v>
      </c>
      <c r="J21" s="101"/>
      <c r="K21" s="102" t="s">
        <v>57</v>
      </c>
      <c r="L21" s="86" t="str">
        <f t="shared" si="1"/>
        <v>#VALUE!</v>
      </c>
      <c r="M21" s="102">
        <v>5350.0</v>
      </c>
      <c r="N21" s="112" t="s">
        <v>28</v>
      </c>
      <c r="O21" s="112" t="s">
        <v>29</v>
      </c>
      <c r="P21" s="112"/>
      <c r="Q21" s="81"/>
      <c r="R21" s="112" t="s">
        <v>73</v>
      </c>
      <c r="S21" s="112" t="s">
        <v>148</v>
      </c>
      <c r="T21" s="97" t="s">
        <v>417</v>
      </c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>
      <c r="A22" s="12">
        <v>18.0</v>
      </c>
      <c r="B22" s="117" t="s">
        <v>431</v>
      </c>
      <c r="C22" s="119" t="s">
        <v>432</v>
      </c>
      <c r="D22" s="97" t="s">
        <v>433</v>
      </c>
      <c r="E22" s="103" t="s">
        <v>434</v>
      </c>
      <c r="F22" s="97" t="s">
        <v>435</v>
      </c>
      <c r="G22" s="97">
        <v>109.0</v>
      </c>
      <c r="H22" s="97" t="s">
        <v>65</v>
      </c>
      <c r="I22" s="100">
        <v>46049.0</v>
      </c>
      <c r="J22" s="101"/>
      <c r="K22" s="102">
        <v>1730.88</v>
      </c>
      <c r="L22" s="86">
        <f t="shared" si="1"/>
        <v>12</v>
      </c>
      <c r="M22" s="111">
        <f t="shared" ref="M22:M30" si="4">K22*12</f>
        <v>20770.56</v>
      </c>
      <c r="N22" s="112" t="s">
        <v>58</v>
      </c>
      <c r="O22" s="112" t="s">
        <v>29</v>
      </c>
      <c r="P22" s="112"/>
      <c r="Q22" s="81"/>
      <c r="R22" s="112" t="s">
        <v>73</v>
      </c>
      <c r="S22" s="112" t="s">
        <v>148</v>
      </c>
      <c r="T22" s="8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>
      <c r="A23" s="12">
        <v>19.0</v>
      </c>
      <c r="B23" s="86" t="s">
        <v>448</v>
      </c>
      <c r="C23" s="86" t="s">
        <v>449</v>
      </c>
      <c r="D23" s="86" t="s">
        <v>450</v>
      </c>
      <c r="E23" s="86" t="s">
        <v>451</v>
      </c>
      <c r="F23" s="86" t="s">
        <v>452</v>
      </c>
      <c r="G23" s="120">
        <v>13.0</v>
      </c>
      <c r="H23" s="86" t="s">
        <v>453</v>
      </c>
      <c r="I23" s="108">
        <v>46049.0</v>
      </c>
      <c r="J23" s="121">
        <v>46079.0</v>
      </c>
      <c r="K23" s="89">
        <v>395.92</v>
      </c>
      <c r="L23" s="86">
        <f t="shared" si="1"/>
        <v>12</v>
      </c>
      <c r="M23" s="89">
        <f t="shared" si="4"/>
        <v>4751.04</v>
      </c>
      <c r="N23" s="86" t="s">
        <v>71</v>
      </c>
      <c r="O23" s="86" t="s">
        <v>91</v>
      </c>
      <c r="P23" s="86" t="s">
        <v>72</v>
      </c>
      <c r="Q23" s="86">
        <v>2308.0</v>
      </c>
      <c r="R23" s="86" t="s">
        <v>233</v>
      </c>
      <c r="S23" s="86" t="s">
        <v>49</v>
      </c>
      <c r="T23" s="122" t="s">
        <v>554</v>
      </c>
      <c r="U23" s="92"/>
      <c r="V23" s="92"/>
      <c r="W23" s="92"/>
      <c r="X23" s="92"/>
      <c r="Y23" s="93"/>
      <c r="Z23" s="94"/>
      <c r="AA23" s="93"/>
      <c r="AB23" s="93"/>
      <c r="AC23" s="93"/>
      <c r="AD23" s="93"/>
      <c r="AE23" s="93"/>
      <c r="AF23" s="93"/>
      <c r="AG23" s="93"/>
      <c r="AH23" s="93"/>
      <c r="AI23" s="93"/>
      <c r="AJ23" s="93"/>
    </row>
    <row r="24">
      <c r="A24" s="12">
        <v>20.0</v>
      </c>
      <c r="B24" s="86" t="s">
        <v>555</v>
      </c>
      <c r="C24" s="86" t="s">
        <v>556</v>
      </c>
      <c r="D24" s="86" t="s">
        <v>557</v>
      </c>
      <c r="E24" s="86" t="s">
        <v>558</v>
      </c>
      <c r="F24" s="86" t="s">
        <v>559</v>
      </c>
      <c r="G24" s="86">
        <v>123.0</v>
      </c>
      <c r="H24" s="86" t="s">
        <v>39</v>
      </c>
      <c r="I24" s="108">
        <v>46049.0</v>
      </c>
      <c r="J24" s="88"/>
      <c r="K24" s="89">
        <v>1115.9</v>
      </c>
      <c r="L24" s="86">
        <f t="shared" si="1"/>
        <v>12</v>
      </c>
      <c r="M24" s="89">
        <f t="shared" si="4"/>
        <v>13390.8</v>
      </c>
      <c r="N24" s="86" t="s">
        <v>58</v>
      </c>
      <c r="O24" s="86" t="s">
        <v>29</v>
      </c>
      <c r="P24" s="86" t="s">
        <v>40</v>
      </c>
      <c r="Q24" s="91"/>
      <c r="R24" s="86" t="s">
        <v>30</v>
      </c>
      <c r="S24" s="86" t="s">
        <v>110</v>
      </c>
      <c r="T24" s="86" t="s">
        <v>560</v>
      </c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>
      <c r="A25" s="12">
        <v>21.0</v>
      </c>
      <c r="B25" s="86" t="s">
        <v>469</v>
      </c>
      <c r="C25" s="86" t="s">
        <v>470</v>
      </c>
      <c r="D25" s="86" t="s">
        <v>471</v>
      </c>
      <c r="E25" s="86" t="s">
        <v>561</v>
      </c>
      <c r="F25" s="86" t="s">
        <v>472</v>
      </c>
      <c r="G25" s="86">
        <v>3.0</v>
      </c>
      <c r="H25" s="86" t="s">
        <v>65</v>
      </c>
      <c r="I25" s="87">
        <v>46049.0</v>
      </c>
      <c r="J25" s="88"/>
      <c r="K25" s="89">
        <v>110.5</v>
      </c>
      <c r="L25" s="86">
        <f t="shared" si="1"/>
        <v>12</v>
      </c>
      <c r="M25" s="89">
        <f t="shared" si="4"/>
        <v>1326</v>
      </c>
      <c r="N25" s="86" t="s">
        <v>28</v>
      </c>
      <c r="O25" s="86" t="s">
        <v>29</v>
      </c>
      <c r="P25" s="86" t="s">
        <v>40</v>
      </c>
      <c r="Q25" s="91"/>
      <c r="R25" s="86" t="s">
        <v>30</v>
      </c>
      <c r="S25" s="86" t="s">
        <v>110</v>
      </c>
      <c r="T25" s="90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>
      <c r="A26" s="12">
        <v>22.0</v>
      </c>
      <c r="B26" s="86" t="s">
        <v>473</v>
      </c>
      <c r="C26" s="86" t="s">
        <v>474</v>
      </c>
      <c r="D26" s="86" t="s">
        <v>471</v>
      </c>
      <c r="E26" s="86" t="s">
        <v>561</v>
      </c>
      <c r="F26" s="86" t="s">
        <v>472</v>
      </c>
      <c r="G26" s="86">
        <v>30.0</v>
      </c>
      <c r="H26" s="86" t="s">
        <v>65</v>
      </c>
      <c r="I26" s="87">
        <v>46049.0</v>
      </c>
      <c r="J26" s="88"/>
      <c r="K26" s="89">
        <v>365.5</v>
      </c>
      <c r="L26" s="86">
        <f t="shared" si="1"/>
        <v>12</v>
      </c>
      <c r="M26" s="89">
        <f t="shared" si="4"/>
        <v>4386</v>
      </c>
      <c r="N26" s="86" t="s">
        <v>28</v>
      </c>
      <c r="O26" s="86" t="s">
        <v>29</v>
      </c>
      <c r="P26" s="86" t="s">
        <v>40</v>
      </c>
      <c r="Q26" s="91"/>
      <c r="R26" s="86" t="s">
        <v>30</v>
      </c>
      <c r="S26" s="86" t="s">
        <v>110</v>
      </c>
      <c r="T26" s="90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>
      <c r="A27" s="12">
        <v>23.0</v>
      </c>
      <c r="B27" s="86" t="s">
        <v>475</v>
      </c>
      <c r="C27" s="86" t="s">
        <v>476</v>
      </c>
      <c r="D27" s="86" t="s">
        <v>471</v>
      </c>
      <c r="E27" s="86" t="s">
        <v>561</v>
      </c>
      <c r="F27" s="86" t="s">
        <v>472</v>
      </c>
      <c r="G27" s="86">
        <v>30.0</v>
      </c>
      <c r="H27" s="86" t="s">
        <v>65</v>
      </c>
      <c r="I27" s="87">
        <v>46049.0</v>
      </c>
      <c r="J27" s="88"/>
      <c r="K27" s="89">
        <v>365.5</v>
      </c>
      <c r="L27" s="86">
        <f t="shared" si="1"/>
        <v>12</v>
      </c>
      <c r="M27" s="89">
        <f t="shared" si="4"/>
        <v>4386</v>
      </c>
      <c r="N27" s="86" t="s">
        <v>28</v>
      </c>
      <c r="O27" s="86" t="s">
        <v>29</v>
      </c>
      <c r="P27" s="86" t="s">
        <v>40</v>
      </c>
      <c r="Q27" s="91"/>
      <c r="R27" s="86" t="s">
        <v>30</v>
      </c>
      <c r="S27" s="86" t="s">
        <v>110</v>
      </c>
      <c r="T27" s="90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>
      <c r="A28" s="12">
        <v>24.0</v>
      </c>
      <c r="B28" s="86" t="s">
        <v>477</v>
      </c>
      <c r="C28" s="86" t="s">
        <v>478</v>
      </c>
      <c r="D28" s="86" t="s">
        <v>471</v>
      </c>
      <c r="E28" s="86" t="s">
        <v>561</v>
      </c>
      <c r="F28" s="86" t="s">
        <v>472</v>
      </c>
      <c r="G28" s="86">
        <v>36.0</v>
      </c>
      <c r="H28" s="86" t="s">
        <v>65</v>
      </c>
      <c r="I28" s="87">
        <v>46049.0</v>
      </c>
      <c r="J28" s="88"/>
      <c r="K28" s="89">
        <v>410.5</v>
      </c>
      <c r="L28" s="86">
        <f t="shared" si="1"/>
        <v>12</v>
      </c>
      <c r="M28" s="89">
        <f t="shared" si="4"/>
        <v>4926</v>
      </c>
      <c r="N28" s="86" t="s">
        <v>28</v>
      </c>
      <c r="O28" s="86" t="s">
        <v>29</v>
      </c>
      <c r="P28" s="86" t="s">
        <v>40</v>
      </c>
      <c r="Q28" s="91"/>
      <c r="R28" s="86" t="s">
        <v>30</v>
      </c>
      <c r="S28" s="86" t="s">
        <v>110</v>
      </c>
      <c r="T28" s="9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>
      <c r="A29" s="12">
        <v>25.0</v>
      </c>
      <c r="B29" s="86" t="s">
        <v>479</v>
      </c>
      <c r="C29" s="86" t="s">
        <v>480</v>
      </c>
      <c r="D29" s="86" t="s">
        <v>481</v>
      </c>
      <c r="E29" s="86" t="s">
        <v>562</v>
      </c>
      <c r="F29" s="86" t="s">
        <v>483</v>
      </c>
      <c r="G29" s="86">
        <v>7.0</v>
      </c>
      <c r="H29" s="86" t="s">
        <v>39</v>
      </c>
      <c r="I29" s="87">
        <v>46050.0</v>
      </c>
      <c r="J29" s="88"/>
      <c r="K29" s="89">
        <v>160.5</v>
      </c>
      <c r="L29" s="86">
        <f t="shared" si="1"/>
        <v>12</v>
      </c>
      <c r="M29" s="89">
        <f t="shared" si="4"/>
        <v>1926</v>
      </c>
      <c r="N29" s="86" t="s">
        <v>28</v>
      </c>
      <c r="O29" s="86" t="s">
        <v>29</v>
      </c>
      <c r="P29" s="86" t="s">
        <v>40</v>
      </c>
      <c r="Q29" s="91"/>
      <c r="R29" s="86" t="s">
        <v>30</v>
      </c>
      <c r="S29" s="86" t="s">
        <v>110</v>
      </c>
      <c r="T29" s="106" t="s">
        <v>563</v>
      </c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>
      <c r="A30" s="12">
        <v>26.0</v>
      </c>
      <c r="B30" s="123" t="s">
        <v>564</v>
      </c>
      <c r="C30" s="103" t="s">
        <v>565</v>
      </c>
      <c r="D30" s="123" t="s">
        <v>566</v>
      </c>
      <c r="E30" s="123" t="s">
        <v>567</v>
      </c>
      <c r="F30" s="103" t="s">
        <v>568</v>
      </c>
      <c r="G30" s="123">
        <v>17.0</v>
      </c>
      <c r="H30" s="123" t="s">
        <v>65</v>
      </c>
      <c r="I30" s="124">
        <v>46001.0</v>
      </c>
      <c r="J30" s="124">
        <v>46063.0</v>
      </c>
      <c r="K30" s="125">
        <v>269.43</v>
      </c>
      <c r="L30" s="86">
        <f t="shared" si="1"/>
        <v>12</v>
      </c>
      <c r="M30" s="126">
        <f t="shared" si="4"/>
        <v>3233.16</v>
      </c>
      <c r="N30" s="103" t="s">
        <v>71</v>
      </c>
      <c r="O30" s="103" t="s">
        <v>29</v>
      </c>
      <c r="P30" s="103" t="s">
        <v>72</v>
      </c>
      <c r="Q30" s="123">
        <v>2180.0</v>
      </c>
      <c r="R30" s="103" t="s">
        <v>30</v>
      </c>
      <c r="S30" s="103" t="s">
        <v>148</v>
      </c>
      <c r="T30" s="127" t="s">
        <v>569</v>
      </c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</row>
    <row r="31">
      <c r="A31" s="12">
        <v>27.0</v>
      </c>
      <c r="B31" s="110" t="s">
        <v>570</v>
      </c>
      <c r="C31" s="110" t="s">
        <v>571</v>
      </c>
      <c r="D31" s="86" t="s">
        <v>572</v>
      </c>
      <c r="E31" s="86" t="s">
        <v>573</v>
      </c>
      <c r="F31" s="86" t="s">
        <v>574</v>
      </c>
      <c r="G31" s="120" t="s">
        <v>26</v>
      </c>
      <c r="H31" s="120" t="s">
        <v>254</v>
      </c>
      <c r="I31" s="87">
        <v>46055.0</v>
      </c>
      <c r="J31" s="87">
        <v>46055.0</v>
      </c>
      <c r="K31" s="125" t="s">
        <v>399</v>
      </c>
      <c r="L31" s="86" t="str">
        <f t="shared" si="1"/>
        <v>#VALUE!</v>
      </c>
      <c r="M31" s="128">
        <v>381.72</v>
      </c>
      <c r="N31" s="86" t="s">
        <v>71</v>
      </c>
      <c r="O31" s="86" t="s">
        <v>91</v>
      </c>
      <c r="P31" s="86" t="s">
        <v>72</v>
      </c>
      <c r="Q31" s="86">
        <v>1919.0</v>
      </c>
      <c r="R31" s="86" t="s">
        <v>73</v>
      </c>
      <c r="S31" s="86" t="s">
        <v>49</v>
      </c>
      <c r="T31" s="129" t="s">
        <v>575</v>
      </c>
      <c r="U31" s="92"/>
      <c r="V31" s="92"/>
      <c r="W31" s="92"/>
      <c r="X31" s="92"/>
      <c r="Y31" s="93"/>
      <c r="Z31" s="94"/>
      <c r="AA31" s="93"/>
      <c r="AB31" s="93"/>
      <c r="AC31" s="93"/>
      <c r="AD31" s="93"/>
      <c r="AE31" s="93"/>
      <c r="AF31" s="93"/>
      <c r="AG31" s="93"/>
      <c r="AH31" s="93"/>
      <c r="AI31" s="93"/>
      <c r="AJ31" s="93"/>
    </row>
    <row r="32">
      <c r="A32" s="12">
        <v>28.0</v>
      </c>
      <c r="B32" s="86" t="s">
        <v>576</v>
      </c>
      <c r="C32" s="86" t="s">
        <v>577</v>
      </c>
      <c r="D32" s="86" t="s">
        <v>578</v>
      </c>
      <c r="E32" s="86" t="s">
        <v>579</v>
      </c>
      <c r="F32" s="86" t="s">
        <v>580</v>
      </c>
      <c r="G32" s="86">
        <v>5.0</v>
      </c>
      <c r="H32" s="86" t="s">
        <v>343</v>
      </c>
      <c r="I32" s="108">
        <v>46051.0</v>
      </c>
      <c r="J32" s="88"/>
      <c r="K32" s="89">
        <v>810.0</v>
      </c>
      <c r="L32" s="86">
        <f t="shared" si="1"/>
        <v>5</v>
      </c>
      <c r="M32" s="89">
        <f>K32*5</f>
        <v>4050</v>
      </c>
      <c r="N32" s="86" t="s">
        <v>58</v>
      </c>
      <c r="O32" s="86" t="s">
        <v>29</v>
      </c>
      <c r="P32" s="86" t="s">
        <v>40</v>
      </c>
      <c r="Q32" s="91"/>
      <c r="R32" s="86" t="s">
        <v>30</v>
      </c>
      <c r="S32" s="86" t="s">
        <v>110</v>
      </c>
      <c r="T32" s="91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</row>
    <row r="33">
      <c r="A33" s="12">
        <v>29.0</v>
      </c>
      <c r="B33" s="86" t="s">
        <v>581</v>
      </c>
      <c r="C33" s="86" t="s">
        <v>582</v>
      </c>
      <c r="D33" s="86" t="s">
        <v>583</v>
      </c>
      <c r="E33" s="86" t="s">
        <v>584</v>
      </c>
      <c r="F33" s="110" t="s">
        <v>585</v>
      </c>
      <c r="G33" s="86">
        <v>15.0</v>
      </c>
      <c r="H33" s="86" t="s">
        <v>39</v>
      </c>
      <c r="I33" s="131">
        <v>45973.0</v>
      </c>
      <c r="J33" s="88"/>
      <c r="K33" s="89">
        <v>239.36</v>
      </c>
      <c r="L33" s="86">
        <f t="shared" si="1"/>
        <v>12</v>
      </c>
      <c r="M33" s="89">
        <f>K33*12</f>
        <v>2872.32</v>
      </c>
      <c r="N33" s="86" t="s">
        <v>28</v>
      </c>
      <c r="O33" s="86" t="s">
        <v>29</v>
      </c>
      <c r="P33" s="86" t="s">
        <v>40</v>
      </c>
      <c r="Q33" s="91"/>
      <c r="R33" s="86" t="s">
        <v>30</v>
      </c>
      <c r="S33" s="86" t="s">
        <v>110</v>
      </c>
      <c r="T33" s="106" t="s">
        <v>586</v>
      </c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</row>
    <row r="34">
      <c r="A34" s="12">
        <v>30.0</v>
      </c>
      <c r="B34" s="86" t="s">
        <v>587</v>
      </c>
      <c r="C34" s="86" t="s">
        <v>588</v>
      </c>
      <c r="D34" s="86" t="s">
        <v>589</v>
      </c>
      <c r="E34" s="86" t="s">
        <v>590</v>
      </c>
      <c r="F34" s="86" t="s">
        <v>591</v>
      </c>
      <c r="G34" s="86">
        <v>3.0</v>
      </c>
      <c r="H34" s="86" t="s">
        <v>123</v>
      </c>
      <c r="I34" s="108">
        <v>46031.0</v>
      </c>
      <c r="J34" s="108">
        <v>46056.0</v>
      </c>
      <c r="K34" s="89">
        <v>112.5</v>
      </c>
      <c r="L34" s="86">
        <f t="shared" si="1"/>
        <v>24</v>
      </c>
      <c r="M34" s="132">
        <f>K34*24</f>
        <v>2700</v>
      </c>
      <c r="N34" s="86" t="s">
        <v>71</v>
      </c>
      <c r="O34" s="86" t="s">
        <v>29</v>
      </c>
      <c r="P34" s="86" t="s">
        <v>72</v>
      </c>
      <c r="Q34" s="106">
        <v>2121.0</v>
      </c>
      <c r="R34" s="86" t="s">
        <v>30</v>
      </c>
      <c r="S34" s="86" t="s">
        <v>110</v>
      </c>
      <c r="T34" s="133" t="s">
        <v>193</v>
      </c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</row>
    <row r="35">
      <c r="A35" s="12">
        <v>31.0</v>
      </c>
      <c r="B35" s="86" t="s">
        <v>592</v>
      </c>
      <c r="C35" s="86" t="s">
        <v>593</v>
      </c>
      <c r="D35" s="86" t="s">
        <v>594</v>
      </c>
      <c r="E35" s="86" t="s">
        <v>595</v>
      </c>
      <c r="F35" s="86" t="s">
        <v>596</v>
      </c>
      <c r="G35" s="86">
        <v>7.0</v>
      </c>
      <c r="H35" s="86" t="s">
        <v>39</v>
      </c>
      <c r="I35" s="108">
        <v>46058.0</v>
      </c>
      <c r="J35" s="108">
        <v>46071.0</v>
      </c>
      <c r="K35" s="89">
        <v>125.0</v>
      </c>
      <c r="L35" s="86">
        <f t="shared" si="1"/>
        <v>12</v>
      </c>
      <c r="M35" s="89">
        <f t="shared" ref="M35:M37" si="5">K35*12</f>
        <v>1500</v>
      </c>
      <c r="N35" s="86" t="s">
        <v>71</v>
      </c>
      <c r="O35" s="86" t="s">
        <v>29</v>
      </c>
      <c r="P35" s="86" t="s">
        <v>72</v>
      </c>
      <c r="Q35" s="106">
        <v>2237.0</v>
      </c>
      <c r="R35" s="86" t="s">
        <v>30</v>
      </c>
      <c r="S35" s="86" t="s">
        <v>110</v>
      </c>
      <c r="T35" s="133" t="s">
        <v>193</v>
      </c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</row>
    <row r="36">
      <c r="A36" s="12">
        <v>32.0</v>
      </c>
      <c r="B36" s="86" t="s">
        <v>597</v>
      </c>
      <c r="C36" s="86" t="s">
        <v>598</v>
      </c>
      <c r="D36" s="86" t="s">
        <v>599</v>
      </c>
      <c r="E36" s="86" t="s">
        <v>600</v>
      </c>
      <c r="F36" s="134" t="s">
        <v>601</v>
      </c>
      <c r="G36" s="86">
        <v>10.0</v>
      </c>
      <c r="H36" s="86" t="s">
        <v>39</v>
      </c>
      <c r="I36" s="108">
        <v>46057.0</v>
      </c>
      <c r="J36" s="108">
        <v>46057.0</v>
      </c>
      <c r="K36" s="89">
        <v>170.5</v>
      </c>
      <c r="L36" s="86">
        <f t="shared" si="1"/>
        <v>12</v>
      </c>
      <c r="M36" s="89">
        <f t="shared" si="5"/>
        <v>2046</v>
      </c>
      <c r="N36" s="86" t="s">
        <v>71</v>
      </c>
      <c r="O36" s="86" t="s">
        <v>29</v>
      </c>
      <c r="P36" s="86" t="s">
        <v>72</v>
      </c>
      <c r="Q36" s="106">
        <v>2132.0</v>
      </c>
      <c r="R36" s="86" t="s">
        <v>30</v>
      </c>
      <c r="S36" s="86" t="s">
        <v>110</v>
      </c>
      <c r="T36" s="133" t="s">
        <v>193</v>
      </c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</row>
    <row r="37">
      <c r="A37" s="12">
        <v>33.0</v>
      </c>
      <c r="B37" s="86" t="s">
        <v>602</v>
      </c>
      <c r="C37" s="90" t="s">
        <v>603</v>
      </c>
      <c r="D37" s="86" t="s">
        <v>604</v>
      </c>
      <c r="E37" s="86" t="s">
        <v>605</v>
      </c>
      <c r="F37" s="135" t="s">
        <v>606</v>
      </c>
      <c r="G37" s="86">
        <v>4.0</v>
      </c>
      <c r="H37" s="86" t="s">
        <v>39</v>
      </c>
      <c r="I37" s="108">
        <v>46059.0</v>
      </c>
      <c r="J37" s="108">
        <v>46059.0</v>
      </c>
      <c r="K37" s="89">
        <v>115.5</v>
      </c>
      <c r="L37" s="86">
        <f t="shared" si="1"/>
        <v>12</v>
      </c>
      <c r="M37" s="89">
        <f t="shared" si="5"/>
        <v>1386</v>
      </c>
      <c r="N37" s="86" t="s">
        <v>71</v>
      </c>
      <c r="O37" s="86" t="s">
        <v>29</v>
      </c>
      <c r="P37" s="86" t="s">
        <v>72</v>
      </c>
      <c r="Q37" s="106">
        <v>2139.0</v>
      </c>
      <c r="R37" s="86" t="s">
        <v>30</v>
      </c>
      <c r="S37" s="86" t="s">
        <v>110</v>
      </c>
      <c r="T37" s="133" t="s">
        <v>193</v>
      </c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</row>
    <row r="38">
      <c r="A38" s="12">
        <v>34.0</v>
      </c>
      <c r="B38" s="136" t="s">
        <v>607</v>
      </c>
      <c r="C38" s="103" t="s">
        <v>608</v>
      </c>
      <c r="D38" s="137" t="s">
        <v>609</v>
      </c>
      <c r="E38" s="136" t="s">
        <v>610</v>
      </c>
      <c r="F38" s="113" t="s">
        <v>611</v>
      </c>
      <c r="G38" s="137">
        <v>5.0</v>
      </c>
      <c r="H38" s="137" t="s">
        <v>612</v>
      </c>
      <c r="I38" s="114">
        <v>46056.0</v>
      </c>
      <c r="J38" s="114">
        <v>46063.0</v>
      </c>
      <c r="K38" s="138" t="s">
        <v>57</v>
      </c>
      <c r="L38" s="86" t="str">
        <f t="shared" si="1"/>
        <v>#VALUE!</v>
      </c>
      <c r="M38" s="138">
        <v>1400.0</v>
      </c>
      <c r="N38" s="137" t="s">
        <v>71</v>
      </c>
      <c r="O38" s="137" t="s">
        <v>91</v>
      </c>
      <c r="P38" s="137" t="s">
        <v>72</v>
      </c>
      <c r="Q38" s="137">
        <v>2173.0</v>
      </c>
      <c r="R38" s="137" t="s">
        <v>41</v>
      </c>
      <c r="S38" s="137" t="s">
        <v>148</v>
      </c>
      <c r="T38" s="139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</row>
    <row r="39">
      <c r="A39" s="12">
        <v>35.0</v>
      </c>
      <c r="B39" s="117" t="s">
        <v>613</v>
      </c>
      <c r="C39" s="117" t="s">
        <v>614</v>
      </c>
      <c r="D39" s="112" t="s">
        <v>615</v>
      </c>
      <c r="E39" s="136" t="s">
        <v>616</v>
      </c>
      <c r="F39" s="112" t="s">
        <v>617</v>
      </c>
      <c r="G39" s="112">
        <v>5.0</v>
      </c>
      <c r="H39" s="112" t="s">
        <v>65</v>
      </c>
      <c r="I39" s="140">
        <v>46056.0</v>
      </c>
      <c r="J39" s="141"/>
      <c r="K39" s="142">
        <v>130.0</v>
      </c>
      <c r="L39" s="86">
        <f t="shared" si="1"/>
        <v>12</v>
      </c>
      <c r="M39" s="143">
        <f>K39*12</f>
        <v>1560</v>
      </c>
      <c r="N39" s="112" t="s">
        <v>28</v>
      </c>
      <c r="O39" s="112" t="s">
        <v>29</v>
      </c>
      <c r="P39" s="144"/>
      <c r="Q39" s="105"/>
      <c r="R39" s="112" t="s">
        <v>73</v>
      </c>
      <c r="S39" s="112" t="s">
        <v>148</v>
      </c>
      <c r="T39" s="112" t="s">
        <v>618</v>
      </c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</row>
    <row r="40">
      <c r="A40" s="12">
        <v>36.0</v>
      </c>
      <c r="B40" s="146" t="s">
        <v>619</v>
      </c>
      <c r="C40" s="103" t="s">
        <v>620</v>
      </c>
      <c r="D40" s="146" t="s">
        <v>621</v>
      </c>
      <c r="E40" s="146" t="s">
        <v>622</v>
      </c>
      <c r="F40" s="103" t="s">
        <v>623</v>
      </c>
      <c r="G40" s="137">
        <v>1.0</v>
      </c>
      <c r="H40" s="137" t="s">
        <v>65</v>
      </c>
      <c r="I40" s="114">
        <v>46056.0</v>
      </c>
      <c r="J40" s="114">
        <v>46057.0</v>
      </c>
      <c r="K40" s="138" t="s">
        <v>57</v>
      </c>
      <c r="L40" s="86" t="str">
        <f t="shared" si="1"/>
        <v>#VALUE!</v>
      </c>
      <c r="M40" s="138">
        <v>1329.72</v>
      </c>
      <c r="N40" s="137" t="s">
        <v>71</v>
      </c>
      <c r="O40" s="137" t="s">
        <v>29</v>
      </c>
      <c r="P40" s="137" t="s">
        <v>72</v>
      </c>
      <c r="Q40" s="137">
        <v>2127.0</v>
      </c>
      <c r="R40" s="137" t="s">
        <v>73</v>
      </c>
      <c r="S40" s="137" t="s">
        <v>129</v>
      </c>
      <c r="T40" s="139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</row>
    <row r="41">
      <c r="A41" s="12">
        <v>37.0</v>
      </c>
      <c r="B41" s="110" t="s">
        <v>624</v>
      </c>
      <c r="C41" s="110" t="s">
        <v>625</v>
      </c>
      <c r="D41" s="86" t="s">
        <v>626</v>
      </c>
      <c r="E41" s="86" t="s">
        <v>627</v>
      </c>
      <c r="F41" s="86" t="s">
        <v>628</v>
      </c>
      <c r="G41" s="86">
        <v>1.0</v>
      </c>
      <c r="H41" s="86" t="s">
        <v>65</v>
      </c>
      <c r="I41" s="87">
        <v>46056.0</v>
      </c>
      <c r="J41" s="87">
        <v>46062.0</v>
      </c>
      <c r="K41" s="89">
        <v>105.42</v>
      </c>
      <c r="L41" s="86">
        <f t="shared" si="1"/>
        <v>12</v>
      </c>
      <c r="M41" s="89">
        <f t="shared" ref="M41:M42" si="6">K41*12</f>
        <v>1265.04</v>
      </c>
      <c r="N41" s="86" t="s">
        <v>71</v>
      </c>
      <c r="O41" s="86" t="s">
        <v>29</v>
      </c>
      <c r="P41" s="86" t="s">
        <v>72</v>
      </c>
      <c r="Q41" s="86">
        <v>2178.0</v>
      </c>
      <c r="R41" s="86" t="s">
        <v>73</v>
      </c>
      <c r="S41" s="86" t="s">
        <v>49</v>
      </c>
      <c r="T41" s="116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</row>
    <row r="42">
      <c r="A42" s="12">
        <v>38.0</v>
      </c>
      <c r="B42" s="86" t="s">
        <v>629</v>
      </c>
      <c r="C42" s="86" t="s">
        <v>630</v>
      </c>
      <c r="D42" s="86" t="s">
        <v>631</v>
      </c>
      <c r="E42" s="86" t="s">
        <v>632</v>
      </c>
      <c r="F42" s="147" t="s">
        <v>633</v>
      </c>
      <c r="G42" s="86">
        <v>1.0</v>
      </c>
      <c r="H42" s="86" t="s">
        <v>39</v>
      </c>
      <c r="I42" s="108">
        <v>46062.0</v>
      </c>
      <c r="J42" s="108">
        <v>46062.0</v>
      </c>
      <c r="K42" s="89">
        <v>110.5</v>
      </c>
      <c r="L42" s="86">
        <f t="shared" si="1"/>
        <v>12</v>
      </c>
      <c r="M42" s="89">
        <f t="shared" si="6"/>
        <v>1326</v>
      </c>
      <c r="N42" s="86" t="s">
        <v>71</v>
      </c>
      <c r="O42" s="86" t="s">
        <v>29</v>
      </c>
      <c r="P42" s="86" t="s">
        <v>72</v>
      </c>
      <c r="Q42" s="106">
        <v>2194.0</v>
      </c>
      <c r="R42" s="86" t="s">
        <v>30</v>
      </c>
      <c r="S42" s="86" t="s">
        <v>110</v>
      </c>
      <c r="T42" s="133" t="s">
        <v>193</v>
      </c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</row>
    <row r="43">
      <c r="A43" s="12">
        <v>39.0</v>
      </c>
      <c r="B43" s="117" t="s">
        <v>634</v>
      </c>
      <c r="C43" s="148" t="s">
        <v>635</v>
      </c>
      <c r="D43" s="112" t="s">
        <v>636</v>
      </c>
      <c r="E43" s="112" t="s">
        <v>637</v>
      </c>
      <c r="F43" s="112" t="s">
        <v>638</v>
      </c>
      <c r="G43" s="112">
        <v>1.0</v>
      </c>
      <c r="H43" s="86" t="s">
        <v>39</v>
      </c>
      <c r="I43" s="140">
        <v>46057.0</v>
      </c>
      <c r="J43" s="141"/>
      <c r="K43" s="142" t="s">
        <v>57</v>
      </c>
      <c r="L43" s="86" t="str">
        <f t="shared" si="1"/>
        <v>#VALUE!</v>
      </c>
      <c r="M43" s="142">
        <v>1269.36</v>
      </c>
      <c r="N43" s="112" t="s">
        <v>58</v>
      </c>
      <c r="O43" s="112" t="s">
        <v>29</v>
      </c>
      <c r="P43" s="112" t="s">
        <v>40</v>
      </c>
      <c r="Q43" s="105"/>
      <c r="R43" s="112" t="s">
        <v>41</v>
      </c>
      <c r="S43" s="112" t="s">
        <v>148</v>
      </c>
      <c r="T43" s="105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</row>
    <row r="44">
      <c r="A44" s="12">
        <v>40.0</v>
      </c>
      <c r="B44" s="110" t="s">
        <v>639</v>
      </c>
      <c r="C44" s="86" t="s">
        <v>640</v>
      </c>
      <c r="D44" s="86" t="s">
        <v>641</v>
      </c>
      <c r="E44" s="86" t="s">
        <v>642</v>
      </c>
      <c r="F44" s="86" t="s">
        <v>643</v>
      </c>
      <c r="G44" s="86">
        <v>29.0</v>
      </c>
      <c r="H44" s="86" t="s">
        <v>644</v>
      </c>
      <c r="I44" s="87">
        <v>46056.0</v>
      </c>
      <c r="J44" s="108">
        <v>46057.0</v>
      </c>
      <c r="K44" s="89" t="s">
        <v>57</v>
      </c>
      <c r="L44" s="86" t="str">
        <f t="shared" si="1"/>
        <v>#VALUE!</v>
      </c>
      <c r="M44" s="125">
        <v>1800.0</v>
      </c>
      <c r="N44" s="86" t="s">
        <v>71</v>
      </c>
      <c r="O44" s="86" t="s">
        <v>91</v>
      </c>
      <c r="P44" s="86" t="s">
        <v>72</v>
      </c>
      <c r="Q44" s="86">
        <v>2130.0</v>
      </c>
      <c r="R44" s="86" t="s">
        <v>73</v>
      </c>
      <c r="S44" s="86" t="s">
        <v>31</v>
      </c>
      <c r="T44" s="133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</row>
    <row r="45">
      <c r="A45" s="12">
        <v>41.0</v>
      </c>
      <c r="B45" s="110" t="s">
        <v>645</v>
      </c>
      <c r="C45" s="86" t="s">
        <v>646</v>
      </c>
      <c r="D45" s="86" t="s">
        <v>647</v>
      </c>
      <c r="E45" s="86" t="s">
        <v>63</v>
      </c>
      <c r="F45" s="86" t="s">
        <v>648</v>
      </c>
      <c r="G45" s="86" t="s">
        <v>399</v>
      </c>
      <c r="H45" s="149" t="s">
        <v>649</v>
      </c>
      <c r="I45" s="87">
        <v>46055.0</v>
      </c>
      <c r="J45" s="108">
        <v>46056.0</v>
      </c>
      <c r="K45" s="89">
        <v>350.0</v>
      </c>
      <c r="L45" s="86">
        <f t="shared" si="1"/>
        <v>12</v>
      </c>
      <c r="M45" s="89">
        <f>K45*12</f>
        <v>4200</v>
      </c>
      <c r="N45" s="86" t="s">
        <v>71</v>
      </c>
      <c r="O45" s="86" t="s">
        <v>29</v>
      </c>
      <c r="P45" s="86" t="s">
        <v>72</v>
      </c>
      <c r="Q45" s="86">
        <v>2109.0</v>
      </c>
      <c r="R45" s="86" t="s">
        <v>73</v>
      </c>
      <c r="S45" s="86" t="s">
        <v>31</v>
      </c>
      <c r="T45" s="133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</row>
    <row r="46">
      <c r="A46" s="12">
        <v>42.0</v>
      </c>
      <c r="B46" s="110" t="s">
        <v>650</v>
      </c>
      <c r="C46" s="86" t="s">
        <v>651</v>
      </c>
      <c r="D46" s="86" t="s">
        <v>652</v>
      </c>
      <c r="E46" s="86" t="s">
        <v>653</v>
      </c>
      <c r="F46" s="86" t="s">
        <v>654</v>
      </c>
      <c r="G46" s="86">
        <v>7.0</v>
      </c>
      <c r="H46" s="86" t="s">
        <v>39</v>
      </c>
      <c r="I46" s="87">
        <v>46057.0</v>
      </c>
      <c r="J46" s="88"/>
      <c r="K46" s="150"/>
      <c r="L46" s="86" t="str">
        <f t="shared" si="1"/>
        <v>#DIV/0!</v>
      </c>
      <c r="M46" s="89">
        <v>1626.6</v>
      </c>
      <c r="N46" s="86" t="s">
        <v>28</v>
      </c>
      <c r="O46" s="86" t="s">
        <v>29</v>
      </c>
      <c r="P46" s="86" t="s">
        <v>40</v>
      </c>
      <c r="Q46" s="90"/>
      <c r="R46" s="86" t="s">
        <v>233</v>
      </c>
      <c r="S46" s="86" t="s">
        <v>31</v>
      </c>
      <c r="T46" s="106" t="s">
        <v>655</v>
      </c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</row>
    <row r="47">
      <c r="A47" s="12">
        <v>43.0</v>
      </c>
      <c r="B47" s="86" t="s">
        <v>656</v>
      </c>
      <c r="C47" s="86" t="s">
        <v>657</v>
      </c>
      <c r="D47" s="86" t="s">
        <v>658</v>
      </c>
      <c r="E47" s="86" t="s">
        <v>659</v>
      </c>
      <c r="F47" s="86" t="s">
        <v>660</v>
      </c>
      <c r="G47" s="86">
        <v>4.0</v>
      </c>
      <c r="H47" s="86" t="s">
        <v>39</v>
      </c>
      <c r="I47" s="88"/>
      <c r="J47" s="88"/>
      <c r="K47" s="89">
        <v>126.92</v>
      </c>
      <c r="L47" s="86">
        <f t="shared" si="1"/>
        <v>12</v>
      </c>
      <c r="M47" s="89">
        <v>1523.04</v>
      </c>
      <c r="N47" s="86" t="s">
        <v>28</v>
      </c>
      <c r="O47" s="86" t="s">
        <v>29</v>
      </c>
      <c r="P47" s="86" t="s">
        <v>40</v>
      </c>
      <c r="Q47" s="91"/>
      <c r="R47" s="86" t="s">
        <v>73</v>
      </c>
      <c r="S47" s="86" t="s">
        <v>31</v>
      </c>
      <c r="T47" s="86" t="s">
        <v>661</v>
      </c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</row>
    <row r="48">
      <c r="A48" s="12">
        <v>44.0</v>
      </c>
      <c r="B48" s="110" t="s">
        <v>662</v>
      </c>
      <c r="C48" s="110" t="s">
        <v>663</v>
      </c>
      <c r="D48" s="86" t="s">
        <v>664</v>
      </c>
      <c r="E48" s="86" t="s">
        <v>665</v>
      </c>
      <c r="F48" s="86" t="s">
        <v>666</v>
      </c>
      <c r="G48" s="86">
        <v>3.0</v>
      </c>
      <c r="H48" s="86" t="s">
        <v>65</v>
      </c>
      <c r="I48" s="87">
        <v>46056.0</v>
      </c>
      <c r="J48" s="87">
        <v>46058.0</v>
      </c>
      <c r="K48" s="89">
        <v>110.21</v>
      </c>
      <c r="L48" s="86">
        <f t="shared" si="1"/>
        <v>12</v>
      </c>
      <c r="M48" s="89">
        <f t="shared" ref="M48:M49" si="7">K48*12</f>
        <v>1322.52</v>
      </c>
      <c r="N48" s="86" t="s">
        <v>71</v>
      </c>
      <c r="O48" s="86" t="s">
        <v>29</v>
      </c>
      <c r="P48" s="86" t="s">
        <v>72</v>
      </c>
      <c r="Q48" s="86">
        <v>2131.0</v>
      </c>
      <c r="R48" s="86" t="s">
        <v>233</v>
      </c>
      <c r="S48" s="86" t="s">
        <v>49</v>
      </c>
      <c r="T48" s="133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</row>
    <row r="49">
      <c r="A49" s="12">
        <v>45.0</v>
      </c>
      <c r="B49" s="110" t="s">
        <v>667</v>
      </c>
      <c r="C49" s="110" t="s">
        <v>668</v>
      </c>
      <c r="D49" s="86" t="s">
        <v>669</v>
      </c>
      <c r="E49" s="86" t="s">
        <v>670</v>
      </c>
      <c r="F49" s="86" t="s">
        <v>671</v>
      </c>
      <c r="G49" s="86">
        <v>20.0</v>
      </c>
      <c r="H49" s="86" t="s">
        <v>65</v>
      </c>
      <c r="I49" s="87">
        <v>46058.0</v>
      </c>
      <c r="J49" s="88"/>
      <c r="K49" s="89">
        <v>450.0</v>
      </c>
      <c r="L49" s="86">
        <f t="shared" si="1"/>
        <v>12</v>
      </c>
      <c r="M49" s="89">
        <f t="shared" si="7"/>
        <v>5400</v>
      </c>
      <c r="N49" s="86" t="s">
        <v>28</v>
      </c>
      <c r="O49" s="86" t="s">
        <v>29</v>
      </c>
      <c r="P49" s="86" t="s">
        <v>40</v>
      </c>
      <c r="Q49" s="91"/>
      <c r="R49" s="86" t="s">
        <v>73</v>
      </c>
      <c r="S49" s="86" t="s">
        <v>49</v>
      </c>
      <c r="T49" s="151" t="s">
        <v>672</v>
      </c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</row>
    <row r="50">
      <c r="A50" s="12">
        <v>46.0</v>
      </c>
      <c r="B50" s="152" t="s">
        <v>673</v>
      </c>
      <c r="C50" s="152" t="s">
        <v>674</v>
      </c>
      <c r="D50" s="152" t="s">
        <v>675</v>
      </c>
      <c r="E50" s="152" t="s">
        <v>676</v>
      </c>
      <c r="F50" s="152" t="s">
        <v>677</v>
      </c>
      <c r="G50" s="152">
        <v>13.0</v>
      </c>
      <c r="H50" s="152" t="s">
        <v>65</v>
      </c>
      <c r="I50" s="153">
        <v>46058.0</v>
      </c>
      <c r="J50" s="154"/>
      <c r="K50" s="155">
        <v>290.3</v>
      </c>
      <c r="L50" s="86">
        <f t="shared" si="1"/>
        <v>0</v>
      </c>
      <c r="M50" s="155"/>
      <c r="N50" s="152" t="s">
        <v>71</v>
      </c>
      <c r="O50" s="152" t="s">
        <v>29</v>
      </c>
      <c r="P50" s="156" t="s">
        <v>72</v>
      </c>
      <c r="Q50" s="157"/>
      <c r="R50" s="152" t="s">
        <v>73</v>
      </c>
      <c r="S50" s="152" t="s">
        <v>49</v>
      </c>
      <c r="T50" s="158" t="s">
        <v>678</v>
      </c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</row>
    <row r="51">
      <c r="A51" s="12">
        <v>47.0</v>
      </c>
      <c r="B51" s="110" t="s">
        <v>679</v>
      </c>
      <c r="C51" s="110" t="s">
        <v>680</v>
      </c>
      <c r="D51" s="86" t="s">
        <v>681</v>
      </c>
      <c r="E51" s="86" t="s">
        <v>682</v>
      </c>
      <c r="F51" s="86" t="s">
        <v>683</v>
      </c>
      <c r="G51" s="86">
        <v>1.0</v>
      </c>
      <c r="H51" s="86" t="s">
        <v>65</v>
      </c>
      <c r="I51" s="87">
        <v>46058.0</v>
      </c>
      <c r="J51" s="88"/>
      <c r="K51" s="89">
        <v>110.15</v>
      </c>
      <c r="L51" s="86">
        <f t="shared" si="1"/>
        <v>12</v>
      </c>
      <c r="M51" s="89">
        <f t="shared" ref="M51:M52" si="8">K51*12</f>
        <v>1321.8</v>
      </c>
      <c r="N51" s="86" t="s">
        <v>28</v>
      </c>
      <c r="O51" s="86" t="s">
        <v>29</v>
      </c>
      <c r="P51" s="86" t="s">
        <v>40</v>
      </c>
      <c r="Q51" s="91"/>
      <c r="R51" s="86" t="s">
        <v>73</v>
      </c>
      <c r="S51" s="86" t="s">
        <v>49</v>
      </c>
      <c r="T51" s="159" t="s">
        <v>684</v>
      </c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</row>
    <row r="52">
      <c r="A52" s="12">
        <v>48.0</v>
      </c>
      <c r="B52" s="160" t="s">
        <v>685</v>
      </c>
      <c r="C52" s="160" t="s">
        <v>686</v>
      </c>
      <c r="D52" s="161" t="s">
        <v>687</v>
      </c>
      <c r="E52" s="161" t="s">
        <v>688</v>
      </c>
      <c r="F52" s="113" t="s">
        <v>689</v>
      </c>
      <c r="G52" s="161">
        <v>6.0</v>
      </c>
      <c r="H52" s="161" t="s">
        <v>65</v>
      </c>
      <c r="I52" s="162">
        <v>46058.0</v>
      </c>
      <c r="J52" s="163"/>
      <c r="K52" s="164">
        <v>154.53</v>
      </c>
      <c r="L52" s="86">
        <f t="shared" si="1"/>
        <v>12</v>
      </c>
      <c r="M52" s="165">
        <f t="shared" si="8"/>
        <v>1854.36</v>
      </c>
      <c r="N52" s="161" t="s">
        <v>28</v>
      </c>
      <c r="O52" s="161" t="s">
        <v>29</v>
      </c>
      <c r="P52" s="161"/>
      <c r="Q52" s="166"/>
      <c r="R52" s="161" t="s">
        <v>233</v>
      </c>
      <c r="S52" s="112" t="s">
        <v>148</v>
      </c>
      <c r="T52" s="166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</row>
    <row r="53">
      <c r="A53" s="12">
        <v>49.0</v>
      </c>
      <c r="B53" s="167" t="s">
        <v>690</v>
      </c>
      <c r="C53" s="167" t="s">
        <v>691</v>
      </c>
      <c r="D53" s="120" t="s">
        <v>692</v>
      </c>
      <c r="E53" s="120" t="s">
        <v>693</v>
      </c>
      <c r="F53" s="120" t="s">
        <v>694</v>
      </c>
      <c r="G53" s="120">
        <v>150.0</v>
      </c>
      <c r="H53" s="120" t="s">
        <v>695</v>
      </c>
      <c r="I53" s="168">
        <v>46058.0</v>
      </c>
      <c r="J53" s="87"/>
      <c r="K53" s="125" t="s">
        <v>57</v>
      </c>
      <c r="L53" s="86" t="str">
        <f t="shared" si="1"/>
        <v>#VALUE!</v>
      </c>
      <c r="M53" s="125">
        <v>2000.0</v>
      </c>
      <c r="N53" s="120" t="s">
        <v>28</v>
      </c>
      <c r="O53" s="120" t="s">
        <v>91</v>
      </c>
      <c r="P53" s="86"/>
      <c r="Q53" s="106"/>
      <c r="R53" s="120" t="s">
        <v>98</v>
      </c>
      <c r="S53" s="120" t="s">
        <v>148</v>
      </c>
      <c r="T53" s="106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</row>
    <row r="54">
      <c r="A54" s="12">
        <v>50.0</v>
      </c>
      <c r="B54" s="136" t="s">
        <v>696</v>
      </c>
      <c r="C54" s="136" t="s">
        <v>697</v>
      </c>
      <c r="D54" s="137" t="s">
        <v>257</v>
      </c>
      <c r="E54" s="136" t="s">
        <v>698</v>
      </c>
      <c r="F54" s="137" t="s">
        <v>699</v>
      </c>
      <c r="G54" s="137">
        <v>20.0</v>
      </c>
      <c r="H54" s="137" t="s">
        <v>65</v>
      </c>
      <c r="I54" s="114">
        <v>46059.0</v>
      </c>
      <c r="J54" s="169"/>
      <c r="K54" s="138">
        <v>298.34</v>
      </c>
      <c r="L54" s="86">
        <f t="shared" si="1"/>
        <v>12</v>
      </c>
      <c r="M54" s="170">
        <f>K54*12</f>
        <v>3580.08</v>
      </c>
      <c r="N54" s="137" t="s">
        <v>58</v>
      </c>
      <c r="O54" s="137" t="s">
        <v>29</v>
      </c>
      <c r="P54" s="171"/>
      <c r="Q54" s="172"/>
      <c r="R54" s="137" t="s">
        <v>73</v>
      </c>
      <c r="S54" s="137" t="s">
        <v>148</v>
      </c>
      <c r="T54" s="172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</row>
    <row r="55">
      <c r="A55" s="12">
        <v>51.0</v>
      </c>
      <c r="B55" s="110" t="s">
        <v>700</v>
      </c>
      <c r="C55" s="110" t="s">
        <v>701</v>
      </c>
      <c r="D55" s="86" t="s">
        <v>702</v>
      </c>
      <c r="E55" s="86" t="s">
        <v>703</v>
      </c>
      <c r="F55" s="86" t="s">
        <v>704</v>
      </c>
      <c r="G55" s="86">
        <v>2.0</v>
      </c>
      <c r="H55" s="86" t="s">
        <v>154</v>
      </c>
      <c r="I55" s="87">
        <v>46058.0</v>
      </c>
      <c r="J55" s="88"/>
      <c r="K55" s="89" t="s">
        <v>57</v>
      </c>
      <c r="L55" s="86" t="str">
        <f t="shared" si="1"/>
        <v>#VALUE!</v>
      </c>
      <c r="M55" s="89">
        <v>800.0</v>
      </c>
      <c r="N55" s="86" t="s">
        <v>28</v>
      </c>
      <c r="O55" s="86" t="s">
        <v>91</v>
      </c>
      <c r="P55" s="86" t="s">
        <v>40</v>
      </c>
      <c r="Q55" s="91"/>
      <c r="R55" s="86" t="s">
        <v>41</v>
      </c>
      <c r="S55" s="86" t="s">
        <v>49</v>
      </c>
      <c r="T55" s="106" t="s">
        <v>705</v>
      </c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</row>
    <row r="56">
      <c r="A56" s="12">
        <v>52.0</v>
      </c>
      <c r="B56" s="167" t="s">
        <v>706</v>
      </c>
      <c r="C56" s="167" t="s">
        <v>707</v>
      </c>
      <c r="D56" s="120" t="s">
        <v>708</v>
      </c>
      <c r="E56" s="120" t="s">
        <v>709</v>
      </c>
      <c r="F56" s="120" t="s">
        <v>710</v>
      </c>
      <c r="G56" s="120" t="s">
        <v>26</v>
      </c>
      <c r="H56" s="120" t="s">
        <v>711</v>
      </c>
      <c r="I56" s="168">
        <v>46034.0</v>
      </c>
      <c r="J56" s="87"/>
      <c r="K56" s="125" t="s">
        <v>57</v>
      </c>
      <c r="L56" s="86" t="str">
        <f t="shared" si="1"/>
        <v>#VALUE!</v>
      </c>
      <c r="M56" s="125">
        <v>4200.0</v>
      </c>
      <c r="N56" s="120" t="s">
        <v>28</v>
      </c>
      <c r="O56" s="120" t="s">
        <v>91</v>
      </c>
      <c r="P56" s="86"/>
      <c r="Q56" s="106"/>
      <c r="R56" s="120" t="s">
        <v>73</v>
      </c>
      <c r="S56" s="120" t="s">
        <v>148</v>
      </c>
      <c r="T56" s="106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</row>
    <row r="57">
      <c r="A57" s="12">
        <v>53.0</v>
      </c>
      <c r="B57" s="106" t="s">
        <v>712</v>
      </c>
      <c r="C57" s="91" t="s">
        <v>713</v>
      </c>
      <c r="D57" s="106" t="s">
        <v>714</v>
      </c>
      <c r="E57" s="106" t="s">
        <v>715</v>
      </c>
      <c r="F57" s="173" t="s">
        <v>716</v>
      </c>
      <c r="G57" s="106">
        <v>2.0</v>
      </c>
      <c r="H57" s="106" t="s">
        <v>39</v>
      </c>
      <c r="I57" s="108">
        <v>46062.0</v>
      </c>
      <c r="J57" s="108">
        <v>46062.0</v>
      </c>
      <c r="K57" s="89">
        <v>115.5</v>
      </c>
      <c r="L57" s="86">
        <f t="shared" si="1"/>
        <v>12</v>
      </c>
      <c r="M57" s="89">
        <f t="shared" ref="M57:M58" si="9">K57*12</f>
        <v>1386</v>
      </c>
      <c r="N57" s="106" t="s">
        <v>71</v>
      </c>
      <c r="O57" s="106" t="s">
        <v>29</v>
      </c>
      <c r="P57" s="106" t="s">
        <v>72</v>
      </c>
      <c r="Q57" s="106">
        <v>2169.0</v>
      </c>
      <c r="R57" s="106" t="s">
        <v>30</v>
      </c>
      <c r="S57" s="106" t="s">
        <v>110</v>
      </c>
      <c r="T57" s="133" t="s">
        <v>193</v>
      </c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</row>
    <row r="58">
      <c r="A58" s="12">
        <v>54.0</v>
      </c>
      <c r="B58" s="136" t="s">
        <v>717</v>
      </c>
      <c r="C58" s="136" t="s">
        <v>718</v>
      </c>
      <c r="D58" s="103" t="s">
        <v>719</v>
      </c>
      <c r="E58" s="103" t="s">
        <v>720</v>
      </c>
      <c r="F58" s="103" t="s">
        <v>721</v>
      </c>
      <c r="G58" s="103">
        <v>7.0</v>
      </c>
      <c r="H58" s="103" t="s">
        <v>65</v>
      </c>
      <c r="I58" s="174">
        <v>46059.0</v>
      </c>
      <c r="J58" s="104"/>
      <c r="K58" s="125">
        <v>159.57</v>
      </c>
      <c r="L58" s="86">
        <f t="shared" si="1"/>
        <v>12</v>
      </c>
      <c r="M58" s="175">
        <f t="shared" si="9"/>
        <v>1914.84</v>
      </c>
      <c r="N58" s="137" t="s">
        <v>58</v>
      </c>
      <c r="O58" s="172" t="s">
        <v>29</v>
      </c>
      <c r="P58" s="171"/>
      <c r="Q58" s="104"/>
      <c r="R58" s="137" t="s">
        <v>41</v>
      </c>
      <c r="S58" s="137" t="s">
        <v>148</v>
      </c>
      <c r="T58" s="10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</row>
    <row r="59">
      <c r="A59" s="12">
        <v>55.0</v>
      </c>
      <c r="B59" s="86" t="s">
        <v>722</v>
      </c>
      <c r="C59" s="86" t="s">
        <v>723</v>
      </c>
      <c r="D59" s="86" t="s">
        <v>724</v>
      </c>
      <c r="E59" s="86" t="s">
        <v>725</v>
      </c>
      <c r="F59" s="86" t="s">
        <v>726</v>
      </c>
      <c r="G59" s="86">
        <v>5.0</v>
      </c>
      <c r="H59" s="86" t="s">
        <v>727</v>
      </c>
      <c r="I59" s="108">
        <v>46059.0</v>
      </c>
      <c r="J59" s="108">
        <v>46062.0</v>
      </c>
      <c r="K59" s="89" t="s">
        <v>57</v>
      </c>
      <c r="L59" s="86" t="str">
        <f t="shared" si="1"/>
        <v>#VALUE!</v>
      </c>
      <c r="M59" s="89">
        <v>1250.0</v>
      </c>
      <c r="N59" s="86" t="s">
        <v>71</v>
      </c>
      <c r="O59" s="86" t="s">
        <v>29</v>
      </c>
      <c r="P59" s="86" t="s">
        <v>72</v>
      </c>
      <c r="Q59" s="86">
        <v>2144.0</v>
      </c>
      <c r="R59" s="86" t="s">
        <v>41</v>
      </c>
      <c r="S59" s="86" t="s">
        <v>49</v>
      </c>
      <c r="T59" s="133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</row>
    <row r="60">
      <c r="A60" s="12">
        <v>56.0</v>
      </c>
      <c r="B60" s="86" t="s">
        <v>728</v>
      </c>
      <c r="C60" s="86" t="s">
        <v>729</v>
      </c>
      <c r="D60" s="86" t="s">
        <v>730</v>
      </c>
      <c r="E60" s="86" t="s">
        <v>731</v>
      </c>
      <c r="F60" s="86" t="s">
        <v>732</v>
      </c>
      <c r="G60" s="86" t="s">
        <v>26</v>
      </c>
      <c r="H60" s="106" t="s">
        <v>733</v>
      </c>
      <c r="I60" s="108">
        <v>46056.0</v>
      </c>
      <c r="J60" s="108">
        <v>46057.0</v>
      </c>
      <c r="K60" s="89" t="s">
        <v>399</v>
      </c>
      <c r="L60" s="86" t="str">
        <f t="shared" si="1"/>
        <v>#VALUE!</v>
      </c>
      <c r="M60" s="125" t="s">
        <v>399</v>
      </c>
      <c r="N60" s="86" t="s">
        <v>71</v>
      </c>
      <c r="O60" s="86" t="s">
        <v>29</v>
      </c>
      <c r="P60" s="86" t="s">
        <v>72</v>
      </c>
      <c r="Q60" s="91"/>
      <c r="R60" s="86" t="s">
        <v>73</v>
      </c>
      <c r="S60" s="86" t="s">
        <v>31</v>
      </c>
      <c r="T60" s="116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</row>
    <row r="61">
      <c r="A61" s="12">
        <v>57.0</v>
      </c>
      <c r="B61" s="106" t="s">
        <v>734</v>
      </c>
      <c r="C61" s="106" t="s">
        <v>735</v>
      </c>
      <c r="D61" s="106" t="s">
        <v>714</v>
      </c>
      <c r="E61" s="106" t="s">
        <v>715</v>
      </c>
      <c r="F61" s="173" t="s">
        <v>716</v>
      </c>
      <c r="G61" s="106">
        <v>2.0</v>
      </c>
      <c r="H61" s="106" t="s">
        <v>39</v>
      </c>
      <c r="I61" s="108">
        <v>46062.0</v>
      </c>
      <c r="J61" s="108">
        <v>46062.0</v>
      </c>
      <c r="K61" s="89">
        <v>115.5</v>
      </c>
      <c r="L61" s="86">
        <f t="shared" si="1"/>
        <v>12</v>
      </c>
      <c r="M61" s="89">
        <f>K61*12</f>
        <v>1386</v>
      </c>
      <c r="N61" s="86" t="s">
        <v>71</v>
      </c>
      <c r="O61" s="106" t="s">
        <v>29</v>
      </c>
      <c r="P61" s="86" t="s">
        <v>72</v>
      </c>
      <c r="Q61" s="106">
        <v>2171.0</v>
      </c>
      <c r="R61" s="86" t="s">
        <v>30</v>
      </c>
      <c r="S61" s="86" t="s">
        <v>110</v>
      </c>
      <c r="T61" s="133" t="s">
        <v>193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12">
        <v>58.0</v>
      </c>
      <c r="B62" s="90" t="s">
        <v>736</v>
      </c>
      <c r="C62" s="86" t="s">
        <v>737</v>
      </c>
      <c r="D62" s="86" t="s">
        <v>738</v>
      </c>
      <c r="E62" s="86" t="s">
        <v>739</v>
      </c>
      <c r="F62" s="86" t="s">
        <v>740</v>
      </c>
      <c r="G62" s="86">
        <v>45.0</v>
      </c>
      <c r="H62" s="86" t="s">
        <v>741</v>
      </c>
      <c r="I62" s="108">
        <v>46062.0</v>
      </c>
      <c r="J62" s="108">
        <v>46064.0</v>
      </c>
      <c r="K62" s="89" t="s">
        <v>57</v>
      </c>
      <c r="L62" s="86" t="str">
        <f t="shared" si="1"/>
        <v>#VALUE!</v>
      </c>
      <c r="M62" s="89">
        <v>2353.12</v>
      </c>
      <c r="N62" s="86" t="s">
        <v>71</v>
      </c>
      <c r="O62" s="86" t="s">
        <v>91</v>
      </c>
      <c r="P62" s="86" t="s">
        <v>72</v>
      </c>
      <c r="Q62" s="86">
        <v>2189.0</v>
      </c>
      <c r="R62" s="86" t="s">
        <v>73</v>
      </c>
      <c r="S62" s="86" t="s">
        <v>49</v>
      </c>
      <c r="T62" s="133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</row>
    <row r="63">
      <c r="A63" s="12">
        <v>59.0</v>
      </c>
      <c r="B63" s="106" t="s">
        <v>742</v>
      </c>
      <c r="C63" s="106" t="s">
        <v>743</v>
      </c>
      <c r="D63" s="106" t="s">
        <v>744</v>
      </c>
      <c r="E63" s="106" t="s">
        <v>745</v>
      </c>
      <c r="F63" s="92"/>
      <c r="G63" s="106">
        <v>50.0</v>
      </c>
      <c r="H63" s="106" t="s">
        <v>746</v>
      </c>
      <c r="I63" s="108">
        <v>46064.0</v>
      </c>
      <c r="J63" s="109"/>
      <c r="K63" s="89">
        <v>1000.0</v>
      </c>
      <c r="L63" s="86">
        <f t="shared" si="1"/>
        <v>7</v>
      </c>
      <c r="M63" s="89">
        <f>K63*7</f>
        <v>7000</v>
      </c>
      <c r="N63" s="86" t="s">
        <v>58</v>
      </c>
      <c r="O63" s="106" t="s">
        <v>29</v>
      </c>
      <c r="P63" s="86" t="s">
        <v>40</v>
      </c>
      <c r="Q63" s="91"/>
      <c r="R63" s="86" t="s">
        <v>30</v>
      </c>
      <c r="S63" s="86" t="s">
        <v>110</v>
      </c>
      <c r="T63" s="91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12">
        <v>60.0</v>
      </c>
      <c r="B64" s="86" t="s">
        <v>747</v>
      </c>
      <c r="C64" s="86" t="s">
        <v>748</v>
      </c>
      <c r="D64" s="86" t="s">
        <v>749</v>
      </c>
      <c r="E64" s="86" t="s">
        <v>750</v>
      </c>
      <c r="F64" s="176" t="s">
        <v>751</v>
      </c>
      <c r="G64" s="86">
        <v>4.0</v>
      </c>
      <c r="H64" s="106" t="s">
        <v>39</v>
      </c>
      <c r="I64" s="108">
        <v>46063.0</v>
      </c>
      <c r="J64" s="108">
        <v>46064.0</v>
      </c>
      <c r="K64" s="89">
        <v>120.88</v>
      </c>
      <c r="L64" s="86">
        <f t="shared" si="1"/>
        <v>12</v>
      </c>
      <c r="M64" s="89">
        <f t="shared" ref="M64:M65" si="10">K64*12</f>
        <v>1450.56</v>
      </c>
      <c r="N64" s="86" t="s">
        <v>71</v>
      </c>
      <c r="O64" s="86" t="s">
        <v>29</v>
      </c>
      <c r="P64" s="86" t="s">
        <v>72</v>
      </c>
      <c r="Q64" s="86">
        <v>2192.0</v>
      </c>
      <c r="R64" s="86" t="s">
        <v>233</v>
      </c>
      <c r="S64" s="86" t="s">
        <v>49</v>
      </c>
      <c r="T64" s="133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</row>
    <row r="65">
      <c r="A65" s="12">
        <v>61.0</v>
      </c>
      <c r="B65" s="123" t="s">
        <v>752</v>
      </c>
      <c r="C65" s="123" t="s">
        <v>753</v>
      </c>
      <c r="D65" s="123" t="s">
        <v>754</v>
      </c>
      <c r="E65" s="123" t="s">
        <v>755</v>
      </c>
      <c r="F65" s="106" t="s">
        <v>756</v>
      </c>
      <c r="G65" s="123">
        <v>2.0</v>
      </c>
      <c r="H65" s="106" t="s">
        <v>39</v>
      </c>
      <c r="I65" s="177">
        <v>46063.0</v>
      </c>
      <c r="J65" s="178"/>
      <c r="K65" s="179">
        <v>115.96</v>
      </c>
      <c r="L65" s="86">
        <f t="shared" si="1"/>
        <v>12</v>
      </c>
      <c r="M65" s="180">
        <f t="shared" si="10"/>
        <v>1391.52</v>
      </c>
      <c r="N65" s="137" t="s">
        <v>28</v>
      </c>
      <c r="O65" s="137" t="s">
        <v>29</v>
      </c>
      <c r="P65" s="137" t="s">
        <v>40</v>
      </c>
      <c r="Q65" s="104"/>
      <c r="R65" s="137" t="s">
        <v>233</v>
      </c>
      <c r="S65" s="137" t="s">
        <v>129</v>
      </c>
      <c r="T65" s="178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12">
        <v>62.0</v>
      </c>
      <c r="B66" s="181" t="s">
        <v>757</v>
      </c>
      <c r="C66" s="103" t="s">
        <v>758</v>
      </c>
      <c r="D66" s="182" t="s">
        <v>759</v>
      </c>
      <c r="E66" s="182" t="s">
        <v>760</v>
      </c>
      <c r="F66" s="103" t="s">
        <v>761</v>
      </c>
      <c r="G66" s="181">
        <v>3.0</v>
      </c>
      <c r="H66" s="181" t="s">
        <v>459</v>
      </c>
      <c r="I66" s="183">
        <v>46063.0</v>
      </c>
      <c r="J66" s="183">
        <v>46065.0</v>
      </c>
      <c r="K66" s="184" t="s">
        <v>57</v>
      </c>
      <c r="L66" s="86" t="str">
        <f t="shared" si="1"/>
        <v>#VALUE!</v>
      </c>
      <c r="M66" s="184">
        <v>1000.0</v>
      </c>
      <c r="N66" s="185" t="s">
        <v>71</v>
      </c>
      <c r="O66" s="185" t="s">
        <v>91</v>
      </c>
      <c r="P66" s="185" t="s">
        <v>72</v>
      </c>
      <c r="Q66" s="182">
        <v>2213.0</v>
      </c>
      <c r="R66" s="185" t="s">
        <v>73</v>
      </c>
      <c r="S66" s="185" t="s">
        <v>148</v>
      </c>
      <c r="T66" s="186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12">
        <v>63.0</v>
      </c>
      <c r="B67" s="160" t="s">
        <v>762</v>
      </c>
      <c r="C67" s="136" t="s">
        <v>763</v>
      </c>
      <c r="D67" s="182" t="s">
        <v>759</v>
      </c>
      <c r="E67" s="182" t="s">
        <v>760</v>
      </c>
      <c r="F67" s="103" t="s">
        <v>761</v>
      </c>
      <c r="G67" s="181">
        <v>16.0</v>
      </c>
      <c r="H67" s="181" t="s">
        <v>459</v>
      </c>
      <c r="I67" s="183">
        <v>46063.0</v>
      </c>
      <c r="J67" s="183">
        <v>46065.0</v>
      </c>
      <c r="K67" s="184" t="s">
        <v>57</v>
      </c>
      <c r="L67" s="86" t="str">
        <f t="shared" si="1"/>
        <v>#VALUE!</v>
      </c>
      <c r="M67" s="184">
        <v>900.0</v>
      </c>
      <c r="N67" s="185" t="s">
        <v>71</v>
      </c>
      <c r="O67" s="185" t="s">
        <v>91</v>
      </c>
      <c r="P67" s="185" t="s">
        <v>72</v>
      </c>
      <c r="Q67" s="182">
        <v>2211.0</v>
      </c>
      <c r="R67" s="185" t="s">
        <v>73</v>
      </c>
      <c r="S67" s="185" t="s">
        <v>148</v>
      </c>
      <c r="T67" s="186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</row>
    <row r="68">
      <c r="A68" s="12">
        <v>64.0</v>
      </c>
      <c r="B68" s="160" t="s">
        <v>764</v>
      </c>
      <c r="C68" s="160" t="s">
        <v>765</v>
      </c>
      <c r="D68" s="182" t="s">
        <v>766</v>
      </c>
      <c r="E68" s="182" t="s">
        <v>767</v>
      </c>
      <c r="F68" s="181" t="s">
        <v>768</v>
      </c>
      <c r="G68" s="123">
        <v>32.0</v>
      </c>
      <c r="H68" s="123" t="s">
        <v>39</v>
      </c>
      <c r="I68" s="177">
        <v>46065.0</v>
      </c>
      <c r="J68" s="178"/>
      <c r="K68" s="179">
        <v>390.74</v>
      </c>
      <c r="L68" s="86">
        <f t="shared" si="1"/>
        <v>12</v>
      </c>
      <c r="M68" s="179">
        <f t="shared" ref="M68:M69" si="11">K68*12</f>
        <v>4688.88</v>
      </c>
      <c r="N68" s="137" t="s">
        <v>28</v>
      </c>
      <c r="O68" s="137" t="s">
        <v>29</v>
      </c>
      <c r="P68" s="137" t="s">
        <v>40</v>
      </c>
      <c r="Q68" s="104"/>
      <c r="R68" s="137" t="s">
        <v>233</v>
      </c>
      <c r="S68" s="137" t="s">
        <v>129</v>
      </c>
      <c r="T68" s="178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  <c r="AJ68" s="187"/>
    </row>
    <row r="69">
      <c r="A69" s="12">
        <v>65.0</v>
      </c>
      <c r="B69" s="160" t="s">
        <v>769</v>
      </c>
      <c r="C69" s="103" t="s">
        <v>770</v>
      </c>
      <c r="D69" s="182" t="s">
        <v>771</v>
      </c>
      <c r="E69" s="182" t="s">
        <v>772</v>
      </c>
      <c r="F69" s="103" t="s">
        <v>773</v>
      </c>
      <c r="G69" s="123">
        <v>2.0</v>
      </c>
      <c r="H69" s="123" t="s">
        <v>39</v>
      </c>
      <c r="I69" s="177">
        <v>46064.0</v>
      </c>
      <c r="J69" s="177">
        <v>46066.0</v>
      </c>
      <c r="K69" s="179">
        <v>109.15</v>
      </c>
      <c r="L69" s="86">
        <f t="shared" si="1"/>
        <v>12</v>
      </c>
      <c r="M69" s="180">
        <f t="shared" si="11"/>
        <v>1309.8</v>
      </c>
      <c r="N69" s="137" t="s">
        <v>71</v>
      </c>
      <c r="O69" s="137" t="s">
        <v>29</v>
      </c>
      <c r="P69" s="137" t="s">
        <v>72</v>
      </c>
      <c r="Q69" s="103">
        <v>2208.0</v>
      </c>
      <c r="R69" s="137" t="s">
        <v>233</v>
      </c>
      <c r="S69" s="137" t="s">
        <v>129</v>
      </c>
      <c r="T69" s="188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12">
        <v>66.0</v>
      </c>
      <c r="B70" s="86" t="s">
        <v>774</v>
      </c>
      <c r="C70" s="86" t="s">
        <v>775</v>
      </c>
      <c r="D70" s="86" t="s">
        <v>776</v>
      </c>
      <c r="E70" s="86" t="s">
        <v>777</v>
      </c>
      <c r="F70" s="86" t="s">
        <v>778</v>
      </c>
      <c r="G70" s="86" t="s">
        <v>779</v>
      </c>
      <c r="H70" s="86" t="s">
        <v>780</v>
      </c>
      <c r="I70" s="108">
        <v>46064.0</v>
      </c>
      <c r="J70" s="88"/>
      <c r="K70" s="89" t="s">
        <v>57</v>
      </c>
      <c r="L70" s="86" t="str">
        <f t="shared" si="1"/>
        <v>#VALUE!</v>
      </c>
      <c r="M70" s="89">
        <v>11444.4</v>
      </c>
      <c r="N70" s="120" t="s">
        <v>58</v>
      </c>
      <c r="O70" s="86" t="s">
        <v>29</v>
      </c>
      <c r="P70" s="86" t="s">
        <v>40</v>
      </c>
      <c r="Q70" s="91"/>
      <c r="R70" s="86" t="s">
        <v>73</v>
      </c>
      <c r="S70" s="86" t="s">
        <v>49</v>
      </c>
      <c r="T70" s="86" t="s">
        <v>781</v>
      </c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</row>
    <row r="71">
      <c r="A71" s="12">
        <v>67.0</v>
      </c>
      <c r="B71" s="189" t="s">
        <v>782</v>
      </c>
      <c r="C71" s="86" t="s">
        <v>783</v>
      </c>
      <c r="D71" s="86" t="s">
        <v>784</v>
      </c>
      <c r="E71" s="86" t="s">
        <v>785</v>
      </c>
      <c r="F71" s="86" t="s">
        <v>786</v>
      </c>
      <c r="G71" s="86">
        <v>4.0</v>
      </c>
      <c r="H71" s="86" t="s">
        <v>787</v>
      </c>
      <c r="I71" s="108">
        <v>46063.0</v>
      </c>
      <c r="J71" s="108">
        <v>46064.0</v>
      </c>
      <c r="K71" s="89" t="s">
        <v>57</v>
      </c>
      <c r="L71" s="86" t="str">
        <f t="shared" si="1"/>
        <v>#VALUE!</v>
      </c>
      <c r="M71" s="89">
        <v>700.0</v>
      </c>
      <c r="N71" s="86" t="s">
        <v>71</v>
      </c>
      <c r="O71" s="86" t="s">
        <v>91</v>
      </c>
      <c r="P71" s="86" t="s">
        <v>72</v>
      </c>
      <c r="Q71" s="86">
        <v>2183.0</v>
      </c>
      <c r="R71" s="86" t="s">
        <v>73</v>
      </c>
      <c r="S71" s="86" t="s">
        <v>49</v>
      </c>
      <c r="T71" s="133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</row>
    <row r="72">
      <c r="A72" s="12">
        <v>68.0</v>
      </c>
      <c r="B72" s="106" t="s">
        <v>788</v>
      </c>
      <c r="C72" s="106" t="s">
        <v>789</v>
      </c>
      <c r="D72" s="106" t="s">
        <v>790</v>
      </c>
      <c r="E72" s="106" t="s">
        <v>791</v>
      </c>
      <c r="F72" s="106" t="s">
        <v>792</v>
      </c>
      <c r="G72" s="106">
        <v>1.0</v>
      </c>
      <c r="H72" s="106" t="s">
        <v>39</v>
      </c>
      <c r="I72" s="108">
        <v>46064.0</v>
      </c>
      <c r="J72" s="91"/>
      <c r="K72" s="89">
        <v>115.5</v>
      </c>
      <c r="L72" s="86">
        <f t="shared" si="1"/>
        <v>12</v>
      </c>
      <c r="M72" s="89">
        <f>K72*12</f>
        <v>1386</v>
      </c>
      <c r="N72" s="86" t="s">
        <v>58</v>
      </c>
      <c r="O72" s="106" t="s">
        <v>29</v>
      </c>
      <c r="P72" s="86" t="s">
        <v>40</v>
      </c>
      <c r="Q72" s="91"/>
      <c r="R72" s="86" t="s">
        <v>30</v>
      </c>
      <c r="S72" s="86" t="s">
        <v>110</v>
      </c>
      <c r="T72" s="91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12">
        <v>69.0</v>
      </c>
      <c r="B73" s="86" t="s">
        <v>793</v>
      </c>
      <c r="C73" s="86" t="s">
        <v>794</v>
      </c>
      <c r="D73" s="86" t="s">
        <v>795</v>
      </c>
      <c r="E73" s="86" t="s">
        <v>796</v>
      </c>
      <c r="F73" s="86" t="s">
        <v>797</v>
      </c>
      <c r="G73" s="86">
        <v>40.0</v>
      </c>
      <c r="H73" s="86" t="s">
        <v>798</v>
      </c>
      <c r="I73" s="108">
        <v>46064.0</v>
      </c>
      <c r="J73" s="88"/>
      <c r="K73" s="89" t="s">
        <v>57</v>
      </c>
      <c r="L73" s="86" t="str">
        <f t="shared" si="1"/>
        <v>#VALUE!</v>
      </c>
      <c r="M73" s="89">
        <v>3100.0</v>
      </c>
      <c r="N73" s="86" t="s">
        <v>28</v>
      </c>
      <c r="O73" s="86" t="s">
        <v>29</v>
      </c>
      <c r="P73" s="86" t="s">
        <v>40</v>
      </c>
      <c r="Q73" s="91"/>
      <c r="R73" s="86" t="s">
        <v>73</v>
      </c>
      <c r="S73" s="86" t="s">
        <v>49</v>
      </c>
      <c r="T73" s="91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</row>
    <row r="74">
      <c r="A74" s="12">
        <v>70.0</v>
      </c>
      <c r="B74" s="86" t="s">
        <v>799</v>
      </c>
      <c r="C74" s="86" t="s">
        <v>800</v>
      </c>
      <c r="D74" s="86" t="s">
        <v>801</v>
      </c>
      <c r="E74" s="86" t="s">
        <v>802</v>
      </c>
      <c r="F74" s="86" t="s">
        <v>803</v>
      </c>
      <c r="G74" s="86">
        <v>54.0</v>
      </c>
      <c r="H74" s="86" t="s">
        <v>804</v>
      </c>
      <c r="I74" s="87">
        <v>46057.0</v>
      </c>
      <c r="J74" s="87">
        <v>46064.0</v>
      </c>
      <c r="K74" s="89" t="s">
        <v>57</v>
      </c>
      <c r="L74" s="86" t="str">
        <f t="shared" si="1"/>
        <v>#VALUE!</v>
      </c>
      <c r="M74" s="89">
        <v>2983.36</v>
      </c>
      <c r="N74" s="86" t="s">
        <v>71</v>
      </c>
      <c r="O74" s="86" t="s">
        <v>29</v>
      </c>
      <c r="P74" s="86" t="s">
        <v>72</v>
      </c>
      <c r="Q74" s="106">
        <v>2190.0</v>
      </c>
      <c r="R74" s="86" t="s">
        <v>73</v>
      </c>
      <c r="S74" s="86" t="s">
        <v>31</v>
      </c>
      <c r="T74" s="133" t="s">
        <v>805</v>
      </c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</row>
    <row r="75">
      <c r="A75" s="12">
        <v>71.0</v>
      </c>
      <c r="B75" s="86" t="s">
        <v>806</v>
      </c>
      <c r="C75" s="86" t="s">
        <v>807</v>
      </c>
      <c r="D75" s="86" t="s">
        <v>801</v>
      </c>
      <c r="E75" s="86" t="s">
        <v>802</v>
      </c>
      <c r="F75" s="86" t="s">
        <v>803</v>
      </c>
      <c r="G75" s="86">
        <v>15.0</v>
      </c>
      <c r="H75" s="86" t="s">
        <v>804</v>
      </c>
      <c r="I75" s="87">
        <v>46057.0</v>
      </c>
      <c r="J75" s="87">
        <v>46064.0</v>
      </c>
      <c r="K75" s="89" t="s">
        <v>57</v>
      </c>
      <c r="L75" s="86" t="str">
        <f t="shared" si="1"/>
        <v>#VALUE!</v>
      </c>
      <c r="M75" s="89">
        <v>1303.12</v>
      </c>
      <c r="N75" s="86" t="s">
        <v>71</v>
      </c>
      <c r="O75" s="86" t="s">
        <v>29</v>
      </c>
      <c r="P75" s="86" t="s">
        <v>72</v>
      </c>
      <c r="Q75" s="86">
        <v>2191.0</v>
      </c>
      <c r="R75" s="86" t="s">
        <v>73</v>
      </c>
      <c r="S75" s="86" t="s">
        <v>31</v>
      </c>
      <c r="T75" s="116" t="s">
        <v>805</v>
      </c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</row>
    <row r="76">
      <c r="A76" s="12">
        <v>72.0</v>
      </c>
      <c r="B76" s="86" t="s">
        <v>808</v>
      </c>
      <c r="C76" s="89" t="s">
        <v>809</v>
      </c>
      <c r="D76" s="86" t="s">
        <v>810</v>
      </c>
      <c r="E76" s="86" t="s">
        <v>811</v>
      </c>
      <c r="F76" s="86" t="s">
        <v>812</v>
      </c>
      <c r="G76" s="86">
        <v>6.0</v>
      </c>
      <c r="H76" s="86" t="s">
        <v>813</v>
      </c>
      <c r="I76" s="87">
        <v>46059.0</v>
      </c>
      <c r="J76" s="87">
        <v>46064.0</v>
      </c>
      <c r="K76" s="89" t="s">
        <v>57</v>
      </c>
      <c r="L76" s="86" t="str">
        <f t="shared" si="1"/>
        <v>#VALUE!</v>
      </c>
      <c r="M76" s="89">
        <v>1600.0</v>
      </c>
      <c r="N76" s="86" t="s">
        <v>71</v>
      </c>
      <c r="O76" s="86" t="s">
        <v>29</v>
      </c>
      <c r="P76" s="86" t="s">
        <v>72</v>
      </c>
      <c r="Q76" s="90"/>
      <c r="R76" s="86" t="s">
        <v>73</v>
      </c>
      <c r="S76" s="86" t="s">
        <v>31</v>
      </c>
      <c r="T76" s="116" t="s">
        <v>814</v>
      </c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</row>
    <row r="77">
      <c r="A77" s="12">
        <v>73.0</v>
      </c>
      <c r="B77" s="86" t="s">
        <v>815</v>
      </c>
      <c r="C77" s="176" t="s">
        <v>816</v>
      </c>
      <c r="D77" s="86" t="s">
        <v>817</v>
      </c>
      <c r="E77" s="176" t="s">
        <v>818</v>
      </c>
      <c r="F77" s="176" t="s">
        <v>819</v>
      </c>
      <c r="G77" s="86">
        <v>6.0</v>
      </c>
      <c r="H77" s="86" t="s">
        <v>39</v>
      </c>
      <c r="I77" s="87">
        <v>46063.0</v>
      </c>
      <c r="J77" s="88"/>
      <c r="K77" s="150"/>
      <c r="L77" s="86" t="str">
        <f t="shared" si="1"/>
        <v>#DIV/0!</v>
      </c>
      <c r="M77" s="89">
        <v>2039.76</v>
      </c>
      <c r="N77" s="86" t="s">
        <v>28</v>
      </c>
      <c r="O77" s="86" t="s">
        <v>29</v>
      </c>
      <c r="P77" s="86" t="s">
        <v>40</v>
      </c>
      <c r="Q77" s="91"/>
      <c r="R77" s="86" t="s">
        <v>73</v>
      </c>
      <c r="S77" s="86" t="s">
        <v>31</v>
      </c>
      <c r="T77" s="86" t="s">
        <v>820</v>
      </c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</row>
    <row r="78">
      <c r="A78" s="12">
        <v>74.0</v>
      </c>
      <c r="B78" s="86" t="s">
        <v>378</v>
      </c>
      <c r="C78" s="86" t="s">
        <v>379</v>
      </c>
      <c r="D78" s="86" t="s">
        <v>380</v>
      </c>
      <c r="E78" s="86" t="s">
        <v>381</v>
      </c>
      <c r="F78" s="86" t="s">
        <v>382</v>
      </c>
      <c r="G78" s="86">
        <v>5.0</v>
      </c>
      <c r="H78" s="86" t="s">
        <v>65</v>
      </c>
      <c r="I78" s="87">
        <v>46044.0</v>
      </c>
      <c r="J78" s="87">
        <v>46066.0</v>
      </c>
      <c r="K78" s="125">
        <v>132.21</v>
      </c>
      <c r="L78" s="86">
        <f t="shared" si="1"/>
        <v>12</v>
      </c>
      <c r="M78" s="180">
        <f t="shared" ref="M78:M79" si="12">K78*12</f>
        <v>1586.52</v>
      </c>
      <c r="N78" s="86" t="s">
        <v>71</v>
      </c>
      <c r="O78" s="86" t="s">
        <v>29</v>
      </c>
      <c r="P78" s="86" t="s">
        <v>72</v>
      </c>
      <c r="Q78" s="106">
        <v>2219.0</v>
      </c>
      <c r="R78" s="86" t="s">
        <v>233</v>
      </c>
      <c r="S78" s="86" t="s">
        <v>31</v>
      </c>
      <c r="T78" s="129" t="s">
        <v>821</v>
      </c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</row>
    <row r="79">
      <c r="A79" s="12">
        <v>75.0</v>
      </c>
      <c r="B79" s="190" t="s">
        <v>822</v>
      </c>
      <c r="C79" s="136" t="s">
        <v>823</v>
      </c>
      <c r="D79" s="123" t="s">
        <v>824</v>
      </c>
      <c r="E79" s="103" t="s">
        <v>825</v>
      </c>
      <c r="F79" s="178"/>
      <c r="G79" s="123">
        <v>1.0</v>
      </c>
      <c r="H79" s="86" t="s">
        <v>39</v>
      </c>
      <c r="I79" s="174">
        <v>46065.0</v>
      </c>
      <c r="J79" s="178"/>
      <c r="K79" s="179">
        <v>105.23</v>
      </c>
      <c r="L79" s="86">
        <f t="shared" si="1"/>
        <v>12</v>
      </c>
      <c r="M79" s="180">
        <f t="shared" si="12"/>
        <v>1262.76</v>
      </c>
      <c r="N79" s="137" t="s">
        <v>58</v>
      </c>
      <c r="O79" s="137" t="s">
        <v>29</v>
      </c>
      <c r="P79" s="171"/>
      <c r="Q79" s="104"/>
      <c r="R79" s="137" t="s">
        <v>41</v>
      </c>
      <c r="S79" s="137" t="s">
        <v>129</v>
      </c>
      <c r="T79" s="123" t="s">
        <v>826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12">
        <v>76.0</v>
      </c>
      <c r="B80" s="123" t="s">
        <v>827</v>
      </c>
      <c r="C80" s="103" t="s">
        <v>828</v>
      </c>
      <c r="D80" s="123" t="s">
        <v>829</v>
      </c>
      <c r="E80" s="123" t="s">
        <v>830</v>
      </c>
      <c r="F80" s="103" t="s">
        <v>831</v>
      </c>
      <c r="G80" s="123">
        <v>1.0</v>
      </c>
      <c r="H80" s="123" t="s">
        <v>733</v>
      </c>
      <c r="I80" s="177">
        <v>46065.0</v>
      </c>
      <c r="J80" s="177">
        <v>46065.0</v>
      </c>
      <c r="K80" s="179" t="s">
        <v>26</v>
      </c>
      <c r="L80" s="86" t="str">
        <f t="shared" si="1"/>
        <v>#VALUE!</v>
      </c>
      <c r="M80" s="179">
        <v>50.0</v>
      </c>
      <c r="N80" s="137" t="s">
        <v>71</v>
      </c>
      <c r="O80" s="137" t="s">
        <v>29</v>
      </c>
      <c r="P80" s="137" t="s">
        <v>72</v>
      </c>
      <c r="Q80" s="103" t="s">
        <v>26</v>
      </c>
      <c r="R80" s="137" t="s">
        <v>233</v>
      </c>
      <c r="S80" s="137" t="s">
        <v>129</v>
      </c>
      <c r="T80" s="188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12">
        <v>77.0</v>
      </c>
      <c r="B81" s="97" t="s">
        <v>832</v>
      </c>
      <c r="C81" s="97" t="s">
        <v>833</v>
      </c>
      <c r="D81" s="97" t="s">
        <v>834</v>
      </c>
      <c r="E81" s="97" t="s">
        <v>835</v>
      </c>
      <c r="F81" s="97" t="s">
        <v>836</v>
      </c>
      <c r="G81" s="123">
        <v>1.0</v>
      </c>
      <c r="H81" s="86" t="s">
        <v>39</v>
      </c>
      <c r="I81" s="191">
        <v>46066.0</v>
      </c>
      <c r="J81" s="192"/>
      <c r="K81" s="179">
        <v>105.63</v>
      </c>
      <c r="L81" s="86">
        <f t="shared" si="1"/>
        <v>12</v>
      </c>
      <c r="M81" s="180">
        <f t="shared" ref="M81:M82" si="13">K81*12</f>
        <v>1267.56</v>
      </c>
      <c r="N81" s="137" t="s">
        <v>58</v>
      </c>
      <c r="O81" s="137" t="s">
        <v>29</v>
      </c>
      <c r="P81" s="137" t="s">
        <v>40</v>
      </c>
      <c r="Q81" s="192"/>
      <c r="R81" s="137" t="s">
        <v>233</v>
      </c>
      <c r="S81" s="137" t="s">
        <v>129</v>
      </c>
      <c r="T81" s="123" t="s">
        <v>837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12">
        <v>78.0</v>
      </c>
      <c r="B82" s="97" t="s">
        <v>838</v>
      </c>
      <c r="C82" s="103" t="s">
        <v>839</v>
      </c>
      <c r="D82" s="97" t="s">
        <v>840</v>
      </c>
      <c r="E82" s="97" t="s">
        <v>841</v>
      </c>
      <c r="F82" s="103" t="s">
        <v>842</v>
      </c>
      <c r="G82" s="123">
        <v>4.0</v>
      </c>
      <c r="H82" s="86" t="s">
        <v>39</v>
      </c>
      <c r="I82" s="191">
        <v>46066.0</v>
      </c>
      <c r="J82" s="177">
        <v>46067.0</v>
      </c>
      <c r="K82" s="179">
        <v>139.41</v>
      </c>
      <c r="L82" s="86">
        <f t="shared" si="1"/>
        <v>12</v>
      </c>
      <c r="M82" s="180">
        <f t="shared" si="13"/>
        <v>1672.92</v>
      </c>
      <c r="N82" s="137" t="s">
        <v>71</v>
      </c>
      <c r="O82" s="137" t="s">
        <v>29</v>
      </c>
      <c r="P82" s="137" t="s">
        <v>72</v>
      </c>
      <c r="Q82" s="193">
        <v>2278.0</v>
      </c>
      <c r="R82" s="137" t="s">
        <v>233</v>
      </c>
      <c r="S82" s="137" t="s">
        <v>129</v>
      </c>
      <c r="T82" s="188"/>
    </row>
    <row r="83">
      <c r="A83" s="12">
        <v>79.0</v>
      </c>
      <c r="B83" s="97" t="s">
        <v>843</v>
      </c>
      <c r="C83" s="97" t="s">
        <v>844</v>
      </c>
      <c r="D83" s="97" t="s">
        <v>845</v>
      </c>
      <c r="E83" s="97" t="s">
        <v>846</v>
      </c>
      <c r="F83" s="97" t="s">
        <v>847</v>
      </c>
      <c r="G83" s="97">
        <v>29.0</v>
      </c>
      <c r="H83" s="97" t="s">
        <v>65</v>
      </c>
      <c r="I83" s="191">
        <v>45690.0</v>
      </c>
      <c r="J83" s="192"/>
      <c r="K83" s="102">
        <v>414.7</v>
      </c>
      <c r="L83" s="86">
        <f t="shared" si="1"/>
        <v>12</v>
      </c>
      <c r="M83" s="102">
        <v>4976.4</v>
      </c>
      <c r="N83" s="137" t="s">
        <v>58</v>
      </c>
      <c r="O83" s="137" t="s">
        <v>29</v>
      </c>
      <c r="P83" s="171"/>
      <c r="Q83" s="192"/>
      <c r="R83" s="137" t="s">
        <v>98</v>
      </c>
      <c r="S83" s="137" t="s">
        <v>99</v>
      </c>
      <c r="T83" s="192"/>
    </row>
    <row r="84">
      <c r="A84" s="12">
        <v>80.0</v>
      </c>
      <c r="B84" s="97" t="s">
        <v>93</v>
      </c>
      <c r="C84" s="97" t="s">
        <v>94</v>
      </c>
      <c r="D84" s="97" t="s">
        <v>95</v>
      </c>
      <c r="E84" s="97" t="s">
        <v>96</v>
      </c>
      <c r="F84" s="97" t="s">
        <v>97</v>
      </c>
      <c r="G84" s="194">
        <v>51.0</v>
      </c>
      <c r="H84" s="97" t="s">
        <v>39</v>
      </c>
      <c r="I84" s="124">
        <v>45987.0</v>
      </c>
      <c r="J84" s="195"/>
      <c r="K84" s="179">
        <v>926.0</v>
      </c>
      <c r="L84" s="86">
        <f t="shared" si="1"/>
        <v>24</v>
      </c>
      <c r="M84" s="179">
        <f>K84*24</f>
        <v>22224</v>
      </c>
      <c r="N84" s="103" t="s">
        <v>58</v>
      </c>
      <c r="O84" s="103" t="s">
        <v>29</v>
      </c>
      <c r="P84" s="103"/>
      <c r="Q84" s="104"/>
      <c r="R84" s="103" t="s">
        <v>98</v>
      </c>
      <c r="S84" s="103" t="s">
        <v>99</v>
      </c>
      <c r="T84" s="192"/>
    </row>
    <row r="85">
      <c r="A85" s="12">
        <v>81.0</v>
      </c>
      <c r="B85" s="97" t="s">
        <v>848</v>
      </c>
      <c r="C85" s="97" t="s">
        <v>849</v>
      </c>
      <c r="D85" s="97" t="s">
        <v>850</v>
      </c>
      <c r="E85" s="97" t="s">
        <v>851</v>
      </c>
      <c r="F85" s="97" t="s">
        <v>852</v>
      </c>
      <c r="G85" s="123">
        <v>38.0</v>
      </c>
      <c r="H85" s="97" t="s">
        <v>39</v>
      </c>
      <c r="I85" s="177">
        <v>45698.0</v>
      </c>
      <c r="J85" s="177">
        <v>46079.0</v>
      </c>
      <c r="K85" s="179">
        <v>938.98</v>
      </c>
      <c r="L85" s="86">
        <f t="shared" si="1"/>
        <v>12</v>
      </c>
      <c r="M85" s="180">
        <f>K85*12</f>
        <v>11267.76</v>
      </c>
      <c r="N85" s="137" t="s">
        <v>71</v>
      </c>
      <c r="O85" s="137" t="s">
        <v>29</v>
      </c>
      <c r="P85" s="137" t="s">
        <v>72</v>
      </c>
      <c r="Q85" s="104"/>
      <c r="R85" s="137" t="s">
        <v>98</v>
      </c>
      <c r="S85" s="137" t="s">
        <v>99</v>
      </c>
      <c r="T85" s="178"/>
    </row>
    <row r="86">
      <c r="A86" s="12">
        <v>82.0</v>
      </c>
      <c r="B86" s="97" t="s">
        <v>853</v>
      </c>
      <c r="C86" s="81"/>
      <c r="D86" s="97" t="s">
        <v>854</v>
      </c>
      <c r="E86" s="97" t="s">
        <v>855</v>
      </c>
      <c r="F86" s="97" t="s">
        <v>856</v>
      </c>
      <c r="G86" s="123">
        <v>2318.0</v>
      </c>
      <c r="H86" s="97" t="s">
        <v>857</v>
      </c>
      <c r="I86" s="177">
        <v>45677.0</v>
      </c>
      <c r="J86" s="178"/>
      <c r="K86" s="180"/>
      <c r="L86" s="86" t="str">
        <f t="shared" si="1"/>
        <v>#DIV/0!</v>
      </c>
      <c r="M86" s="179">
        <v>370880.0</v>
      </c>
      <c r="N86" s="137" t="s">
        <v>58</v>
      </c>
      <c r="O86" s="137" t="s">
        <v>29</v>
      </c>
      <c r="P86" s="171"/>
      <c r="Q86" s="104"/>
      <c r="R86" s="137" t="s">
        <v>73</v>
      </c>
      <c r="S86" s="137" t="s">
        <v>99</v>
      </c>
      <c r="T86" s="178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12">
        <v>83.0</v>
      </c>
      <c r="B87" s="86" t="s">
        <v>858</v>
      </c>
      <c r="C87" s="86" t="s">
        <v>859</v>
      </c>
      <c r="D87" s="86" t="s">
        <v>438</v>
      </c>
      <c r="E87" s="86" t="s">
        <v>439</v>
      </c>
      <c r="F87" s="86" t="s">
        <v>440</v>
      </c>
      <c r="G87" s="86">
        <v>12.0</v>
      </c>
      <c r="H87" s="86" t="s">
        <v>860</v>
      </c>
      <c r="I87" s="87">
        <v>46031.0</v>
      </c>
      <c r="J87" s="87">
        <v>46065.0</v>
      </c>
      <c r="K87" s="89" t="s">
        <v>57</v>
      </c>
      <c r="L87" s="86" t="str">
        <f t="shared" si="1"/>
        <v>#VALUE!</v>
      </c>
      <c r="M87" s="89">
        <v>1200.0</v>
      </c>
      <c r="N87" s="86" t="s">
        <v>71</v>
      </c>
      <c r="O87" s="86" t="s">
        <v>29</v>
      </c>
      <c r="P87" s="86" t="s">
        <v>72</v>
      </c>
      <c r="Q87" s="86">
        <v>2232.0</v>
      </c>
      <c r="R87" s="86" t="s">
        <v>73</v>
      </c>
      <c r="S87" s="86" t="s">
        <v>31</v>
      </c>
      <c r="T87" s="129" t="s">
        <v>861</v>
      </c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</row>
    <row r="88">
      <c r="A88" s="12">
        <v>84.0</v>
      </c>
      <c r="B88" s="86" t="s">
        <v>862</v>
      </c>
      <c r="C88" s="86" t="s">
        <v>863</v>
      </c>
      <c r="D88" s="86" t="s">
        <v>864</v>
      </c>
      <c r="E88" s="86" t="s">
        <v>865</v>
      </c>
      <c r="F88" s="86" t="s">
        <v>866</v>
      </c>
      <c r="G88" s="86">
        <v>96.0</v>
      </c>
      <c r="H88" s="86" t="s">
        <v>867</v>
      </c>
      <c r="I88" s="87">
        <v>46071.0</v>
      </c>
      <c r="J88" s="88"/>
      <c r="K88" s="150"/>
      <c r="L88" s="86" t="str">
        <f t="shared" si="1"/>
        <v>#DIV/0!</v>
      </c>
      <c r="M88" s="89">
        <v>5996.0</v>
      </c>
      <c r="N88" s="86" t="s">
        <v>58</v>
      </c>
      <c r="O88" s="86" t="s">
        <v>29</v>
      </c>
      <c r="P88" s="86" t="s">
        <v>40</v>
      </c>
      <c r="Q88" s="91"/>
      <c r="R88" s="86" t="s">
        <v>73</v>
      </c>
      <c r="S88" s="86" t="s">
        <v>31</v>
      </c>
      <c r="T88" s="106" t="s">
        <v>868</v>
      </c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</row>
    <row r="89">
      <c r="A89" s="12">
        <v>85.0</v>
      </c>
      <c r="B89" s="136" t="s">
        <v>869</v>
      </c>
      <c r="C89" s="136" t="s">
        <v>870</v>
      </c>
      <c r="D89" s="103" t="s">
        <v>871</v>
      </c>
      <c r="E89" s="103" t="s">
        <v>872</v>
      </c>
      <c r="F89" s="196" t="s">
        <v>873</v>
      </c>
      <c r="G89" s="103">
        <v>3.0</v>
      </c>
      <c r="H89" s="103" t="s">
        <v>65</v>
      </c>
      <c r="I89" s="174">
        <v>46071.0</v>
      </c>
      <c r="J89" s="174">
        <v>46071.0</v>
      </c>
      <c r="K89" s="197">
        <v>115.85</v>
      </c>
      <c r="L89" s="86">
        <f t="shared" si="1"/>
        <v>12</v>
      </c>
      <c r="M89" s="175">
        <f>K89*12</f>
        <v>1390.2</v>
      </c>
      <c r="N89" s="137" t="s">
        <v>71</v>
      </c>
      <c r="O89" s="137" t="s">
        <v>29</v>
      </c>
      <c r="P89" s="137" t="s">
        <v>72</v>
      </c>
      <c r="Q89" s="103">
        <v>2239.0</v>
      </c>
      <c r="R89" s="137" t="s">
        <v>233</v>
      </c>
      <c r="S89" s="137" t="s">
        <v>148</v>
      </c>
      <c r="T89" s="198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12">
        <v>86.0</v>
      </c>
      <c r="B90" s="106" t="s">
        <v>874</v>
      </c>
      <c r="C90" s="106" t="s">
        <v>875</v>
      </c>
      <c r="D90" s="106" t="s">
        <v>876</v>
      </c>
      <c r="E90" s="106" t="s">
        <v>877</v>
      </c>
      <c r="F90" s="106" t="s">
        <v>878</v>
      </c>
      <c r="G90" s="106">
        <v>5.0</v>
      </c>
      <c r="H90" s="106" t="s">
        <v>39</v>
      </c>
      <c r="I90" s="108">
        <v>46064.0</v>
      </c>
      <c r="J90" s="108">
        <v>46072.0</v>
      </c>
      <c r="K90" s="89" t="s">
        <v>211</v>
      </c>
      <c r="L90" s="86" t="str">
        <f t="shared" si="1"/>
        <v>#VALUE!</v>
      </c>
      <c r="M90" s="89">
        <v>1650.0</v>
      </c>
      <c r="N90" s="86" t="s">
        <v>71</v>
      </c>
      <c r="O90" s="106" t="s">
        <v>29</v>
      </c>
      <c r="P90" s="86" t="s">
        <v>72</v>
      </c>
      <c r="Q90" s="106">
        <v>2251.0</v>
      </c>
      <c r="R90" s="86" t="s">
        <v>30</v>
      </c>
      <c r="S90" s="86" t="s">
        <v>110</v>
      </c>
      <c r="T90" s="133" t="s">
        <v>193</v>
      </c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</row>
    <row r="91">
      <c r="A91" s="12">
        <v>87.0</v>
      </c>
      <c r="B91" s="189" t="s">
        <v>879</v>
      </c>
      <c r="C91" s="199" t="s">
        <v>880</v>
      </c>
      <c r="D91" s="86" t="s">
        <v>881</v>
      </c>
      <c r="E91" s="86" t="s">
        <v>882</v>
      </c>
      <c r="F91" s="86" t="s">
        <v>883</v>
      </c>
      <c r="G91" s="86">
        <v>16.0</v>
      </c>
      <c r="H91" s="86" t="s">
        <v>884</v>
      </c>
      <c r="I91" s="108">
        <v>46072.0</v>
      </c>
      <c r="J91" s="87">
        <v>46076.0</v>
      </c>
      <c r="K91" s="89" t="s">
        <v>57</v>
      </c>
      <c r="L91" s="86" t="str">
        <f t="shared" si="1"/>
        <v>#VALUE!</v>
      </c>
      <c r="M91" s="125">
        <v>1300.0</v>
      </c>
      <c r="N91" s="86" t="s">
        <v>71</v>
      </c>
      <c r="O91" s="86" t="s">
        <v>29</v>
      </c>
      <c r="P91" s="86" t="s">
        <v>72</v>
      </c>
      <c r="Q91" s="106">
        <v>2287.0</v>
      </c>
      <c r="R91" s="86" t="s">
        <v>73</v>
      </c>
      <c r="S91" s="86" t="s">
        <v>31</v>
      </c>
      <c r="T91" s="129" t="s">
        <v>885</v>
      </c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</row>
    <row r="92">
      <c r="A92" s="12">
        <v>88.0</v>
      </c>
      <c r="B92" s="86" t="s">
        <v>886</v>
      </c>
      <c r="C92" s="86" t="s">
        <v>887</v>
      </c>
      <c r="D92" s="86" t="s">
        <v>888</v>
      </c>
      <c r="E92" s="86" t="s">
        <v>889</v>
      </c>
      <c r="F92" s="86" t="s">
        <v>890</v>
      </c>
      <c r="G92" s="86">
        <v>8.0</v>
      </c>
      <c r="H92" s="86" t="s">
        <v>39</v>
      </c>
      <c r="I92" s="87">
        <v>46057.0</v>
      </c>
      <c r="J92" s="91"/>
      <c r="K92" s="89">
        <v>190.0</v>
      </c>
      <c r="L92" s="86">
        <f t="shared" si="1"/>
        <v>12</v>
      </c>
      <c r="M92" s="89">
        <v>2280.0</v>
      </c>
      <c r="N92" s="86" t="s">
        <v>58</v>
      </c>
      <c r="O92" s="86" t="s">
        <v>29</v>
      </c>
      <c r="P92" s="86" t="s">
        <v>40</v>
      </c>
      <c r="Q92" s="91"/>
      <c r="R92" s="86" t="s">
        <v>73</v>
      </c>
      <c r="S92" s="86" t="s">
        <v>31</v>
      </c>
      <c r="T92" s="86" t="s">
        <v>891</v>
      </c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</row>
    <row r="93">
      <c r="A93" s="12">
        <v>89.0</v>
      </c>
      <c r="B93" s="86" t="s">
        <v>892</v>
      </c>
      <c r="C93" s="86" t="s">
        <v>893</v>
      </c>
      <c r="D93" s="86" t="s">
        <v>892</v>
      </c>
      <c r="E93" s="86" t="s">
        <v>894</v>
      </c>
      <c r="F93" s="86" t="s">
        <v>895</v>
      </c>
      <c r="G93" s="86" t="s">
        <v>399</v>
      </c>
      <c r="H93" s="86" t="s">
        <v>393</v>
      </c>
      <c r="I93" s="87">
        <v>46073.0</v>
      </c>
      <c r="J93" s="87">
        <v>46073.0</v>
      </c>
      <c r="K93" s="89" t="s">
        <v>399</v>
      </c>
      <c r="L93" s="86" t="str">
        <f t="shared" si="1"/>
        <v>#VALUE!</v>
      </c>
      <c r="M93" s="89" t="s">
        <v>399</v>
      </c>
      <c r="N93" s="86" t="s">
        <v>71</v>
      </c>
      <c r="O93" s="86" t="s">
        <v>29</v>
      </c>
      <c r="P93" s="86" t="s">
        <v>72</v>
      </c>
      <c r="Q93" s="91"/>
      <c r="R93" s="86" t="s">
        <v>233</v>
      </c>
      <c r="S93" s="86" t="s">
        <v>31</v>
      </c>
      <c r="T93" s="116" t="s">
        <v>896</v>
      </c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</row>
    <row r="94">
      <c r="A94" s="12">
        <v>90.0</v>
      </c>
      <c r="B94" s="97" t="s">
        <v>897</v>
      </c>
      <c r="C94" s="200" t="s">
        <v>898</v>
      </c>
      <c r="D94" s="200" t="s">
        <v>899</v>
      </c>
      <c r="E94" s="97" t="s">
        <v>900</v>
      </c>
      <c r="F94" s="201" t="s">
        <v>901</v>
      </c>
      <c r="G94" s="123">
        <v>10.0</v>
      </c>
      <c r="H94" s="86" t="s">
        <v>39</v>
      </c>
      <c r="I94" s="177">
        <v>46066.0</v>
      </c>
      <c r="J94" s="178"/>
      <c r="K94" s="179">
        <v>175.5</v>
      </c>
      <c r="L94" s="86">
        <f t="shared" si="1"/>
        <v>12</v>
      </c>
      <c r="M94" s="180">
        <f t="shared" ref="M94:M96" si="14">K94*12</f>
        <v>2106</v>
      </c>
      <c r="N94" s="137" t="s">
        <v>58</v>
      </c>
      <c r="O94" s="137" t="s">
        <v>29</v>
      </c>
      <c r="P94" s="171"/>
      <c r="Q94" s="104"/>
      <c r="R94" s="137" t="s">
        <v>233</v>
      </c>
      <c r="S94" s="137" t="s">
        <v>129</v>
      </c>
      <c r="T94" s="178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12">
        <v>91.0</v>
      </c>
      <c r="B95" s="106" t="s">
        <v>902</v>
      </c>
      <c r="C95" s="106" t="s">
        <v>903</v>
      </c>
      <c r="D95" s="106" t="s">
        <v>904</v>
      </c>
      <c r="E95" s="106" t="s">
        <v>905</v>
      </c>
      <c r="F95" s="106" t="s">
        <v>906</v>
      </c>
      <c r="G95" s="106">
        <v>5.0</v>
      </c>
      <c r="H95" s="106" t="s">
        <v>65</v>
      </c>
      <c r="I95" s="87">
        <v>46071.0</v>
      </c>
      <c r="J95" s="87">
        <v>46072.0</v>
      </c>
      <c r="K95" s="89">
        <v>125.92</v>
      </c>
      <c r="L95" s="86">
        <f t="shared" si="1"/>
        <v>12</v>
      </c>
      <c r="M95" s="89">
        <f t="shared" si="14"/>
        <v>1511.04</v>
      </c>
      <c r="N95" s="86" t="s">
        <v>71</v>
      </c>
      <c r="O95" s="106" t="s">
        <v>29</v>
      </c>
      <c r="P95" s="86" t="s">
        <v>72</v>
      </c>
      <c r="Q95" s="106">
        <v>2240.0</v>
      </c>
      <c r="R95" s="86" t="s">
        <v>233</v>
      </c>
      <c r="S95" s="86" t="s">
        <v>49</v>
      </c>
      <c r="T95" s="133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</row>
    <row r="96">
      <c r="A96" s="12">
        <v>92.0</v>
      </c>
      <c r="B96" s="106" t="s">
        <v>907</v>
      </c>
      <c r="C96" s="106" t="s">
        <v>908</v>
      </c>
      <c r="D96" s="106" t="s">
        <v>909</v>
      </c>
      <c r="E96" s="106" t="s">
        <v>910</v>
      </c>
      <c r="F96" s="106" t="s">
        <v>911</v>
      </c>
      <c r="G96" s="106">
        <v>3.0</v>
      </c>
      <c r="H96" s="106" t="s">
        <v>39</v>
      </c>
      <c r="I96" s="108">
        <v>46062.0</v>
      </c>
      <c r="J96" s="108">
        <v>46062.0</v>
      </c>
      <c r="K96" s="89">
        <v>110.5</v>
      </c>
      <c r="L96" s="86">
        <f t="shared" si="1"/>
        <v>12</v>
      </c>
      <c r="M96" s="89">
        <f t="shared" si="14"/>
        <v>1326</v>
      </c>
      <c r="N96" s="86" t="s">
        <v>71</v>
      </c>
      <c r="O96" s="106" t="s">
        <v>29</v>
      </c>
      <c r="P96" s="86" t="s">
        <v>72</v>
      </c>
      <c r="Q96" s="106">
        <v>2172.0</v>
      </c>
      <c r="R96" s="86" t="s">
        <v>30</v>
      </c>
      <c r="S96" s="202" t="s">
        <v>110</v>
      </c>
      <c r="T96" s="133" t="s">
        <v>193</v>
      </c>
      <c r="U96" s="92"/>
      <c r="V96" s="96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</row>
    <row r="97">
      <c r="A97" s="12">
        <v>93.0</v>
      </c>
      <c r="B97" s="106" t="s">
        <v>912</v>
      </c>
      <c r="C97" s="103" t="s">
        <v>913</v>
      </c>
      <c r="D97" s="120" t="s">
        <v>914</v>
      </c>
      <c r="E97" s="81"/>
      <c r="F97" s="136" t="s">
        <v>915</v>
      </c>
      <c r="G97" s="123">
        <v>3451.0</v>
      </c>
      <c r="H97" s="123" t="s">
        <v>916</v>
      </c>
      <c r="I97" s="177">
        <v>46076.0</v>
      </c>
      <c r="J97" s="178"/>
      <c r="K97" s="179" t="s">
        <v>917</v>
      </c>
      <c r="L97" s="86" t="str">
        <f t="shared" si="1"/>
        <v>#VALUE!</v>
      </c>
      <c r="M97" s="179">
        <v>19480.44</v>
      </c>
      <c r="N97" s="137" t="s">
        <v>71</v>
      </c>
      <c r="O97" s="137" t="s">
        <v>91</v>
      </c>
      <c r="P97" s="137" t="s">
        <v>72</v>
      </c>
      <c r="Q97" s="104"/>
      <c r="R97" s="137" t="s">
        <v>73</v>
      </c>
      <c r="S97" s="137" t="s">
        <v>99</v>
      </c>
      <c r="T97" s="178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12">
        <v>94.0</v>
      </c>
      <c r="B98" s="136" t="s">
        <v>918</v>
      </c>
      <c r="C98" s="136" t="s">
        <v>919</v>
      </c>
      <c r="D98" s="103" t="s">
        <v>920</v>
      </c>
      <c r="E98" s="103" t="s">
        <v>921</v>
      </c>
      <c r="F98" s="203" t="s">
        <v>922</v>
      </c>
      <c r="G98" s="103">
        <v>6.0</v>
      </c>
      <c r="H98" s="103" t="s">
        <v>65</v>
      </c>
      <c r="I98" s="174">
        <v>46072.0</v>
      </c>
      <c r="J98" s="174">
        <v>46076.0</v>
      </c>
      <c r="K98" s="197">
        <v>154.53</v>
      </c>
      <c r="L98" s="86">
        <f t="shared" si="1"/>
        <v>12</v>
      </c>
      <c r="M98" s="175">
        <f>K98*12</f>
        <v>1854.36</v>
      </c>
      <c r="N98" s="137" t="s">
        <v>71</v>
      </c>
      <c r="O98" s="137" t="s">
        <v>29</v>
      </c>
      <c r="P98" s="137" t="s">
        <v>72</v>
      </c>
      <c r="Q98" s="103">
        <v>2282.0</v>
      </c>
      <c r="R98" s="137" t="s">
        <v>41</v>
      </c>
      <c r="S98" s="137" t="s">
        <v>148</v>
      </c>
      <c r="T98" s="198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</row>
    <row r="99">
      <c r="A99" s="12">
        <v>95.0</v>
      </c>
      <c r="B99" s="97" t="s">
        <v>923</v>
      </c>
      <c r="C99" s="103" t="s">
        <v>924</v>
      </c>
      <c r="D99" s="97" t="s">
        <v>925</v>
      </c>
      <c r="E99" s="97" t="s">
        <v>926</v>
      </c>
      <c r="F99" s="103" t="s">
        <v>927</v>
      </c>
      <c r="G99" s="123">
        <v>11.0</v>
      </c>
      <c r="H99" s="103" t="s">
        <v>65</v>
      </c>
      <c r="I99" s="177">
        <v>46076.0</v>
      </c>
      <c r="J99" s="177">
        <v>46076.0</v>
      </c>
      <c r="K99" s="89" t="s">
        <v>211</v>
      </c>
      <c r="L99" s="86" t="str">
        <f t="shared" si="1"/>
        <v>#VALUE!</v>
      </c>
      <c r="M99" s="179">
        <v>2700.0</v>
      </c>
      <c r="N99" s="137" t="s">
        <v>71</v>
      </c>
      <c r="O99" s="137" t="s">
        <v>29</v>
      </c>
      <c r="P99" s="137" t="s">
        <v>72</v>
      </c>
      <c r="Q99" s="104"/>
      <c r="R99" s="137" t="s">
        <v>98</v>
      </c>
      <c r="S99" s="137" t="s">
        <v>99</v>
      </c>
      <c r="T99" s="178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12">
        <v>96.0</v>
      </c>
      <c r="B100" s="97" t="s">
        <v>928</v>
      </c>
      <c r="C100" s="103" t="s">
        <v>929</v>
      </c>
      <c r="D100" s="97" t="s">
        <v>930</v>
      </c>
      <c r="E100" s="204" t="s">
        <v>931</v>
      </c>
      <c r="F100" s="113" t="s">
        <v>932</v>
      </c>
      <c r="G100" s="123">
        <v>2.0</v>
      </c>
      <c r="H100" s="97" t="s">
        <v>65</v>
      </c>
      <c r="I100" s="177">
        <v>46077.0</v>
      </c>
      <c r="J100" s="177">
        <v>46077.0</v>
      </c>
      <c r="K100" s="179">
        <v>123.25</v>
      </c>
      <c r="L100" s="86">
        <f t="shared" si="1"/>
        <v>12</v>
      </c>
      <c r="M100" s="179">
        <f>K100*12</f>
        <v>1479</v>
      </c>
      <c r="N100" s="137" t="s">
        <v>71</v>
      </c>
      <c r="O100" s="137" t="s">
        <v>29</v>
      </c>
      <c r="P100" s="137" t="s">
        <v>72</v>
      </c>
      <c r="Q100" s="104"/>
      <c r="R100" s="137" t="s">
        <v>98</v>
      </c>
      <c r="S100" s="137" t="s">
        <v>99</v>
      </c>
      <c r="T100" s="178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12">
        <v>97.0</v>
      </c>
      <c r="B101" s="106" t="s">
        <v>736</v>
      </c>
      <c r="C101" s="106" t="s">
        <v>933</v>
      </c>
      <c r="D101" s="106" t="s">
        <v>738</v>
      </c>
      <c r="E101" s="106" t="s">
        <v>739</v>
      </c>
      <c r="F101" s="106" t="s">
        <v>740</v>
      </c>
      <c r="G101" s="106">
        <v>33.0</v>
      </c>
      <c r="H101" s="106" t="s">
        <v>741</v>
      </c>
      <c r="I101" s="108">
        <v>46076.0</v>
      </c>
      <c r="J101" s="108">
        <v>46076.0</v>
      </c>
      <c r="K101" s="89" t="s">
        <v>57</v>
      </c>
      <c r="L101" s="86" t="str">
        <f t="shared" si="1"/>
        <v>#VALUE!</v>
      </c>
      <c r="M101" s="89">
        <v>1960.0</v>
      </c>
      <c r="N101" s="86" t="s">
        <v>71</v>
      </c>
      <c r="O101" s="106" t="s">
        <v>91</v>
      </c>
      <c r="P101" s="86" t="s">
        <v>72</v>
      </c>
      <c r="Q101" s="106">
        <v>2283.0</v>
      </c>
      <c r="R101" s="86" t="s">
        <v>73</v>
      </c>
      <c r="S101" s="86" t="s">
        <v>49</v>
      </c>
      <c r="T101" s="133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</row>
    <row r="102">
      <c r="A102" s="12">
        <v>98.0</v>
      </c>
      <c r="B102" s="205" t="s">
        <v>934</v>
      </c>
      <c r="C102" s="106" t="s">
        <v>935</v>
      </c>
      <c r="D102" s="205" t="s">
        <v>936</v>
      </c>
      <c r="E102" s="106" t="s">
        <v>937</v>
      </c>
      <c r="F102" s="106" t="s">
        <v>938</v>
      </c>
      <c r="G102" s="106">
        <v>8.0</v>
      </c>
      <c r="H102" s="106" t="s">
        <v>939</v>
      </c>
      <c r="I102" s="108">
        <v>46076.0</v>
      </c>
      <c r="J102" s="109"/>
      <c r="K102" s="89" t="s">
        <v>57</v>
      </c>
      <c r="L102" s="86" t="str">
        <f t="shared" si="1"/>
        <v>#VALUE!</v>
      </c>
      <c r="M102" s="89">
        <v>1250.0</v>
      </c>
      <c r="N102" s="86" t="s">
        <v>58</v>
      </c>
      <c r="O102" s="120" t="s">
        <v>29</v>
      </c>
      <c r="P102" s="86" t="s">
        <v>40</v>
      </c>
      <c r="Q102" s="91"/>
      <c r="R102" s="86" t="s">
        <v>73</v>
      </c>
      <c r="S102" s="120" t="s">
        <v>49</v>
      </c>
      <c r="T102" s="91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</row>
    <row r="103">
      <c r="A103" s="12">
        <v>99.0</v>
      </c>
      <c r="B103" s="123" t="s">
        <v>940</v>
      </c>
      <c r="C103" s="106">
        <v>2.4670533000149E13</v>
      </c>
      <c r="D103" s="123" t="s">
        <v>941</v>
      </c>
      <c r="E103" s="178"/>
      <c r="F103" s="178"/>
      <c r="G103" s="123">
        <v>5.0</v>
      </c>
      <c r="H103" s="123" t="s">
        <v>942</v>
      </c>
      <c r="I103" s="177">
        <v>46076.0</v>
      </c>
      <c r="J103" s="178"/>
      <c r="K103" s="89" t="s">
        <v>57</v>
      </c>
      <c r="L103" s="86" t="str">
        <f t="shared" si="1"/>
        <v>#VALUE!</v>
      </c>
      <c r="M103" s="179">
        <v>7900.0</v>
      </c>
      <c r="N103" s="137" t="s">
        <v>58</v>
      </c>
      <c r="O103" s="137" t="s">
        <v>29</v>
      </c>
      <c r="P103" s="137" t="s">
        <v>40</v>
      </c>
      <c r="Q103" s="104"/>
      <c r="R103" s="137" t="s">
        <v>233</v>
      </c>
      <c r="S103" s="137" t="s">
        <v>129</v>
      </c>
      <c r="T103" s="178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12">
        <v>100.0</v>
      </c>
      <c r="B104" s="193" t="s">
        <v>943</v>
      </c>
      <c r="C104" s="123" t="s">
        <v>944</v>
      </c>
      <c r="D104" s="123" t="s">
        <v>604</v>
      </c>
      <c r="E104" s="193" t="s">
        <v>945</v>
      </c>
      <c r="F104" s="123" t="s">
        <v>946</v>
      </c>
      <c r="G104" s="123" t="s">
        <v>26</v>
      </c>
      <c r="H104" s="123" t="s">
        <v>711</v>
      </c>
      <c r="I104" s="177">
        <v>45966.0</v>
      </c>
      <c r="J104" s="177">
        <v>46078.0</v>
      </c>
      <c r="K104" s="179" t="s">
        <v>57</v>
      </c>
      <c r="L104" s="86" t="str">
        <f t="shared" si="1"/>
        <v>#VALUE!</v>
      </c>
      <c r="M104" s="179">
        <v>800.0</v>
      </c>
      <c r="N104" s="137" t="s">
        <v>71</v>
      </c>
      <c r="O104" s="137" t="s">
        <v>91</v>
      </c>
      <c r="P104" s="137" t="s">
        <v>72</v>
      </c>
      <c r="Q104" s="103">
        <v>2301.0</v>
      </c>
      <c r="R104" s="137" t="s">
        <v>73</v>
      </c>
      <c r="S104" s="137" t="s">
        <v>148</v>
      </c>
      <c r="T104" s="188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12">
        <v>101.0</v>
      </c>
      <c r="B105" s="106" t="s">
        <v>947</v>
      </c>
      <c r="C105" s="106" t="s">
        <v>948</v>
      </c>
      <c r="D105" s="106" t="s">
        <v>949</v>
      </c>
      <c r="E105" s="86">
        <v>1.1916755362E10</v>
      </c>
      <c r="F105" s="106" t="s">
        <v>950</v>
      </c>
      <c r="G105" s="106">
        <v>5.0</v>
      </c>
      <c r="H105" s="106" t="s">
        <v>39</v>
      </c>
      <c r="I105" s="108">
        <v>46056.0</v>
      </c>
      <c r="J105" s="109"/>
      <c r="K105" s="89">
        <v>125.5</v>
      </c>
      <c r="L105" s="86">
        <f t="shared" si="1"/>
        <v>12</v>
      </c>
      <c r="M105" s="89">
        <f t="shared" ref="M105:M106" si="15">K105*12</f>
        <v>1506</v>
      </c>
      <c r="N105" s="86" t="s">
        <v>28</v>
      </c>
      <c r="O105" s="106" t="s">
        <v>29</v>
      </c>
      <c r="P105" s="86" t="s">
        <v>40</v>
      </c>
      <c r="Q105" s="91"/>
      <c r="R105" s="86" t="s">
        <v>30</v>
      </c>
      <c r="S105" s="202" t="s">
        <v>110</v>
      </c>
      <c r="T105" s="91"/>
      <c r="U105" s="92"/>
      <c r="V105" s="96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</row>
    <row r="106">
      <c r="A106" s="12">
        <v>102.0</v>
      </c>
      <c r="B106" s="106" t="s">
        <v>951</v>
      </c>
      <c r="C106" s="106" t="s">
        <v>952</v>
      </c>
      <c r="D106" s="106" t="s">
        <v>953</v>
      </c>
      <c r="E106" s="86" t="s">
        <v>954</v>
      </c>
      <c r="F106" s="106" t="s">
        <v>955</v>
      </c>
      <c r="G106" s="106">
        <v>10.0</v>
      </c>
      <c r="H106" s="106" t="s">
        <v>39</v>
      </c>
      <c r="I106" s="108">
        <v>46071.0</v>
      </c>
      <c r="J106" s="108">
        <v>46071.0</v>
      </c>
      <c r="K106" s="89">
        <v>170.5</v>
      </c>
      <c r="L106" s="86">
        <f t="shared" si="1"/>
        <v>12</v>
      </c>
      <c r="M106" s="89">
        <f t="shared" si="15"/>
        <v>2046</v>
      </c>
      <c r="N106" s="86" t="s">
        <v>71</v>
      </c>
      <c r="O106" s="106" t="s">
        <v>29</v>
      </c>
      <c r="P106" s="86" t="s">
        <v>72</v>
      </c>
      <c r="Q106" s="106">
        <v>2235.0</v>
      </c>
      <c r="R106" s="86" t="s">
        <v>30</v>
      </c>
      <c r="S106" s="86" t="s">
        <v>110</v>
      </c>
      <c r="T106" s="133" t="s">
        <v>193</v>
      </c>
      <c r="U106" s="92"/>
      <c r="V106" s="96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</row>
    <row r="107">
      <c r="A107" s="12">
        <v>103.0</v>
      </c>
      <c r="B107" s="106" t="s">
        <v>956</v>
      </c>
      <c r="C107" s="106" t="s">
        <v>957</v>
      </c>
      <c r="D107" s="106" t="s">
        <v>958</v>
      </c>
      <c r="E107" s="86">
        <v>5.56181071168E11</v>
      </c>
      <c r="F107" s="173" t="s">
        <v>959</v>
      </c>
      <c r="G107" s="106">
        <v>16.0</v>
      </c>
      <c r="H107" s="106" t="s">
        <v>960</v>
      </c>
      <c r="I107" s="108">
        <v>46072.0</v>
      </c>
      <c r="J107" s="108">
        <v>46074.0</v>
      </c>
      <c r="K107" s="89">
        <v>400.0</v>
      </c>
      <c r="L107" s="86">
        <f t="shared" si="1"/>
        <v>3</v>
      </c>
      <c r="M107" s="89">
        <f>K107*3</f>
        <v>1200</v>
      </c>
      <c r="N107" s="86" t="s">
        <v>71</v>
      </c>
      <c r="O107" s="106" t="s">
        <v>29</v>
      </c>
      <c r="P107" s="86" t="s">
        <v>72</v>
      </c>
      <c r="Q107" s="106">
        <v>2285.0</v>
      </c>
      <c r="R107" s="86" t="s">
        <v>30</v>
      </c>
      <c r="S107" s="86" t="s">
        <v>110</v>
      </c>
      <c r="T107" s="133" t="s">
        <v>193</v>
      </c>
      <c r="U107" s="92"/>
      <c r="V107" s="96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</row>
    <row r="108">
      <c r="A108" s="12">
        <v>104.0</v>
      </c>
      <c r="B108" s="206" t="s">
        <v>961</v>
      </c>
      <c r="C108" s="120" t="s">
        <v>962</v>
      </c>
      <c r="D108" s="123" t="s">
        <v>963</v>
      </c>
      <c r="E108" s="178"/>
      <c r="F108" s="207" t="s">
        <v>964</v>
      </c>
      <c r="G108" s="123">
        <v>1.0</v>
      </c>
      <c r="H108" s="106" t="s">
        <v>123</v>
      </c>
      <c r="I108" s="177">
        <v>46078.0</v>
      </c>
      <c r="J108" s="178"/>
      <c r="K108" s="179">
        <v>100.63</v>
      </c>
      <c r="L108" s="86">
        <f t="shared" si="1"/>
        <v>12</v>
      </c>
      <c r="M108" s="180">
        <f>K108*12</f>
        <v>1207.56</v>
      </c>
      <c r="N108" s="137" t="s">
        <v>58</v>
      </c>
      <c r="O108" s="137" t="s">
        <v>29</v>
      </c>
      <c r="P108" s="137" t="s">
        <v>40</v>
      </c>
      <c r="Q108" s="104"/>
      <c r="R108" s="137" t="s">
        <v>233</v>
      </c>
      <c r="S108" s="137" t="s">
        <v>129</v>
      </c>
      <c r="T108" s="178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12">
        <v>105.0</v>
      </c>
      <c r="B109" s="123" t="s">
        <v>965</v>
      </c>
      <c r="C109" s="106" t="s">
        <v>966</v>
      </c>
      <c r="D109" s="123" t="s">
        <v>967</v>
      </c>
      <c r="E109" s="193" t="s">
        <v>968</v>
      </c>
      <c r="F109" s="106" t="s">
        <v>969</v>
      </c>
      <c r="G109" s="123">
        <v>7.0</v>
      </c>
      <c r="H109" s="106" t="s">
        <v>123</v>
      </c>
      <c r="I109" s="177">
        <v>46078.0</v>
      </c>
      <c r="J109" s="178"/>
      <c r="K109" s="179" t="s">
        <v>26</v>
      </c>
      <c r="L109" s="86" t="str">
        <f t="shared" si="1"/>
        <v>#VALUE!</v>
      </c>
      <c r="M109" s="179">
        <v>1500.0</v>
      </c>
      <c r="N109" s="137" t="s">
        <v>58</v>
      </c>
      <c r="O109" s="137" t="s">
        <v>29</v>
      </c>
      <c r="P109" s="137" t="s">
        <v>40</v>
      </c>
      <c r="Q109" s="104"/>
      <c r="R109" s="137" t="s">
        <v>233</v>
      </c>
      <c r="S109" s="137" t="s">
        <v>129</v>
      </c>
      <c r="T109" s="178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12">
        <v>106.0</v>
      </c>
      <c r="B110" s="208" t="s">
        <v>970</v>
      </c>
      <c r="C110" s="106" t="s">
        <v>971</v>
      </c>
      <c r="D110" s="123" t="s">
        <v>972</v>
      </c>
      <c r="E110" s="208" t="s">
        <v>973</v>
      </c>
      <c r="F110" s="207" t="s">
        <v>974</v>
      </c>
      <c r="G110" s="123">
        <v>14.0</v>
      </c>
      <c r="H110" s="106" t="s">
        <v>123</v>
      </c>
      <c r="I110" s="177">
        <v>46078.0</v>
      </c>
      <c r="J110" s="178"/>
      <c r="K110" s="179">
        <v>235.17</v>
      </c>
      <c r="L110" s="86">
        <f t="shared" si="1"/>
        <v>12</v>
      </c>
      <c r="M110" s="179">
        <f t="shared" ref="M110:M115" si="16">K110*12</f>
        <v>2822.04</v>
      </c>
      <c r="N110" s="137" t="s">
        <v>58</v>
      </c>
      <c r="O110" s="137" t="s">
        <v>29</v>
      </c>
      <c r="P110" s="137" t="s">
        <v>40</v>
      </c>
      <c r="Q110" s="104"/>
      <c r="R110" s="137" t="s">
        <v>233</v>
      </c>
      <c r="S110" s="137" t="s">
        <v>129</v>
      </c>
      <c r="T110" s="123" t="s">
        <v>975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12">
        <v>107.0</v>
      </c>
      <c r="B111" s="123" t="s">
        <v>976</v>
      </c>
      <c r="C111" s="123" t="s">
        <v>977</v>
      </c>
      <c r="D111" s="123" t="s">
        <v>978</v>
      </c>
      <c r="E111" s="123" t="s">
        <v>979</v>
      </c>
      <c r="F111" s="146" t="s">
        <v>980</v>
      </c>
      <c r="G111" s="123">
        <v>22.0</v>
      </c>
      <c r="H111" s="123" t="s">
        <v>65</v>
      </c>
      <c r="I111" s="177">
        <v>46034.0</v>
      </c>
      <c r="J111" s="177">
        <v>46079.0</v>
      </c>
      <c r="K111" s="179">
        <v>286.0</v>
      </c>
      <c r="L111" s="86">
        <f t="shared" si="1"/>
        <v>12</v>
      </c>
      <c r="M111" s="209">
        <f t="shared" si="16"/>
        <v>3432</v>
      </c>
      <c r="N111" s="137" t="s">
        <v>71</v>
      </c>
      <c r="O111" s="137" t="s">
        <v>91</v>
      </c>
      <c r="P111" s="137" t="s">
        <v>72</v>
      </c>
      <c r="Q111" s="123">
        <v>2324.0</v>
      </c>
      <c r="R111" s="137" t="s">
        <v>73</v>
      </c>
      <c r="S111" s="137" t="s">
        <v>148</v>
      </c>
      <c r="T111" s="210" t="s">
        <v>981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12">
        <v>108.0</v>
      </c>
      <c r="B112" s="123" t="s">
        <v>982</v>
      </c>
      <c r="C112" s="123" t="s">
        <v>983</v>
      </c>
      <c r="D112" s="123" t="s">
        <v>978</v>
      </c>
      <c r="E112" s="123" t="s">
        <v>979</v>
      </c>
      <c r="F112" s="146" t="s">
        <v>980</v>
      </c>
      <c r="G112" s="123">
        <v>22.0</v>
      </c>
      <c r="H112" s="123" t="s">
        <v>65</v>
      </c>
      <c r="I112" s="177">
        <v>46034.0</v>
      </c>
      <c r="J112" s="177">
        <v>46079.0</v>
      </c>
      <c r="K112" s="179">
        <v>286.0</v>
      </c>
      <c r="L112" s="86">
        <f t="shared" si="1"/>
        <v>12</v>
      </c>
      <c r="M112" s="209">
        <f t="shared" si="16"/>
        <v>3432</v>
      </c>
      <c r="N112" s="137" t="s">
        <v>71</v>
      </c>
      <c r="O112" s="137" t="s">
        <v>91</v>
      </c>
      <c r="P112" s="137" t="s">
        <v>72</v>
      </c>
      <c r="Q112" s="123">
        <v>2323.0</v>
      </c>
      <c r="R112" s="137" t="s">
        <v>73</v>
      </c>
      <c r="S112" s="137" t="s">
        <v>148</v>
      </c>
      <c r="T112" s="210" t="s">
        <v>981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12">
        <v>109.0</v>
      </c>
      <c r="B113" s="123" t="s">
        <v>984</v>
      </c>
      <c r="C113" s="123" t="s">
        <v>985</v>
      </c>
      <c r="D113" s="123" t="s">
        <v>986</v>
      </c>
      <c r="E113" s="123" t="s">
        <v>987</v>
      </c>
      <c r="F113" s="211" t="s">
        <v>988</v>
      </c>
      <c r="G113" s="123">
        <v>218.0</v>
      </c>
      <c r="H113" s="106" t="s">
        <v>123</v>
      </c>
      <c r="I113" s="177">
        <v>46079.0</v>
      </c>
      <c r="J113" s="177">
        <v>46079.0</v>
      </c>
      <c r="K113" s="179">
        <v>6752.86</v>
      </c>
      <c r="L113" s="86">
        <f t="shared" si="1"/>
        <v>12</v>
      </c>
      <c r="M113" s="179">
        <f t="shared" si="16"/>
        <v>81034.32</v>
      </c>
      <c r="N113" s="137" t="s">
        <v>71</v>
      </c>
      <c r="O113" s="137" t="s">
        <v>91</v>
      </c>
      <c r="P113" s="137" t="s">
        <v>72</v>
      </c>
      <c r="Q113" s="3"/>
      <c r="R113" s="137" t="s">
        <v>98</v>
      </c>
      <c r="S113" s="137" t="s">
        <v>99</v>
      </c>
      <c r="T113" s="178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12">
        <v>110.0</v>
      </c>
      <c r="B114" s="123" t="s">
        <v>989</v>
      </c>
      <c r="C114" s="212" t="s">
        <v>990</v>
      </c>
      <c r="D114" s="123" t="s">
        <v>986</v>
      </c>
      <c r="E114" s="123" t="s">
        <v>987</v>
      </c>
      <c r="F114" s="211" t="s">
        <v>991</v>
      </c>
      <c r="G114" s="123">
        <v>30.0</v>
      </c>
      <c r="H114" s="106" t="s">
        <v>123</v>
      </c>
      <c r="I114" s="177">
        <v>46079.0</v>
      </c>
      <c r="J114" s="177">
        <v>46079.0</v>
      </c>
      <c r="K114" s="179">
        <v>1243.0</v>
      </c>
      <c r="L114" s="86">
        <f t="shared" si="1"/>
        <v>12</v>
      </c>
      <c r="M114" s="179">
        <f t="shared" si="16"/>
        <v>14916</v>
      </c>
      <c r="N114" s="137" t="s">
        <v>71</v>
      </c>
      <c r="O114" s="137" t="s">
        <v>91</v>
      </c>
      <c r="P114" s="137" t="s">
        <v>72</v>
      </c>
      <c r="Q114" s="3"/>
      <c r="R114" s="137" t="s">
        <v>98</v>
      </c>
      <c r="S114" s="137" t="s">
        <v>99</v>
      </c>
      <c r="T114" s="178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12">
        <v>111.0</v>
      </c>
      <c r="B115" s="106" t="s">
        <v>992</v>
      </c>
      <c r="C115" s="106" t="s">
        <v>993</v>
      </c>
      <c r="D115" s="106" t="s">
        <v>994</v>
      </c>
      <c r="E115" s="106" t="s">
        <v>995</v>
      </c>
      <c r="F115" s="106" t="s">
        <v>996</v>
      </c>
      <c r="G115" s="106">
        <v>17.0</v>
      </c>
      <c r="H115" s="106" t="s">
        <v>39</v>
      </c>
      <c r="I115" s="108">
        <v>46078.0</v>
      </c>
      <c r="J115" s="87">
        <v>46079.0</v>
      </c>
      <c r="K115" s="89">
        <v>305.96</v>
      </c>
      <c r="L115" s="86">
        <f t="shared" si="1"/>
        <v>12</v>
      </c>
      <c r="M115" s="89">
        <f t="shared" si="16"/>
        <v>3671.52</v>
      </c>
      <c r="N115" s="106" t="s">
        <v>71</v>
      </c>
      <c r="O115" s="106" t="s">
        <v>91</v>
      </c>
      <c r="P115" s="86" t="s">
        <v>72</v>
      </c>
      <c r="Q115" s="86">
        <v>2358.0</v>
      </c>
      <c r="R115" s="106" t="s">
        <v>73</v>
      </c>
      <c r="S115" s="106" t="s">
        <v>49</v>
      </c>
      <c r="T115" s="133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</row>
    <row r="116">
      <c r="A116" s="12">
        <v>112.0</v>
      </c>
      <c r="B116" s="106" t="s">
        <v>997</v>
      </c>
      <c r="C116" s="91" t="s">
        <v>998</v>
      </c>
      <c r="D116" s="106" t="s">
        <v>999</v>
      </c>
      <c r="E116" s="91" t="s">
        <v>1000</v>
      </c>
      <c r="F116" s="91" t="s">
        <v>1001</v>
      </c>
      <c r="G116" s="106" t="s">
        <v>399</v>
      </c>
      <c r="H116" s="106" t="s">
        <v>254</v>
      </c>
      <c r="I116" s="87">
        <v>46077.0</v>
      </c>
      <c r="J116" s="88"/>
      <c r="K116" s="89" t="s">
        <v>57</v>
      </c>
      <c r="L116" s="86" t="str">
        <f t="shared" si="1"/>
        <v>#VALUE!</v>
      </c>
      <c r="M116" s="89">
        <v>600.0</v>
      </c>
      <c r="N116" s="106" t="s">
        <v>58</v>
      </c>
      <c r="O116" s="106" t="s">
        <v>29</v>
      </c>
      <c r="P116" s="106" t="s">
        <v>40</v>
      </c>
      <c r="Q116" s="91"/>
      <c r="R116" s="106" t="s">
        <v>41</v>
      </c>
      <c r="S116" s="106" t="s">
        <v>31</v>
      </c>
      <c r="T116" s="106" t="s">
        <v>1002</v>
      </c>
      <c r="U116" s="92"/>
      <c r="V116" s="92"/>
      <c r="W116" s="92"/>
      <c r="X116" s="92"/>
      <c r="Y116" s="92"/>
      <c r="Z116" s="92"/>
      <c r="AA116" s="92"/>
      <c r="AB116" s="92"/>
      <c r="AC116" s="213"/>
      <c r="AD116" s="91"/>
      <c r="AE116" s="91"/>
      <c r="AF116" s="91"/>
      <c r="AG116" s="91"/>
      <c r="AH116" s="91"/>
      <c r="AI116" s="91"/>
      <c r="AJ116" s="91"/>
    </row>
    <row r="117">
      <c r="A117" s="12">
        <v>113.0</v>
      </c>
      <c r="B117" s="106" t="s">
        <v>1003</v>
      </c>
      <c r="C117" s="91" t="s">
        <v>1004</v>
      </c>
      <c r="D117" s="106" t="s">
        <v>1005</v>
      </c>
      <c r="E117" s="91" t="s">
        <v>1006</v>
      </c>
      <c r="F117" s="106" t="s">
        <v>1007</v>
      </c>
      <c r="G117" s="106" t="s">
        <v>399</v>
      </c>
      <c r="H117" s="106" t="s">
        <v>254</v>
      </c>
      <c r="I117" s="87">
        <v>46076.0</v>
      </c>
      <c r="J117" s="88"/>
      <c r="K117" s="89" t="s">
        <v>57</v>
      </c>
      <c r="L117" s="86" t="str">
        <f t="shared" si="1"/>
        <v>#VALUE!</v>
      </c>
      <c r="M117" s="89">
        <v>600.0</v>
      </c>
      <c r="N117" s="106" t="s">
        <v>58</v>
      </c>
      <c r="O117" s="106" t="s">
        <v>29</v>
      </c>
      <c r="P117" s="106" t="s">
        <v>40</v>
      </c>
      <c r="Q117" s="91"/>
      <c r="R117" s="106" t="s">
        <v>73</v>
      </c>
      <c r="S117" s="106" t="s">
        <v>31</v>
      </c>
      <c r="T117" s="106" t="s">
        <v>1008</v>
      </c>
      <c r="U117" s="92"/>
      <c r="V117" s="92"/>
      <c r="W117" s="92"/>
      <c r="X117" s="92"/>
      <c r="Y117" s="92"/>
      <c r="Z117" s="92"/>
      <c r="AA117" s="92"/>
      <c r="AB117" s="92"/>
      <c r="AC117" s="213"/>
      <c r="AD117" s="91"/>
      <c r="AE117" s="91"/>
      <c r="AF117" s="91"/>
      <c r="AG117" s="91"/>
      <c r="AH117" s="91"/>
      <c r="AI117" s="91"/>
      <c r="AJ117" s="91"/>
    </row>
    <row r="118">
      <c r="A118" s="12">
        <v>114.0</v>
      </c>
      <c r="B118" s="106" t="s">
        <v>1009</v>
      </c>
      <c r="C118" s="106" t="s">
        <v>1010</v>
      </c>
      <c r="D118" s="106" t="s">
        <v>1009</v>
      </c>
      <c r="E118" s="91" t="s">
        <v>1011</v>
      </c>
      <c r="F118" s="106" t="s">
        <v>1012</v>
      </c>
      <c r="G118" s="106">
        <v>3.0</v>
      </c>
      <c r="H118" s="106" t="s">
        <v>39</v>
      </c>
      <c r="I118" s="87">
        <v>46078.0</v>
      </c>
      <c r="J118" s="87">
        <v>46078.0</v>
      </c>
      <c r="K118" s="89" t="s">
        <v>57</v>
      </c>
      <c r="L118" s="86" t="str">
        <f t="shared" si="1"/>
        <v>#VALUE!</v>
      </c>
      <c r="M118" s="89">
        <v>1382.4</v>
      </c>
      <c r="N118" s="106" t="s">
        <v>71</v>
      </c>
      <c r="O118" s="106" t="s">
        <v>29</v>
      </c>
      <c r="P118" s="106" t="s">
        <v>72</v>
      </c>
      <c r="Q118" s="106">
        <v>2310.0</v>
      </c>
      <c r="R118" s="106" t="s">
        <v>41</v>
      </c>
      <c r="S118" s="106" t="s">
        <v>31</v>
      </c>
      <c r="T118" s="133" t="s">
        <v>1013</v>
      </c>
      <c r="U118" s="92"/>
      <c r="V118" s="92"/>
      <c r="W118" s="92"/>
      <c r="X118" s="92"/>
      <c r="Y118" s="92"/>
      <c r="Z118" s="92"/>
      <c r="AA118" s="92"/>
      <c r="AB118" s="92"/>
      <c r="AC118" s="213"/>
      <c r="AD118" s="91"/>
      <c r="AE118" s="91"/>
      <c r="AF118" s="91"/>
      <c r="AG118" s="91"/>
      <c r="AH118" s="91"/>
      <c r="AI118" s="91"/>
      <c r="AJ118" s="91"/>
    </row>
    <row r="119">
      <c r="A119" s="12">
        <v>115.0</v>
      </c>
      <c r="B119" s="106" t="s">
        <v>1014</v>
      </c>
      <c r="C119" s="106" t="s">
        <v>1015</v>
      </c>
      <c r="D119" s="106" t="s">
        <v>1016</v>
      </c>
      <c r="E119" s="214" t="s">
        <v>1017</v>
      </c>
      <c r="F119" s="106" t="s">
        <v>1018</v>
      </c>
      <c r="G119" s="106">
        <v>1.0</v>
      </c>
      <c r="H119" s="106" t="s">
        <v>39</v>
      </c>
      <c r="I119" s="108">
        <v>46076.0</v>
      </c>
      <c r="J119" s="87">
        <v>46078.0</v>
      </c>
      <c r="K119" s="89">
        <v>136.65</v>
      </c>
      <c r="L119" s="86">
        <f t="shared" si="1"/>
        <v>12</v>
      </c>
      <c r="M119" s="89">
        <f t="shared" ref="M119:M120" si="17">K119*12</f>
        <v>1639.8</v>
      </c>
      <c r="N119" s="106" t="s">
        <v>71</v>
      </c>
      <c r="O119" s="106" t="s">
        <v>29</v>
      </c>
      <c r="P119" s="106" t="s">
        <v>72</v>
      </c>
      <c r="Q119" s="106">
        <v>2312.0</v>
      </c>
      <c r="R119" s="106" t="s">
        <v>41</v>
      </c>
      <c r="S119" s="106" t="s">
        <v>31</v>
      </c>
      <c r="T119" s="133" t="s">
        <v>1019</v>
      </c>
      <c r="U119" s="92"/>
      <c r="V119" s="92"/>
      <c r="W119" s="92"/>
      <c r="X119" s="92"/>
      <c r="Y119" s="92"/>
      <c r="Z119" s="92"/>
      <c r="AA119" s="92"/>
      <c r="AB119" s="92"/>
      <c r="AC119" s="213"/>
      <c r="AD119" s="91"/>
      <c r="AE119" s="91"/>
      <c r="AF119" s="91"/>
      <c r="AG119" s="91"/>
      <c r="AH119" s="91"/>
      <c r="AI119" s="91"/>
      <c r="AJ119" s="91"/>
    </row>
    <row r="120">
      <c r="A120" s="12">
        <v>116.0</v>
      </c>
      <c r="B120" s="106" t="s">
        <v>1020</v>
      </c>
      <c r="C120" s="24" t="s">
        <v>1021</v>
      </c>
      <c r="D120" s="106" t="s">
        <v>1022</v>
      </c>
      <c r="E120" s="92" t="s">
        <v>1023</v>
      </c>
      <c r="F120" s="24" t="s">
        <v>1024</v>
      </c>
      <c r="G120" s="106">
        <v>5.0</v>
      </c>
      <c r="H120" s="106" t="s">
        <v>39</v>
      </c>
      <c r="I120" s="108">
        <v>46079.0</v>
      </c>
      <c r="J120" s="108">
        <v>46079.0</v>
      </c>
      <c r="K120" s="89">
        <v>141.3</v>
      </c>
      <c r="L120" s="86">
        <f t="shared" si="1"/>
        <v>12</v>
      </c>
      <c r="M120" s="89">
        <f t="shared" si="17"/>
        <v>1695.6</v>
      </c>
      <c r="N120" s="106" t="s">
        <v>71</v>
      </c>
      <c r="O120" s="106" t="s">
        <v>29</v>
      </c>
      <c r="P120" s="86" t="s">
        <v>72</v>
      </c>
      <c r="Q120" s="106">
        <v>2357.0</v>
      </c>
      <c r="R120" s="106" t="s">
        <v>233</v>
      </c>
      <c r="S120" s="106" t="s">
        <v>31</v>
      </c>
      <c r="T120" s="133" t="s">
        <v>1025</v>
      </c>
      <c r="U120" s="92"/>
      <c r="V120" s="92"/>
      <c r="W120" s="92"/>
      <c r="X120" s="92"/>
      <c r="Y120" s="92"/>
      <c r="Z120" s="92"/>
      <c r="AA120" s="92"/>
      <c r="AB120" s="92"/>
      <c r="AC120" s="213"/>
      <c r="AD120" s="91"/>
      <c r="AE120" s="91"/>
      <c r="AF120" s="91"/>
      <c r="AG120" s="91"/>
      <c r="AH120" s="91"/>
      <c r="AI120" s="91"/>
      <c r="AJ120" s="91"/>
    </row>
    <row r="121">
      <c r="A121" s="12">
        <v>117.0</v>
      </c>
      <c r="B121" s="123" t="s">
        <v>1026</v>
      </c>
      <c r="C121" s="97" t="s">
        <v>1027</v>
      </c>
      <c r="D121" s="123" t="s">
        <v>163</v>
      </c>
      <c r="E121" s="123" t="s">
        <v>1028</v>
      </c>
      <c r="F121" s="123" t="s">
        <v>1029</v>
      </c>
      <c r="G121" s="123" t="s">
        <v>26</v>
      </c>
      <c r="H121" s="123" t="s">
        <v>711</v>
      </c>
      <c r="I121" s="177">
        <v>45819.0</v>
      </c>
      <c r="J121" s="177">
        <v>46080.0</v>
      </c>
      <c r="K121" s="215">
        <v>87.5</v>
      </c>
      <c r="L121" s="86">
        <f t="shared" si="1"/>
        <v>8</v>
      </c>
      <c r="M121" s="215">
        <f>K121*8</f>
        <v>700</v>
      </c>
      <c r="N121" s="106" t="s">
        <v>71</v>
      </c>
      <c r="O121" s="120" t="s">
        <v>91</v>
      </c>
      <c r="P121" s="120" t="s">
        <v>72</v>
      </c>
      <c r="Q121" s="123">
        <v>2439.0</v>
      </c>
      <c r="R121" s="120" t="s">
        <v>73</v>
      </c>
      <c r="S121" s="120" t="s">
        <v>148</v>
      </c>
      <c r="T121" s="18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78"/>
      <c r="AI121" s="178"/>
      <c r="AJ121" s="178"/>
    </row>
    <row r="122">
      <c r="A122" s="12">
        <v>118.0</v>
      </c>
      <c r="B122" s="106" t="s">
        <v>1030</v>
      </c>
      <c r="C122" s="106" t="s">
        <v>1031</v>
      </c>
      <c r="D122" s="106" t="s">
        <v>1032</v>
      </c>
      <c r="E122" s="106">
        <v>1.1940854852E10</v>
      </c>
      <c r="F122" s="106" t="s">
        <v>1033</v>
      </c>
      <c r="G122" s="106">
        <v>106.0</v>
      </c>
      <c r="H122" s="106" t="s">
        <v>1034</v>
      </c>
      <c r="I122" s="108">
        <v>46077.0</v>
      </c>
      <c r="J122" s="91"/>
      <c r="K122" s="89">
        <v>1151.16</v>
      </c>
      <c r="L122" s="86">
        <f t="shared" si="1"/>
        <v>12</v>
      </c>
      <c r="M122" s="89">
        <f t="shared" ref="M122:M123" si="18">K122*12</f>
        <v>13813.92</v>
      </c>
      <c r="N122" s="106" t="s">
        <v>58</v>
      </c>
      <c r="O122" s="106" t="s">
        <v>29</v>
      </c>
      <c r="P122" s="106" t="s">
        <v>40</v>
      </c>
      <c r="Q122" s="91"/>
      <c r="R122" s="106" t="s">
        <v>30</v>
      </c>
      <c r="S122" s="106" t="s">
        <v>110</v>
      </c>
      <c r="T122" s="91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12">
        <v>119.0</v>
      </c>
      <c r="B123" s="106" t="s">
        <v>118</v>
      </c>
      <c r="C123" s="106" t="s">
        <v>119</v>
      </c>
      <c r="D123" s="106" t="s">
        <v>120</v>
      </c>
      <c r="E123" s="106" t="s">
        <v>1035</v>
      </c>
      <c r="F123" s="173" t="s">
        <v>122</v>
      </c>
      <c r="G123" s="106">
        <v>90.0</v>
      </c>
      <c r="H123" s="106" t="s">
        <v>123</v>
      </c>
      <c r="I123" s="108">
        <v>46000.0</v>
      </c>
      <c r="J123" s="91"/>
      <c r="K123" s="89">
        <v>1326.6</v>
      </c>
      <c r="L123" s="86">
        <f t="shared" si="1"/>
        <v>12</v>
      </c>
      <c r="M123" s="89">
        <f t="shared" si="18"/>
        <v>15919.2</v>
      </c>
      <c r="N123" s="106" t="s">
        <v>58</v>
      </c>
      <c r="O123" s="106" t="s">
        <v>29</v>
      </c>
      <c r="P123" s="106" t="s">
        <v>40</v>
      </c>
      <c r="Q123" s="91"/>
      <c r="R123" s="106" t="s">
        <v>30</v>
      </c>
      <c r="S123" s="106" t="s">
        <v>110</v>
      </c>
      <c r="T123" s="106" t="s">
        <v>1036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12">
        <v>120.0</v>
      </c>
      <c r="B124" s="106" t="s">
        <v>1037</v>
      </c>
      <c r="C124" s="106" t="s">
        <v>1038</v>
      </c>
      <c r="D124" s="106" t="s">
        <v>1039</v>
      </c>
      <c r="E124" s="106">
        <v>1.1994958722E10</v>
      </c>
      <c r="F124" s="106" t="s">
        <v>1040</v>
      </c>
      <c r="G124" s="106">
        <v>2.0</v>
      </c>
      <c r="H124" s="106" t="s">
        <v>1041</v>
      </c>
      <c r="I124" s="108">
        <v>46077.0</v>
      </c>
      <c r="J124" s="108">
        <v>46077.0</v>
      </c>
      <c r="K124" s="125">
        <v>350.0</v>
      </c>
      <c r="L124" s="86">
        <f t="shared" si="1"/>
        <v>4</v>
      </c>
      <c r="M124" s="125">
        <f>K124*4</f>
        <v>1400</v>
      </c>
      <c r="N124" s="106" t="s">
        <v>71</v>
      </c>
      <c r="O124" s="106" t="s">
        <v>29</v>
      </c>
      <c r="P124" s="106" t="s">
        <v>72</v>
      </c>
      <c r="Q124" s="106">
        <v>2296.0</v>
      </c>
      <c r="R124" s="106" t="s">
        <v>30</v>
      </c>
      <c r="S124" s="106" t="s">
        <v>110</v>
      </c>
      <c r="T124" s="133" t="s">
        <v>193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12">
        <v>121.0</v>
      </c>
      <c r="B125" s="107" t="s">
        <v>1042</v>
      </c>
      <c r="C125" s="106" t="s">
        <v>1043</v>
      </c>
      <c r="D125" s="106" t="s">
        <v>1044</v>
      </c>
      <c r="E125" s="106">
        <v>1.1963874901E10</v>
      </c>
      <c r="F125" s="106" t="s">
        <v>1045</v>
      </c>
      <c r="G125" s="106">
        <v>4.0</v>
      </c>
      <c r="H125" s="106" t="s">
        <v>123</v>
      </c>
      <c r="I125" s="108">
        <v>46077.0</v>
      </c>
      <c r="J125" s="108">
        <v>46077.0</v>
      </c>
      <c r="K125" s="89">
        <v>140.5</v>
      </c>
      <c r="L125" s="86">
        <f t="shared" si="1"/>
        <v>12</v>
      </c>
      <c r="M125" s="216">
        <f t="shared" ref="M125:M128" si="19">K125*12</f>
        <v>1686</v>
      </c>
      <c r="N125" s="106" t="s">
        <v>71</v>
      </c>
      <c r="O125" s="106" t="s">
        <v>29</v>
      </c>
      <c r="P125" s="106" t="s">
        <v>72</v>
      </c>
      <c r="Q125" s="24">
        <v>2298.0</v>
      </c>
      <c r="R125" s="106" t="s">
        <v>30</v>
      </c>
      <c r="S125" s="106" t="s">
        <v>110</v>
      </c>
      <c r="T125" s="133" t="s">
        <v>193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12">
        <v>122.0</v>
      </c>
      <c r="B126" s="106" t="s">
        <v>1046</v>
      </c>
      <c r="C126" s="106" t="s">
        <v>1047</v>
      </c>
      <c r="D126" s="106" t="s">
        <v>1048</v>
      </c>
      <c r="E126" s="106">
        <v>1.1921580523E10</v>
      </c>
      <c r="F126" s="106" t="s">
        <v>1049</v>
      </c>
      <c r="G126" s="106">
        <v>3.0</v>
      </c>
      <c r="H126" s="106" t="s">
        <v>123</v>
      </c>
      <c r="I126" s="108">
        <v>46078.0</v>
      </c>
      <c r="J126" s="91"/>
      <c r="K126" s="89">
        <v>118.5</v>
      </c>
      <c r="L126" s="86">
        <f t="shared" si="1"/>
        <v>12</v>
      </c>
      <c r="M126" s="89">
        <f t="shared" si="19"/>
        <v>1422</v>
      </c>
      <c r="N126" s="106" t="s">
        <v>58</v>
      </c>
      <c r="O126" s="106" t="s">
        <v>29</v>
      </c>
      <c r="P126" s="106" t="s">
        <v>40</v>
      </c>
      <c r="Q126" s="91"/>
      <c r="R126" s="106" t="s">
        <v>30</v>
      </c>
      <c r="S126" s="106" t="s">
        <v>110</v>
      </c>
      <c r="T126" s="91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12">
        <v>123.0</v>
      </c>
      <c r="B127" s="106" t="s">
        <v>1050</v>
      </c>
      <c r="C127" s="106" t="s">
        <v>1051</v>
      </c>
      <c r="D127" s="106" t="s">
        <v>1052</v>
      </c>
      <c r="E127" s="106">
        <v>1.1980337583E10</v>
      </c>
      <c r="F127" s="106" t="s">
        <v>1053</v>
      </c>
      <c r="G127" s="106">
        <v>1.0</v>
      </c>
      <c r="H127" s="106" t="s">
        <v>123</v>
      </c>
      <c r="I127" s="108">
        <v>46078.0</v>
      </c>
      <c r="J127" s="91"/>
      <c r="K127" s="89">
        <v>110.5</v>
      </c>
      <c r="L127" s="86">
        <f t="shared" si="1"/>
        <v>12</v>
      </c>
      <c r="M127" s="89">
        <f t="shared" si="19"/>
        <v>1326</v>
      </c>
      <c r="N127" s="106" t="s">
        <v>58</v>
      </c>
      <c r="O127" s="106" t="s">
        <v>29</v>
      </c>
      <c r="P127" s="106" t="s">
        <v>40</v>
      </c>
      <c r="Q127" s="91"/>
      <c r="R127" s="106" t="s">
        <v>30</v>
      </c>
      <c r="S127" s="106" t="s">
        <v>110</v>
      </c>
      <c r="T127" s="91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12">
        <v>124.0</v>
      </c>
      <c r="B128" s="106" t="s">
        <v>1054</v>
      </c>
      <c r="C128" s="106" t="s">
        <v>1055</v>
      </c>
      <c r="D128" s="106" t="s">
        <v>1056</v>
      </c>
      <c r="E128" s="106">
        <v>1.1933250573E10</v>
      </c>
      <c r="F128" s="173" t="s">
        <v>1057</v>
      </c>
      <c r="G128" s="106">
        <v>15.0</v>
      </c>
      <c r="H128" s="106" t="s">
        <v>123</v>
      </c>
      <c r="I128" s="108">
        <v>46078.0</v>
      </c>
      <c r="J128" s="91"/>
      <c r="K128" s="89">
        <v>250.7</v>
      </c>
      <c r="L128" s="86">
        <f t="shared" si="1"/>
        <v>12</v>
      </c>
      <c r="M128" s="89">
        <f t="shared" si="19"/>
        <v>3008.4</v>
      </c>
      <c r="N128" s="106" t="s">
        <v>58</v>
      </c>
      <c r="O128" s="106" t="s">
        <v>29</v>
      </c>
      <c r="P128" s="106" t="s">
        <v>40</v>
      </c>
      <c r="Q128" s="91"/>
      <c r="R128" s="106" t="s">
        <v>30</v>
      </c>
      <c r="S128" s="106" t="s">
        <v>110</v>
      </c>
      <c r="T128" s="91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12">
        <v>125.0</v>
      </c>
      <c r="B129" s="106" t="s">
        <v>1058</v>
      </c>
      <c r="C129" s="106" t="s">
        <v>1059</v>
      </c>
      <c r="D129" s="106" t="s">
        <v>1060</v>
      </c>
      <c r="E129" s="106">
        <v>1.1993595332E10</v>
      </c>
      <c r="F129" s="106" t="s">
        <v>1061</v>
      </c>
      <c r="G129" s="106">
        <v>20.0</v>
      </c>
      <c r="H129" s="106" t="s">
        <v>960</v>
      </c>
      <c r="I129" s="108">
        <v>46077.0</v>
      </c>
      <c r="J129" s="91"/>
      <c r="K129" s="89">
        <v>400.0</v>
      </c>
      <c r="L129" s="86">
        <f t="shared" si="1"/>
        <v>3</v>
      </c>
      <c r="M129" s="89">
        <f>K129*3</f>
        <v>1200</v>
      </c>
      <c r="N129" s="106" t="s">
        <v>58</v>
      </c>
      <c r="O129" s="106" t="s">
        <v>29</v>
      </c>
      <c r="P129" s="106" t="s">
        <v>40</v>
      </c>
      <c r="Q129" s="91"/>
      <c r="R129" s="106" t="s">
        <v>30</v>
      </c>
      <c r="S129" s="106" t="s">
        <v>110</v>
      </c>
      <c r="T129" s="91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12">
        <v>126.0</v>
      </c>
      <c r="B130" s="106" t="s">
        <v>1062</v>
      </c>
      <c r="C130" s="106" t="s">
        <v>1063</v>
      </c>
      <c r="D130" s="106" t="s">
        <v>1064</v>
      </c>
      <c r="E130" s="106">
        <v>1.1999008515E10</v>
      </c>
      <c r="F130" s="106" t="s">
        <v>1065</v>
      </c>
      <c r="G130" s="106">
        <v>7.0</v>
      </c>
      <c r="H130" s="106" t="s">
        <v>123</v>
      </c>
      <c r="I130" s="108">
        <v>46072.0</v>
      </c>
      <c r="J130" s="91"/>
      <c r="K130" s="89">
        <v>155.7</v>
      </c>
      <c r="L130" s="86">
        <f t="shared" si="1"/>
        <v>12</v>
      </c>
      <c r="M130" s="89">
        <f t="shared" ref="M130:M131" si="20">K130*12</f>
        <v>1868.4</v>
      </c>
      <c r="N130" s="106" t="s">
        <v>58</v>
      </c>
      <c r="O130" s="106" t="s">
        <v>29</v>
      </c>
      <c r="P130" s="106" t="s">
        <v>40</v>
      </c>
      <c r="Q130" s="91"/>
      <c r="R130" s="106" t="s">
        <v>30</v>
      </c>
      <c r="S130" s="106" t="s">
        <v>110</v>
      </c>
      <c r="T130" s="91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12">
        <v>127.0</v>
      </c>
      <c r="B131" s="106" t="s">
        <v>1066</v>
      </c>
      <c r="C131" s="106" t="s">
        <v>1067</v>
      </c>
      <c r="D131" s="106" t="s">
        <v>1068</v>
      </c>
      <c r="E131" s="106">
        <v>1.1992244004E10</v>
      </c>
      <c r="F131" s="173" t="s">
        <v>1069</v>
      </c>
      <c r="G131" s="106">
        <v>1.0</v>
      </c>
      <c r="H131" s="106" t="s">
        <v>123</v>
      </c>
      <c r="I131" s="108">
        <v>46079.0</v>
      </c>
      <c r="J131" s="91"/>
      <c r="K131" s="89">
        <v>110.5</v>
      </c>
      <c r="L131" s="86">
        <f t="shared" si="1"/>
        <v>12</v>
      </c>
      <c r="M131" s="89">
        <f t="shared" si="20"/>
        <v>1326</v>
      </c>
      <c r="N131" s="106" t="s">
        <v>58</v>
      </c>
      <c r="O131" s="106" t="s">
        <v>29</v>
      </c>
      <c r="P131" s="106" t="s">
        <v>40</v>
      </c>
      <c r="Q131" s="91"/>
      <c r="R131" s="106" t="s">
        <v>30</v>
      </c>
      <c r="S131" s="106" t="s">
        <v>110</v>
      </c>
      <c r="T131" s="91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217"/>
      <c r="B132" s="217"/>
      <c r="C132" s="218"/>
      <c r="D132" s="219"/>
      <c r="E132" s="219"/>
      <c r="F132" s="219"/>
      <c r="G132" s="219"/>
      <c r="H132" s="219"/>
      <c r="I132" s="220"/>
      <c r="J132" s="220"/>
      <c r="K132" s="216"/>
      <c r="L132" s="219"/>
      <c r="M132" s="216"/>
      <c r="N132" s="120"/>
      <c r="O132" s="106"/>
      <c r="P132" s="120"/>
      <c r="Q132" s="3"/>
      <c r="R132" s="120"/>
      <c r="S132" s="120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3"/>
      <c r="C133" s="31"/>
      <c r="D133" s="3"/>
      <c r="E133" s="3"/>
      <c r="F133" s="3"/>
      <c r="G133" s="3"/>
      <c r="H133" s="3"/>
      <c r="I133" s="3"/>
      <c r="J133" s="3"/>
      <c r="K133" s="221"/>
      <c r="L133" s="222"/>
      <c r="M133" s="221"/>
      <c r="N133" s="3"/>
      <c r="O133" s="3"/>
      <c r="P133" s="3"/>
      <c r="Q133" s="3"/>
      <c r="R133" s="3"/>
      <c r="S133" s="3"/>
      <c r="T133" s="22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3"/>
      <c r="C134" s="31"/>
      <c r="D134" s="3"/>
      <c r="E134" s="3"/>
      <c r="F134" s="3"/>
      <c r="G134" s="3"/>
      <c r="H134" s="3"/>
      <c r="I134" s="3"/>
      <c r="J134" s="3"/>
      <c r="K134" s="221"/>
      <c r="L134" s="222"/>
      <c r="M134" s="221"/>
      <c r="N134" s="3"/>
      <c r="O134" s="3"/>
      <c r="P134" s="3"/>
      <c r="Q134" s="3"/>
      <c r="R134" s="3"/>
      <c r="S134" s="3"/>
      <c r="T134" s="22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3"/>
      <c r="C135" s="31"/>
      <c r="D135" s="3"/>
      <c r="E135" s="3"/>
      <c r="F135" s="3"/>
      <c r="G135" s="3"/>
      <c r="H135" s="3"/>
      <c r="I135" s="3"/>
      <c r="J135" s="3"/>
      <c r="K135" s="221"/>
      <c r="L135" s="222"/>
      <c r="M135" s="221"/>
      <c r="N135" s="3"/>
      <c r="O135" s="3"/>
      <c r="P135" s="3"/>
      <c r="Q135" s="3"/>
      <c r="R135" s="3"/>
      <c r="S135" s="3"/>
      <c r="T135" s="22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3"/>
      <c r="C136" s="31"/>
      <c r="D136" s="3"/>
      <c r="E136" s="3"/>
      <c r="F136" s="3"/>
      <c r="G136" s="3"/>
      <c r="H136" s="3"/>
      <c r="I136" s="3"/>
      <c r="J136" s="3"/>
      <c r="K136" s="221"/>
      <c r="L136" s="222"/>
      <c r="M136" s="221"/>
      <c r="N136" s="3"/>
      <c r="O136" s="3"/>
      <c r="P136" s="3"/>
      <c r="Q136" s="3"/>
      <c r="R136" s="3"/>
      <c r="S136" s="3"/>
      <c r="T136" s="22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3"/>
      <c r="C137" s="31"/>
      <c r="D137" s="3"/>
      <c r="E137" s="3"/>
      <c r="F137" s="3"/>
      <c r="G137" s="3"/>
      <c r="H137" s="3"/>
      <c r="I137" s="3"/>
      <c r="J137" s="3"/>
      <c r="K137" s="221"/>
      <c r="L137" s="222"/>
      <c r="M137" s="221"/>
      <c r="N137" s="3"/>
      <c r="O137" s="3"/>
      <c r="P137" s="3"/>
      <c r="Q137" s="3"/>
      <c r="R137" s="3"/>
      <c r="S137" s="3"/>
      <c r="T137" s="22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3"/>
      <c r="C138" s="31"/>
      <c r="D138" s="3"/>
      <c r="E138" s="3"/>
      <c r="F138" s="3"/>
      <c r="G138" s="3"/>
      <c r="H138" s="3"/>
      <c r="I138" s="3"/>
      <c r="J138" s="3"/>
      <c r="K138" s="221"/>
      <c r="L138" s="222"/>
      <c r="M138" s="221"/>
      <c r="N138" s="3"/>
      <c r="O138" s="3"/>
      <c r="P138" s="3"/>
      <c r="Q138" s="3"/>
      <c r="R138" s="3"/>
      <c r="S138" s="3"/>
      <c r="T138" s="22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3"/>
      <c r="C139" s="31"/>
      <c r="D139" s="3"/>
      <c r="E139" s="3"/>
      <c r="F139" s="3"/>
      <c r="G139" s="3"/>
      <c r="H139" s="3"/>
      <c r="I139" s="3"/>
      <c r="J139" s="3"/>
      <c r="K139" s="221"/>
      <c r="L139" s="222"/>
      <c r="M139" s="221"/>
      <c r="N139" s="3"/>
      <c r="O139" s="3"/>
      <c r="P139" s="3"/>
      <c r="Q139" s="3"/>
      <c r="R139" s="3"/>
      <c r="S139" s="3"/>
      <c r="T139" s="22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3"/>
      <c r="C140" s="31"/>
      <c r="D140" s="3"/>
      <c r="E140" s="3"/>
      <c r="F140" s="3"/>
      <c r="G140" s="3"/>
      <c r="H140" s="3"/>
      <c r="I140" s="3"/>
      <c r="J140" s="3"/>
      <c r="K140" s="221"/>
      <c r="L140" s="222"/>
      <c r="M140" s="221"/>
      <c r="N140" s="3"/>
      <c r="O140" s="3"/>
      <c r="P140" s="3"/>
      <c r="Q140" s="3"/>
      <c r="R140" s="3"/>
      <c r="S140" s="3"/>
      <c r="T140" s="22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3"/>
      <c r="C141" s="31"/>
      <c r="D141" s="3"/>
      <c r="E141" s="3"/>
      <c r="F141" s="3"/>
      <c r="G141" s="3"/>
      <c r="H141" s="3"/>
      <c r="I141" s="3"/>
      <c r="J141" s="3"/>
      <c r="K141" s="221"/>
      <c r="L141" s="222"/>
      <c r="M141" s="221"/>
      <c r="N141" s="3"/>
      <c r="O141" s="3"/>
      <c r="P141" s="3"/>
      <c r="Q141" s="3"/>
      <c r="R141" s="3"/>
      <c r="S141" s="3"/>
      <c r="T141" s="22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3"/>
      <c r="C142" s="31"/>
      <c r="D142" s="3"/>
      <c r="E142" s="3"/>
      <c r="F142" s="3"/>
      <c r="G142" s="3"/>
      <c r="H142" s="3"/>
      <c r="I142" s="3"/>
      <c r="J142" s="3"/>
      <c r="K142" s="221"/>
      <c r="L142" s="222"/>
      <c r="M142" s="221"/>
      <c r="N142" s="3"/>
      <c r="O142" s="3"/>
      <c r="P142" s="3"/>
      <c r="Q142" s="3"/>
      <c r="R142" s="3"/>
      <c r="S142" s="3"/>
      <c r="T142" s="22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3"/>
      <c r="C143" s="31"/>
      <c r="D143" s="3"/>
      <c r="E143" s="3"/>
      <c r="F143" s="3"/>
      <c r="G143" s="3"/>
      <c r="H143" s="3"/>
      <c r="I143" s="3"/>
      <c r="J143" s="3"/>
      <c r="K143" s="221"/>
      <c r="L143" s="222"/>
      <c r="M143" s="221"/>
      <c r="N143" s="3"/>
      <c r="O143" s="3"/>
      <c r="P143" s="3"/>
      <c r="Q143" s="3"/>
      <c r="R143" s="3"/>
      <c r="S143" s="3"/>
      <c r="T143" s="22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3"/>
      <c r="C144" s="31"/>
      <c r="D144" s="3"/>
      <c r="E144" s="3"/>
      <c r="F144" s="3"/>
      <c r="G144" s="3"/>
      <c r="H144" s="3"/>
      <c r="I144" s="3"/>
      <c r="J144" s="3"/>
      <c r="K144" s="221"/>
      <c r="L144" s="222"/>
      <c r="M144" s="221"/>
      <c r="N144" s="3"/>
      <c r="O144" s="3"/>
      <c r="P144" s="3"/>
      <c r="Q144" s="3"/>
      <c r="R144" s="3"/>
      <c r="S144" s="3"/>
      <c r="T144" s="22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3"/>
      <c r="C145" s="31"/>
      <c r="D145" s="3"/>
      <c r="E145" s="3"/>
      <c r="F145" s="3"/>
      <c r="G145" s="3"/>
      <c r="H145" s="3"/>
      <c r="I145" s="3"/>
      <c r="J145" s="3"/>
      <c r="K145" s="221"/>
      <c r="L145" s="222"/>
      <c r="M145" s="221"/>
      <c r="N145" s="3"/>
      <c r="O145" s="3"/>
      <c r="P145" s="3"/>
      <c r="Q145" s="3"/>
      <c r="R145" s="3"/>
      <c r="S145" s="3"/>
      <c r="T145" s="22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3"/>
      <c r="C146" s="31"/>
      <c r="D146" s="3"/>
      <c r="E146" s="3"/>
      <c r="F146" s="3"/>
      <c r="G146" s="3"/>
      <c r="H146" s="3"/>
      <c r="I146" s="3"/>
      <c r="J146" s="3"/>
      <c r="K146" s="221"/>
      <c r="L146" s="222"/>
      <c r="M146" s="221"/>
      <c r="N146" s="3"/>
      <c r="O146" s="3"/>
      <c r="P146" s="3"/>
      <c r="Q146" s="3"/>
      <c r="R146" s="3"/>
      <c r="S146" s="3"/>
      <c r="T146" s="22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3"/>
      <c r="C147" s="31"/>
      <c r="D147" s="3"/>
      <c r="E147" s="3"/>
      <c r="F147" s="3"/>
      <c r="G147" s="3"/>
      <c r="H147" s="3"/>
      <c r="I147" s="3"/>
      <c r="J147" s="3"/>
      <c r="K147" s="221"/>
      <c r="L147" s="222"/>
      <c r="M147" s="221"/>
      <c r="N147" s="3"/>
      <c r="O147" s="3"/>
      <c r="P147" s="3"/>
      <c r="Q147" s="3"/>
      <c r="R147" s="3"/>
      <c r="S147" s="3"/>
      <c r="T147" s="22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3"/>
      <c r="C148" s="31"/>
      <c r="D148" s="3"/>
      <c r="E148" s="3"/>
      <c r="F148" s="3"/>
      <c r="G148" s="3"/>
      <c r="H148" s="3"/>
      <c r="I148" s="3"/>
      <c r="J148" s="3"/>
      <c r="K148" s="221"/>
      <c r="L148" s="222"/>
      <c r="M148" s="221"/>
      <c r="N148" s="3"/>
      <c r="O148" s="3"/>
      <c r="P148" s="3"/>
      <c r="Q148" s="3"/>
      <c r="R148" s="3"/>
      <c r="S148" s="3"/>
      <c r="T148" s="22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3"/>
      <c r="C149" s="31"/>
      <c r="D149" s="3"/>
      <c r="E149" s="3"/>
      <c r="F149" s="3"/>
      <c r="G149" s="3"/>
      <c r="H149" s="3"/>
      <c r="I149" s="3"/>
      <c r="J149" s="3"/>
      <c r="K149" s="221"/>
      <c r="L149" s="222"/>
      <c r="M149" s="221"/>
      <c r="N149" s="3"/>
      <c r="O149" s="3"/>
      <c r="P149" s="3"/>
      <c r="Q149" s="3"/>
      <c r="R149" s="3"/>
      <c r="S149" s="3"/>
      <c r="T149" s="22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3"/>
      <c r="C150" s="31"/>
      <c r="D150" s="3"/>
      <c r="E150" s="3"/>
      <c r="F150" s="3"/>
      <c r="G150" s="3"/>
      <c r="H150" s="3"/>
      <c r="I150" s="3"/>
      <c r="J150" s="3"/>
      <c r="K150" s="221"/>
      <c r="L150" s="222"/>
      <c r="M150" s="221"/>
      <c r="N150" s="3"/>
      <c r="O150" s="3"/>
      <c r="P150" s="3"/>
      <c r="Q150" s="3"/>
      <c r="R150" s="3"/>
      <c r="S150" s="3"/>
      <c r="T150" s="22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3"/>
      <c r="C151" s="31"/>
      <c r="D151" s="3"/>
      <c r="E151" s="3"/>
      <c r="F151" s="3"/>
      <c r="G151" s="3"/>
      <c r="H151" s="3"/>
      <c r="I151" s="3"/>
      <c r="J151" s="3"/>
      <c r="K151" s="221"/>
      <c r="L151" s="222"/>
      <c r="M151" s="221"/>
      <c r="N151" s="3"/>
      <c r="O151" s="3"/>
      <c r="P151" s="3"/>
      <c r="Q151" s="3"/>
      <c r="R151" s="3"/>
      <c r="S151" s="3"/>
      <c r="T151" s="22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3"/>
      <c r="C152" s="31"/>
      <c r="D152" s="3"/>
      <c r="E152" s="3"/>
      <c r="F152" s="3"/>
      <c r="G152" s="3"/>
      <c r="H152" s="3"/>
      <c r="I152" s="3"/>
      <c r="J152" s="3"/>
      <c r="K152" s="221"/>
      <c r="L152" s="222"/>
      <c r="M152" s="221"/>
      <c r="N152" s="3"/>
      <c r="O152" s="3"/>
      <c r="P152" s="3"/>
      <c r="Q152" s="3"/>
      <c r="R152" s="3"/>
      <c r="S152" s="3"/>
      <c r="T152" s="22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3"/>
      <c r="C153" s="31"/>
      <c r="D153" s="3"/>
      <c r="E153" s="3"/>
      <c r="F153" s="3"/>
      <c r="G153" s="3"/>
      <c r="H153" s="3"/>
      <c r="I153" s="3"/>
      <c r="J153" s="3"/>
      <c r="K153" s="221"/>
      <c r="L153" s="222"/>
      <c r="M153" s="221"/>
      <c r="N153" s="3"/>
      <c r="O153" s="3"/>
      <c r="P153" s="3"/>
      <c r="Q153" s="3"/>
      <c r="R153" s="3"/>
      <c r="S153" s="3"/>
      <c r="T153" s="22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3"/>
      <c r="C154" s="31"/>
      <c r="D154" s="3"/>
      <c r="E154" s="3"/>
      <c r="F154" s="3"/>
      <c r="G154" s="3"/>
      <c r="H154" s="3"/>
      <c r="I154" s="3"/>
      <c r="J154" s="3"/>
      <c r="K154" s="221"/>
      <c r="L154" s="222"/>
      <c r="M154" s="221"/>
      <c r="N154" s="3"/>
      <c r="O154" s="3"/>
      <c r="P154" s="3"/>
      <c r="Q154" s="3"/>
      <c r="R154" s="3"/>
      <c r="S154" s="3"/>
      <c r="T154" s="22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3"/>
      <c r="C155" s="31"/>
      <c r="D155" s="3"/>
      <c r="E155" s="3"/>
      <c r="F155" s="3"/>
      <c r="G155" s="3"/>
      <c r="H155" s="3"/>
      <c r="I155" s="3"/>
      <c r="J155" s="3"/>
      <c r="K155" s="221"/>
      <c r="L155" s="222"/>
      <c r="M155" s="221"/>
      <c r="N155" s="3"/>
      <c r="O155" s="3"/>
      <c r="P155" s="3"/>
      <c r="Q155" s="3"/>
      <c r="R155" s="3"/>
      <c r="S155" s="3"/>
      <c r="T155" s="22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3"/>
      <c r="C156" s="31"/>
      <c r="D156" s="3"/>
      <c r="E156" s="3"/>
      <c r="F156" s="3"/>
      <c r="G156" s="3"/>
      <c r="H156" s="3"/>
      <c r="I156" s="3"/>
      <c r="J156" s="3"/>
      <c r="K156" s="221"/>
      <c r="L156" s="222"/>
      <c r="M156" s="221"/>
      <c r="N156" s="3"/>
      <c r="O156" s="3"/>
      <c r="P156" s="3"/>
      <c r="Q156" s="3"/>
      <c r="R156" s="3"/>
      <c r="S156" s="3"/>
      <c r="T156" s="22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3"/>
      <c r="C157" s="31"/>
      <c r="D157" s="3"/>
      <c r="E157" s="3"/>
      <c r="F157" s="3"/>
      <c r="G157" s="3"/>
      <c r="H157" s="3"/>
      <c r="I157" s="3"/>
      <c r="J157" s="3"/>
      <c r="K157" s="221"/>
      <c r="L157" s="222"/>
      <c r="M157" s="221"/>
      <c r="N157" s="3"/>
      <c r="O157" s="3"/>
      <c r="P157" s="3"/>
      <c r="Q157" s="3"/>
      <c r="R157" s="3"/>
      <c r="S157" s="3"/>
      <c r="T157" s="22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3"/>
      <c r="C158" s="31"/>
      <c r="D158" s="3"/>
      <c r="E158" s="3"/>
      <c r="F158" s="3"/>
      <c r="G158" s="3"/>
      <c r="H158" s="3"/>
      <c r="I158" s="3"/>
      <c r="J158" s="3"/>
      <c r="K158" s="221"/>
      <c r="L158" s="222"/>
      <c r="M158" s="221"/>
      <c r="N158" s="3"/>
      <c r="O158" s="3"/>
      <c r="P158" s="3"/>
      <c r="Q158" s="3"/>
      <c r="R158" s="3"/>
      <c r="S158" s="3"/>
      <c r="T158" s="22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3"/>
      <c r="C159" s="31"/>
      <c r="D159" s="3"/>
      <c r="E159" s="3"/>
      <c r="F159" s="3"/>
      <c r="G159" s="3"/>
      <c r="H159" s="3"/>
      <c r="I159" s="3"/>
      <c r="J159" s="3"/>
      <c r="K159" s="221"/>
      <c r="L159" s="222"/>
      <c r="M159" s="221"/>
      <c r="N159" s="3"/>
      <c r="O159" s="3"/>
      <c r="P159" s="3"/>
      <c r="Q159" s="3"/>
      <c r="R159" s="3"/>
      <c r="S159" s="3"/>
      <c r="T159" s="22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3"/>
      <c r="C160" s="31"/>
      <c r="D160" s="3"/>
      <c r="E160" s="3"/>
      <c r="F160" s="3"/>
      <c r="G160" s="3"/>
      <c r="H160" s="3"/>
      <c r="I160" s="3"/>
      <c r="J160" s="3"/>
      <c r="K160" s="221"/>
      <c r="L160" s="222"/>
      <c r="M160" s="221"/>
      <c r="N160" s="3"/>
      <c r="O160" s="3"/>
      <c r="P160" s="3"/>
      <c r="Q160" s="3"/>
      <c r="R160" s="3"/>
      <c r="S160" s="3"/>
      <c r="T160" s="22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3"/>
      <c r="C161" s="31"/>
      <c r="D161" s="3"/>
      <c r="E161" s="3"/>
      <c r="F161" s="3"/>
      <c r="G161" s="3"/>
      <c r="H161" s="3"/>
      <c r="I161" s="3"/>
      <c r="J161" s="3"/>
      <c r="K161" s="221"/>
      <c r="L161" s="222"/>
      <c r="M161" s="221"/>
      <c r="N161" s="3"/>
      <c r="O161" s="3"/>
      <c r="P161" s="3"/>
      <c r="Q161" s="3"/>
      <c r="R161" s="3"/>
      <c r="S161" s="3"/>
      <c r="T161" s="22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3"/>
      <c r="C162" s="31"/>
      <c r="D162" s="3"/>
      <c r="E162" s="3"/>
      <c r="F162" s="3"/>
      <c r="G162" s="3"/>
      <c r="H162" s="3"/>
      <c r="I162" s="3"/>
      <c r="J162" s="3"/>
      <c r="K162" s="221"/>
      <c r="L162" s="222"/>
      <c r="M162" s="221"/>
      <c r="N162" s="3"/>
      <c r="O162" s="3"/>
      <c r="P162" s="3"/>
      <c r="Q162" s="3"/>
      <c r="R162" s="3"/>
      <c r="S162" s="3"/>
      <c r="T162" s="22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3"/>
      <c r="C163" s="31"/>
      <c r="D163" s="3"/>
      <c r="E163" s="3"/>
      <c r="F163" s="3"/>
      <c r="G163" s="3"/>
      <c r="H163" s="3"/>
      <c r="I163" s="3"/>
      <c r="J163" s="3"/>
      <c r="K163" s="221"/>
      <c r="L163" s="222"/>
      <c r="M163" s="221"/>
      <c r="N163" s="3"/>
      <c r="O163" s="3"/>
      <c r="P163" s="3"/>
      <c r="Q163" s="3"/>
      <c r="R163" s="3"/>
      <c r="S163" s="3"/>
      <c r="T163" s="22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3"/>
      <c r="C164" s="31"/>
      <c r="D164" s="3"/>
      <c r="E164" s="3"/>
      <c r="F164" s="3"/>
      <c r="G164" s="3"/>
      <c r="H164" s="3"/>
      <c r="I164" s="3"/>
      <c r="J164" s="3"/>
      <c r="K164" s="221"/>
      <c r="L164" s="222"/>
      <c r="M164" s="221"/>
      <c r="N164" s="3"/>
      <c r="O164" s="3"/>
      <c r="P164" s="3"/>
      <c r="Q164" s="3"/>
      <c r="R164" s="3"/>
      <c r="S164" s="3"/>
      <c r="T164" s="22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A165" s="3"/>
      <c r="B165" s="3"/>
      <c r="C165" s="31"/>
      <c r="D165" s="3"/>
      <c r="E165" s="3"/>
      <c r="F165" s="3"/>
      <c r="G165" s="3"/>
      <c r="H165" s="3"/>
      <c r="I165" s="3"/>
      <c r="J165" s="3"/>
      <c r="K165" s="221"/>
      <c r="L165" s="222"/>
      <c r="M165" s="221"/>
      <c r="N165" s="3"/>
      <c r="O165" s="3"/>
      <c r="P165" s="3"/>
      <c r="Q165" s="3"/>
      <c r="R165" s="3"/>
      <c r="S165" s="3"/>
      <c r="T165" s="22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3"/>
      <c r="B166" s="3"/>
      <c r="C166" s="31"/>
      <c r="D166" s="3"/>
      <c r="E166" s="3"/>
      <c r="F166" s="3"/>
      <c r="G166" s="3"/>
      <c r="H166" s="3"/>
      <c r="I166" s="3"/>
      <c r="J166" s="3"/>
      <c r="K166" s="221"/>
      <c r="L166" s="222"/>
      <c r="M166" s="221"/>
      <c r="N166" s="3"/>
      <c r="O166" s="3"/>
      <c r="P166" s="3"/>
      <c r="Q166" s="3"/>
      <c r="R166" s="3"/>
      <c r="S166" s="3"/>
      <c r="T166" s="22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>
      <c r="A167" s="3"/>
      <c r="B167" s="3"/>
      <c r="C167" s="31"/>
      <c r="D167" s="3"/>
      <c r="E167" s="3"/>
      <c r="F167" s="3"/>
      <c r="G167" s="3"/>
      <c r="H167" s="3"/>
      <c r="I167" s="3"/>
      <c r="J167" s="3"/>
      <c r="K167" s="221"/>
      <c r="L167" s="222"/>
      <c r="M167" s="221"/>
      <c r="N167" s="3"/>
      <c r="O167" s="3"/>
      <c r="P167" s="3"/>
      <c r="Q167" s="3"/>
      <c r="R167" s="3"/>
      <c r="S167" s="3"/>
      <c r="T167" s="22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>
      <c r="A168" s="3"/>
      <c r="B168" s="3"/>
      <c r="C168" s="31"/>
      <c r="D168" s="3"/>
      <c r="E168" s="3"/>
      <c r="F168" s="3"/>
      <c r="G168" s="3"/>
      <c r="H168" s="3"/>
      <c r="I168" s="3"/>
      <c r="J168" s="3"/>
      <c r="K168" s="221"/>
      <c r="L168" s="222"/>
      <c r="M168" s="221"/>
      <c r="N168" s="3"/>
      <c r="O168" s="3"/>
      <c r="P168" s="3"/>
      <c r="Q168" s="3"/>
      <c r="R168" s="3"/>
      <c r="S168" s="3"/>
      <c r="T168" s="22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3"/>
      <c r="B169" s="3"/>
      <c r="C169" s="31"/>
      <c r="D169" s="3"/>
      <c r="E169" s="3"/>
      <c r="F169" s="3"/>
      <c r="G169" s="3"/>
      <c r="H169" s="3"/>
      <c r="I169" s="3"/>
      <c r="J169" s="3"/>
      <c r="K169" s="221"/>
      <c r="L169" s="222"/>
      <c r="M169" s="221"/>
      <c r="N169" s="3"/>
      <c r="O169" s="3"/>
      <c r="P169" s="3"/>
      <c r="Q169" s="3"/>
      <c r="R169" s="3"/>
      <c r="S169" s="3"/>
      <c r="T169" s="22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3"/>
      <c r="B170" s="3"/>
      <c r="C170" s="31"/>
      <c r="D170" s="3"/>
      <c r="E170" s="3"/>
      <c r="F170" s="3"/>
      <c r="G170" s="3"/>
      <c r="H170" s="3"/>
      <c r="I170" s="3"/>
      <c r="J170" s="3"/>
      <c r="K170" s="221"/>
      <c r="L170" s="222"/>
      <c r="M170" s="221"/>
      <c r="N170" s="3"/>
      <c r="O170" s="3"/>
      <c r="P170" s="3"/>
      <c r="Q170" s="3"/>
      <c r="R170" s="3"/>
      <c r="S170" s="3"/>
      <c r="T170" s="22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3"/>
      <c r="B171" s="3"/>
      <c r="C171" s="31"/>
      <c r="D171" s="3"/>
      <c r="E171" s="3"/>
      <c r="F171" s="3"/>
      <c r="G171" s="3"/>
      <c r="H171" s="3"/>
      <c r="I171" s="3"/>
      <c r="J171" s="3"/>
      <c r="K171" s="221"/>
      <c r="L171" s="222"/>
      <c r="M171" s="221"/>
      <c r="N171" s="3"/>
      <c r="O171" s="3"/>
      <c r="P171" s="3"/>
      <c r="Q171" s="3"/>
      <c r="R171" s="3"/>
      <c r="S171" s="3"/>
      <c r="T171" s="22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3"/>
      <c r="B172" s="3"/>
      <c r="C172" s="31"/>
      <c r="D172" s="3"/>
      <c r="E172" s="3"/>
      <c r="F172" s="3"/>
      <c r="G172" s="3"/>
      <c r="H172" s="3"/>
      <c r="I172" s="3"/>
      <c r="J172" s="3"/>
      <c r="K172" s="221"/>
      <c r="L172" s="222"/>
      <c r="M172" s="221"/>
      <c r="N172" s="3"/>
      <c r="O172" s="3"/>
      <c r="P172" s="3"/>
      <c r="Q172" s="3"/>
      <c r="R172" s="3"/>
      <c r="S172" s="3"/>
      <c r="T172" s="22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3"/>
      <c r="B173" s="3"/>
      <c r="C173" s="31"/>
      <c r="D173" s="3"/>
      <c r="E173" s="3"/>
      <c r="F173" s="3"/>
      <c r="G173" s="3"/>
      <c r="H173" s="3"/>
      <c r="I173" s="3"/>
      <c r="J173" s="3"/>
      <c r="K173" s="221"/>
      <c r="L173" s="222"/>
      <c r="M173" s="221"/>
      <c r="N173" s="3"/>
      <c r="O173" s="3"/>
      <c r="P173" s="3"/>
      <c r="Q173" s="3"/>
      <c r="R173" s="3"/>
      <c r="S173" s="3"/>
      <c r="T173" s="22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3"/>
      <c r="B174" s="3"/>
      <c r="C174" s="31"/>
      <c r="D174" s="3"/>
      <c r="E174" s="3"/>
      <c r="F174" s="3"/>
      <c r="G174" s="3"/>
      <c r="H174" s="3"/>
      <c r="I174" s="3"/>
      <c r="J174" s="3"/>
      <c r="K174" s="221"/>
      <c r="L174" s="222"/>
      <c r="M174" s="221"/>
      <c r="N174" s="3"/>
      <c r="O174" s="3"/>
      <c r="P174" s="3"/>
      <c r="Q174" s="3"/>
      <c r="R174" s="3"/>
      <c r="S174" s="3"/>
      <c r="T174" s="22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3"/>
      <c r="B175" s="3"/>
      <c r="C175" s="31"/>
      <c r="D175" s="3"/>
      <c r="E175" s="3"/>
      <c r="F175" s="3"/>
      <c r="G175" s="3"/>
      <c r="H175" s="3"/>
      <c r="I175" s="3"/>
      <c r="J175" s="3"/>
      <c r="K175" s="221"/>
      <c r="L175" s="222"/>
      <c r="M175" s="221"/>
      <c r="N175" s="3"/>
      <c r="O175" s="3"/>
      <c r="P175" s="3"/>
      <c r="Q175" s="3"/>
      <c r="R175" s="3"/>
      <c r="S175" s="3"/>
      <c r="T175" s="22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A176" s="3"/>
      <c r="B176" s="3"/>
      <c r="C176" s="31"/>
      <c r="D176" s="3"/>
      <c r="E176" s="3"/>
      <c r="F176" s="3"/>
      <c r="G176" s="3"/>
      <c r="H176" s="3"/>
      <c r="I176" s="3"/>
      <c r="J176" s="3"/>
      <c r="K176" s="221"/>
      <c r="L176" s="222"/>
      <c r="M176" s="221"/>
      <c r="N176" s="3"/>
      <c r="O176" s="3"/>
      <c r="P176" s="3"/>
      <c r="Q176" s="3"/>
      <c r="R176" s="3"/>
      <c r="S176" s="3"/>
      <c r="T176" s="22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A177" s="3"/>
      <c r="B177" s="3"/>
      <c r="C177" s="31"/>
      <c r="D177" s="3"/>
      <c r="E177" s="3"/>
      <c r="F177" s="3"/>
      <c r="G177" s="3"/>
      <c r="H177" s="3"/>
      <c r="I177" s="3"/>
      <c r="J177" s="3"/>
      <c r="K177" s="221"/>
      <c r="L177" s="222"/>
      <c r="M177" s="221"/>
      <c r="N177" s="3"/>
      <c r="O177" s="3"/>
      <c r="P177" s="3"/>
      <c r="Q177" s="3"/>
      <c r="R177" s="3"/>
      <c r="S177" s="3"/>
      <c r="T177" s="22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A178" s="3"/>
      <c r="B178" s="3"/>
      <c r="C178" s="31"/>
      <c r="D178" s="3"/>
      <c r="E178" s="3"/>
      <c r="F178" s="3"/>
      <c r="G178" s="3"/>
      <c r="H178" s="3"/>
      <c r="I178" s="3"/>
      <c r="J178" s="3"/>
      <c r="K178" s="221"/>
      <c r="L178" s="222"/>
      <c r="M178" s="221"/>
      <c r="N178" s="3"/>
      <c r="O178" s="3"/>
      <c r="P178" s="3"/>
      <c r="Q178" s="3"/>
      <c r="R178" s="3"/>
      <c r="S178" s="3"/>
      <c r="T178" s="22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A179" s="224"/>
      <c r="B179" s="225" t="s">
        <v>4</v>
      </c>
      <c r="C179" s="225" t="s">
        <v>5</v>
      </c>
      <c r="D179" s="226" t="s">
        <v>6</v>
      </c>
      <c r="E179" s="226" t="s">
        <v>7</v>
      </c>
      <c r="F179" s="226" t="s">
        <v>8</v>
      </c>
      <c r="G179" s="226" t="s">
        <v>1070</v>
      </c>
      <c r="H179" s="226" t="s">
        <v>10</v>
      </c>
      <c r="I179" s="227" t="s">
        <v>1071</v>
      </c>
      <c r="J179" s="227" t="s">
        <v>1072</v>
      </c>
      <c r="K179" s="228" t="s">
        <v>13</v>
      </c>
      <c r="L179" s="229"/>
      <c r="M179" s="228" t="s">
        <v>14</v>
      </c>
      <c r="N179" s="230" t="s">
        <v>15</v>
      </c>
      <c r="O179" s="230" t="s">
        <v>1073</v>
      </c>
      <c r="P179" s="226" t="s">
        <v>1074</v>
      </c>
      <c r="Q179" s="226" t="s">
        <v>1075</v>
      </c>
      <c r="R179" s="226" t="s">
        <v>1076</v>
      </c>
      <c r="S179" s="231" t="s">
        <v>19</v>
      </c>
      <c r="T179" s="232" t="s">
        <v>2</v>
      </c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A180" s="3"/>
      <c r="B180" s="3"/>
      <c r="C180" s="31"/>
      <c r="D180" s="3"/>
      <c r="E180" s="3"/>
      <c r="F180" s="3"/>
      <c r="G180" s="3"/>
      <c r="H180" s="3"/>
      <c r="I180" s="3"/>
      <c r="J180" s="3"/>
      <c r="K180" s="221"/>
      <c r="L180" s="222"/>
      <c r="M180" s="221"/>
      <c r="N180" s="3"/>
      <c r="O180" s="3"/>
      <c r="P180" s="3"/>
      <c r="Q180" s="3"/>
      <c r="R180" s="3"/>
      <c r="S180" s="3"/>
      <c r="T180" s="22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A181" s="3"/>
      <c r="B181" s="3"/>
      <c r="C181" s="31"/>
      <c r="D181" s="3"/>
      <c r="E181" s="3"/>
      <c r="F181" s="3"/>
      <c r="G181" s="3"/>
      <c r="H181" s="3"/>
      <c r="I181" s="3"/>
      <c r="J181" s="3"/>
      <c r="K181" s="221"/>
      <c r="L181" s="222"/>
      <c r="M181" s="221"/>
      <c r="N181" s="3"/>
      <c r="O181" s="3"/>
      <c r="P181" s="3"/>
      <c r="Q181" s="3"/>
      <c r="R181" s="3"/>
      <c r="S181" s="3"/>
      <c r="T181" s="22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A182" s="3"/>
      <c r="B182" s="3"/>
      <c r="C182" s="31"/>
      <c r="D182" s="3"/>
      <c r="E182" s="3"/>
      <c r="F182" s="3"/>
      <c r="G182" s="3"/>
      <c r="H182" s="3"/>
      <c r="I182" s="3"/>
      <c r="J182" s="3"/>
      <c r="K182" s="221"/>
      <c r="L182" s="222"/>
      <c r="M182" s="221"/>
      <c r="N182" s="3"/>
      <c r="O182" s="3"/>
      <c r="P182" s="3"/>
      <c r="Q182" s="3"/>
      <c r="R182" s="3"/>
      <c r="S182" s="3"/>
      <c r="T182" s="22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A183" s="3"/>
      <c r="B183" s="3"/>
      <c r="C183" s="31"/>
      <c r="D183" s="3"/>
      <c r="E183" s="3"/>
      <c r="F183" s="3"/>
      <c r="G183" s="3"/>
      <c r="H183" s="3"/>
      <c r="I183" s="3"/>
      <c r="J183" s="3"/>
      <c r="K183" s="221"/>
      <c r="L183" s="222"/>
      <c r="M183" s="221"/>
      <c r="N183" s="3"/>
      <c r="O183" s="3"/>
      <c r="P183" s="3"/>
      <c r="Q183" s="3"/>
      <c r="R183" s="3"/>
      <c r="S183" s="3"/>
      <c r="T183" s="22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A184" s="3"/>
      <c r="B184" s="3"/>
      <c r="C184" s="31"/>
      <c r="D184" s="3"/>
      <c r="E184" s="3"/>
      <c r="F184" s="3"/>
      <c r="G184" s="3"/>
      <c r="H184" s="3"/>
      <c r="I184" s="3"/>
      <c r="J184" s="3"/>
      <c r="K184" s="221"/>
      <c r="L184" s="222"/>
      <c r="M184" s="221"/>
      <c r="N184" s="3"/>
      <c r="O184" s="3"/>
      <c r="P184" s="3"/>
      <c r="Q184" s="3"/>
      <c r="R184" s="3"/>
      <c r="S184" s="3"/>
      <c r="T184" s="22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A185" s="3"/>
      <c r="B185" s="3"/>
      <c r="C185" s="31"/>
      <c r="D185" s="3"/>
      <c r="E185" s="3"/>
      <c r="F185" s="3"/>
      <c r="G185" s="3"/>
      <c r="H185" s="3"/>
      <c r="I185" s="3"/>
      <c r="J185" s="3"/>
      <c r="K185" s="221"/>
      <c r="L185" s="222"/>
      <c r="M185" s="221"/>
      <c r="N185" s="3"/>
      <c r="O185" s="3"/>
      <c r="P185" s="3"/>
      <c r="Q185" s="3"/>
      <c r="R185" s="3"/>
      <c r="S185" s="3"/>
      <c r="T185" s="22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A186" s="3"/>
      <c r="B186" s="3"/>
      <c r="C186" s="31"/>
      <c r="D186" s="3"/>
      <c r="E186" s="3"/>
      <c r="F186" s="3"/>
      <c r="G186" s="3"/>
      <c r="H186" s="3"/>
      <c r="I186" s="3"/>
      <c r="J186" s="3"/>
      <c r="K186" s="221"/>
      <c r="L186" s="222"/>
      <c r="M186" s="221"/>
      <c r="N186" s="3"/>
      <c r="O186" s="3"/>
      <c r="P186" s="3"/>
      <c r="Q186" s="3"/>
      <c r="R186" s="3"/>
      <c r="S186" s="3"/>
      <c r="T186" s="22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A187" s="3"/>
      <c r="B187" s="3"/>
      <c r="C187" s="31"/>
      <c r="D187" s="3"/>
      <c r="E187" s="3"/>
      <c r="F187" s="3"/>
      <c r="G187" s="3"/>
      <c r="H187" s="3"/>
      <c r="I187" s="3"/>
      <c r="J187" s="3"/>
      <c r="K187" s="221"/>
      <c r="L187" s="222"/>
      <c r="M187" s="221"/>
      <c r="N187" s="3"/>
      <c r="O187" s="3"/>
      <c r="P187" s="3"/>
      <c r="Q187" s="3"/>
      <c r="R187" s="3"/>
      <c r="S187" s="3"/>
      <c r="T187" s="22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A188" s="3"/>
      <c r="B188" s="3"/>
      <c r="C188" s="31"/>
      <c r="D188" s="3"/>
      <c r="E188" s="3"/>
      <c r="F188" s="3"/>
      <c r="G188" s="3"/>
      <c r="H188" s="3"/>
      <c r="I188" s="3"/>
      <c r="J188" s="3"/>
      <c r="K188" s="221"/>
      <c r="L188" s="222"/>
      <c r="M188" s="221"/>
      <c r="N188" s="3"/>
      <c r="O188" s="3"/>
      <c r="P188" s="3"/>
      <c r="Q188" s="3"/>
      <c r="R188" s="3"/>
      <c r="S188" s="3"/>
      <c r="T188" s="22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A189" s="3"/>
      <c r="B189" s="3"/>
      <c r="C189" s="31"/>
      <c r="D189" s="3"/>
      <c r="E189" s="3"/>
      <c r="F189" s="3"/>
      <c r="G189" s="3"/>
      <c r="H189" s="3"/>
      <c r="I189" s="3"/>
      <c r="J189" s="3"/>
      <c r="K189" s="221"/>
      <c r="L189" s="222"/>
      <c r="M189" s="221"/>
      <c r="N189" s="3"/>
      <c r="O189" s="3"/>
      <c r="P189" s="3"/>
      <c r="Q189" s="3"/>
      <c r="R189" s="3"/>
      <c r="S189" s="3"/>
      <c r="T189" s="22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A190" s="3"/>
      <c r="B190" s="3"/>
      <c r="C190" s="31"/>
      <c r="D190" s="3"/>
      <c r="E190" s="3"/>
      <c r="F190" s="3"/>
      <c r="G190" s="3"/>
      <c r="H190" s="3"/>
      <c r="I190" s="3"/>
      <c r="J190" s="3"/>
      <c r="K190" s="221"/>
      <c r="L190" s="222"/>
      <c r="M190" s="221"/>
      <c r="N190" s="3"/>
      <c r="O190" s="3"/>
      <c r="P190" s="3"/>
      <c r="Q190" s="3"/>
      <c r="R190" s="3"/>
      <c r="S190" s="3"/>
      <c r="T190" s="22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A191" s="3"/>
      <c r="B191" s="3"/>
      <c r="C191" s="31"/>
      <c r="D191" s="3"/>
      <c r="E191" s="3"/>
      <c r="F191" s="3"/>
      <c r="G191" s="3"/>
      <c r="H191" s="3"/>
      <c r="I191" s="3"/>
      <c r="J191" s="3"/>
      <c r="K191" s="221"/>
      <c r="L191" s="222"/>
      <c r="M191" s="221"/>
      <c r="N191" s="3"/>
      <c r="O191" s="3"/>
      <c r="P191" s="3"/>
      <c r="Q191" s="3"/>
      <c r="R191" s="3"/>
      <c r="S191" s="3"/>
      <c r="T191" s="22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A192" s="3"/>
      <c r="B192" s="3"/>
      <c r="C192" s="31"/>
      <c r="D192" s="3"/>
      <c r="E192" s="3"/>
      <c r="F192" s="3"/>
      <c r="G192" s="3"/>
      <c r="H192" s="3"/>
      <c r="I192" s="3"/>
      <c r="J192" s="3"/>
      <c r="K192" s="221"/>
      <c r="L192" s="222"/>
      <c r="M192" s="221"/>
      <c r="N192" s="3"/>
      <c r="O192" s="3"/>
      <c r="P192" s="3"/>
      <c r="Q192" s="3"/>
      <c r="R192" s="3"/>
      <c r="S192" s="3"/>
      <c r="T192" s="22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A193" s="3"/>
      <c r="B193" s="3"/>
      <c r="C193" s="31"/>
      <c r="D193" s="3"/>
      <c r="E193" s="3"/>
      <c r="F193" s="3"/>
      <c r="G193" s="3"/>
      <c r="H193" s="3"/>
      <c r="I193" s="3"/>
      <c r="J193" s="3"/>
      <c r="K193" s="221"/>
      <c r="L193" s="222"/>
      <c r="M193" s="221"/>
      <c r="N193" s="3"/>
      <c r="O193" s="3"/>
      <c r="P193" s="3"/>
      <c r="Q193" s="3"/>
      <c r="R193" s="3"/>
      <c r="S193" s="3"/>
      <c r="T193" s="22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A194" s="3"/>
      <c r="B194" s="3"/>
      <c r="C194" s="31"/>
      <c r="D194" s="3"/>
      <c r="E194" s="3"/>
      <c r="F194" s="3"/>
      <c r="G194" s="3"/>
      <c r="H194" s="3"/>
      <c r="I194" s="3"/>
      <c r="J194" s="3"/>
      <c r="K194" s="221"/>
      <c r="L194" s="222"/>
      <c r="M194" s="221"/>
      <c r="N194" s="3"/>
      <c r="O194" s="3"/>
      <c r="P194" s="3"/>
      <c r="Q194" s="3"/>
      <c r="R194" s="3"/>
      <c r="S194" s="3"/>
      <c r="T194" s="22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A195" s="3"/>
      <c r="B195" s="3"/>
      <c r="C195" s="31"/>
      <c r="D195" s="3"/>
      <c r="E195" s="3"/>
      <c r="F195" s="3"/>
      <c r="G195" s="3"/>
      <c r="H195" s="3"/>
      <c r="I195" s="3"/>
      <c r="J195" s="3"/>
      <c r="K195" s="221"/>
      <c r="L195" s="222"/>
      <c r="M195" s="221"/>
      <c r="N195" s="3"/>
      <c r="O195" s="3"/>
      <c r="P195" s="3"/>
      <c r="Q195" s="3"/>
      <c r="R195" s="3"/>
      <c r="S195" s="3"/>
      <c r="T195" s="22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A196" s="3"/>
      <c r="B196" s="3"/>
      <c r="C196" s="31"/>
      <c r="D196" s="3"/>
      <c r="E196" s="3"/>
      <c r="F196" s="3"/>
      <c r="G196" s="3"/>
      <c r="H196" s="3"/>
      <c r="I196" s="3"/>
      <c r="J196" s="3"/>
      <c r="K196" s="221"/>
      <c r="L196" s="222"/>
      <c r="M196" s="221"/>
      <c r="N196" s="3"/>
      <c r="O196" s="3"/>
      <c r="P196" s="3"/>
      <c r="Q196" s="3"/>
      <c r="R196" s="3"/>
      <c r="S196" s="3"/>
      <c r="T196" s="22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A197" s="3"/>
      <c r="B197" s="3"/>
      <c r="C197" s="31"/>
      <c r="D197" s="3"/>
      <c r="E197" s="3"/>
      <c r="F197" s="3"/>
      <c r="G197" s="3"/>
      <c r="H197" s="3"/>
      <c r="I197" s="3"/>
      <c r="J197" s="3"/>
      <c r="K197" s="221"/>
      <c r="L197" s="222"/>
      <c r="M197" s="221"/>
      <c r="N197" s="3"/>
      <c r="O197" s="3"/>
      <c r="P197" s="3"/>
      <c r="Q197" s="3"/>
      <c r="R197" s="3"/>
      <c r="S197" s="3"/>
      <c r="T197" s="22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A198" s="3"/>
      <c r="B198" s="3"/>
      <c r="C198" s="31"/>
      <c r="D198" s="3"/>
      <c r="E198" s="3"/>
      <c r="F198" s="3"/>
      <c r="G198" s="3"/>
      <c r="H198" s="3"/>
      <c r="I198" s="3"/>
      <c r="J198" s="3"/>
      <c r="K198" s="221"/>
      <c r="L198" s="222"/>
      <c r="M198" s="221"/>
      <c r="N198" s="3"/>
      <c r="O198" s="3"/>
      <c r="P198" s="3"/>
      <c r="Q198" s="3"/>
      <c r="R198" s="3"/>
      <c r="S198" s="3"/>
      <c r="T198" s="22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A199" s="3"/>
      <c r="B199" s="3"/>
      <c r="C199" s="31"/>
      <c r="D199" s="3"/>
      <c r="E199" s="3"/>
      <c r="F199" s="3"/>
      <c r="G199" s="3"/>
      <c r="H199" s="3"/>
      <c r="I199" s="3"/>
      <c r="J199" s="3"/>
      <c r="K199" s="221"/>
      <c r="L199" s="222"/>
      <c r="M199" s="221"/>
      <c r="N199" s="3"/>
      <c r="O199" s="3"/>
      <c r="P199" s="3"/>
      <c r="Q199" s="3"/>
      <c r="R199" s="3"/>
      <c r="S199" s="3"/>
      <c r="T199" s="22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A200" s="3"/>
      <c r="B200" s="3"/>
      <c r="C200" s="31"/>
      <c r="D200" s="3"/>
      <c r="E200" s="3"/>
      <c r="F200" s="3"/>
      <c r="G200" s="3"/>
      <c r="H200" s="3"/>
      <c r="I200" s="3"/>
      <c r="J200" s="3"/>
      <c r="K200" s="221"/>
      <c r="L200" s="222"/>
      <c r="M200" s="221"/>
      <c r="N200" s="3"/>
      <c r="O200" s="3"/>
      <c r="P200" s="3"/>
      <c r="Q200" s="3"/>
      <c r="R200" s="3"/>
      <c r="S200" s="3"/>
      <c r="T200" s="22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A201" s="3"/>
      <c r="B201" s="3"/>
      <c r="C201" s="31"/>
      <c r="D201" s="3"/>
      <c r="E201" s="3"/>
      <c r="F201" s="3"/>
      <c r="G201" s="3"/>
      <c r="H201" s="3"/>
      <c r="I201" s="3"/>
      <c r="J201" s="3"/>
      <c r="K201" s="221"/>
      <c r="L201" s="222"/>
      <c r="M201" s="221"/>
      <c r="N201" s="3"/>
      <c r="O201" s="3"/>
      <c r="P201" s="3"/>
      <c r="Q201" s="3"/>
      <c r="R201" s="3"/>
      <c r="S201" s="3"/>
      <c r="T201" s="22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A202" s="3"/>
      <c r="B202" s="3"/>
      <c r="C202" s="31"/>
      <c r="D202" s="3"/>
      <c r="E202" s="3"/>
      <c r="F202" s="3"/>
      <c r="G202" s="3"/>
      <c r="H202" s="3"/>
      <c r="I202" s="3"/>
      <c r="J202" s="3"/>
      <c r="K202" s="221"/>
      <c r="L202" s="222"/>
      <c r="M202" s="221"/>
      <c r="N202" s="3"/>
      <c r="O202" s="3"/>
      <c r="P202" s="3"/>
      <c r="Q202" s="3"/>
      <c r="R202" s="3"/>
      <c r="S202" s="3"/>
      <c r="T202" s="22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A203" s="3"/>
      <c r="B203" s="3"/>
      <c r="C203" s="31"/>
      <c r="D203" s="3"/>
      <c r="E203" s="3"/>
      <c r="F203" s="3"/>
      <c r="G203" s="3"/>
      <c r="H203" s="3"/>
      <c r="I203" s="3"/>
      <c r="J203" s="3"/>
      <c r="K203" s="221"/>
      <c r="L203" s="222"/>
      <c r="M203" s="221"/>
      <c r="N203" s="3"/>
      <c r="O203" s="3"/>
      <c r="P203" s="3"/>
      <c r="Q203" s="3"/>
      <c r="R203" s="3"/>
      <c r="S203" s="3"/>
      <c r="T203" s="22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A204" s="3"/>
      <c r="B204" s="3"/>
      <c r="C204" s="31"/>
      <c r="D204" s="3"/>
      <c r="E204" s="3"/>
      <c r="F204" s="3"/>
      <c r="G204" s="3"/>
      <c r="H204" s="3"/>
      <c r="I204" s="3"/>
      <c r="J204" s="3"/>
      <c r="K204" s="221"/>
      <c r="L204" s="222"/>
      <c r="M204" s="221"/>
      <c r="N204" s="3"/>
      <c r="O204" s="3"/>
      <c r="P204" s="3"/>
      <c r="Q204" s="3"/>
      <c r="R204" s="3"/>
      <c r="S204" s="3"/>
      <c r="T204" s="22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A205" s="3"/>
      <c r="B205" s="3"/>
      <c r="C205" s="31"/>
      <c r="D205" s="3"/>
      <c r="E205" s="3"/>
      <c r="F205" s="3"/>
      <c r="G205" s="3"/>
      <c r="H205" s="3"/>
      <c r="I205" s="3"/>
      <c r="J205" s="3"/>
      <c r="K205" s="221"/>
      <c r="L205" s="222"/>
      <c r="M205" s="221"/>
      <c r="N205" s="3"/>
      <c r="O205" s="3"/>
      <c r="P205" s="3"/>
      <c r="Q205" s="3"/>
      <c r="R205" s="3"/>
      <c r="S205" s="3"/>
      <c r="T205" s="22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A206" s="3"/>
      <c r="B206" s="3"/>
      <c r="C206" s="31"/>
      <c r="D206" s="3"/>
      <c r="E206" s="3"/>
      <c r="F206" s="3"/>
      <c r="G206" s="3"/>
      <c r="H206" s="3"/>
      <c r="I206" s="3"/>
      <c r="J206" s="3"/>
      <c r="K206" s="221"/>
      <c r="L206" s="222"/>
      <c r="M206" s="221"/>
      <c r="N206" s="3"/>
      <c r="O206" s="3"/>
      <c r="P206" s="3"/>
      <c r="Q206" s="3"/>
      <c r="R206" s="3"/>
      <c r="S206" s="3"/>
      <c r="T206" s="22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>
      <c r="A207" s="3"/>
      <c r="B207" s="3"/>
      <c r="C207" s="31"/>
      <c r="D207" s="3"/>
      <c r="E207" s="3"/>
      <c r="F207" s="3"/>
      <c r="G207" s="3"/>
      <c r="H207" s="3"/>
      <c r="I207" s="3"/>
      <c r="J207" s="3"/>
      <c r="K207" s="221"/>
      <c r="L207" s="222"/>
      <c r="M207" s="221"/>
      <c r="N207" s="3"/>
      <c r="O207" s="3"/>
      <c r="P207" s="3"/>
      <c r="Q207" s="3"/>
      <c r="R207" s="3"/>
      <c r="S207" s="3"/>
      <c r="T207" s="22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>
      <c r="A208" s="3"/>
      <c r="B208" s="3"/>
      <c r="C208" s="31"/>
      <c r="D208" s="3"/>
      <c r="E208" s="3"/>
      <c r="F208" s="3"/>
      <c r="G208" s="3"/>
      <c r="H208" s="3"/>
      <c r="I208" s="3"/>
      <c r="J208" s="3"/>
      <c r="K208" s="221"/>
      <c r="L208" s="222"/>
      <c r="M208" s="221"/>
      <c r="N208" s="3"/>
      <c r="O208" s="3"/>
      <c r="P208" s="3"/>
      <c r="Q208" s="3"/>
      <c r="R208" s="3"/>
      <c r="S208" s="3"/>
      <c r="T208" s="22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>
      <c r="A209" s="3"/>
      <c r="B209" s="3"/>
      <c r="C209" s="31"/>
      <c r="D209" s="3"/>
      <c r="E209" s="3"/>
      <c r="F209" s="3"/>
      <c r="G209" s="3"/>
      <c r="H209" s="3"/>
      <c r="I209" s="3"/>
      <c r="J209" s="3"/>
      <c r="K209" s="221"/>
      <c r="L209" s="222"/>
      <c r="M209" s="221"/>
      <c r="N209" s="3"/>
      <c r="O209" s="3"/>
      <c r="P209" s="3"/>
      <c r="Q209" s="3"/>
      <c r="R209" s="3"/>
      <c r="S209" s="3"/>
      <c r="T209" s="22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>
      <c r="A210" s="3"/>
      <c r="B210" s="3"/>
      <c r="C210" s="31"/>
      <c r="D210" s="3"/>
      <c r="E210" s="3"/>
      <c r="F210" s="3"/>
      <c r="G210" s="3"/>
      <c r="H210" s="3"/>
      <c r="I210" s="3"/>
      <c r="J210" s="3"/>
      <c r="K210" s="221"/>
      <c r="L210" s="222"/>
      <c r="M210" s="221"/>
      <c r="N210" s="3"/>
      <c r="O210" s="3"/>
      <c r="P210" s="3"/>
      <c r="Q210" s="3"/>
      <c r="R210" s="3"/>
      <c r="S210" s="3"/>
      <c r="T210" s="22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>
      <c r="A211" s="3"/>
      <c r="B211" s="3"/>
      <c r="C211" s="31"/>
      <c r="D211" s="3"/>
      <c r="E211" s="3"/>
      <c r="F211" s="3"/>
      <c r="G211" s="3"/>
      <c r="H211" s="3"/>
      <c r="I211" s="3"/>
      <c r="J211" s="3"/>
      <c r="K211" s="221"/>
      <c r="L211" s="222"/>
      <c r="M211" s="221"/>
      <c r="N211" s="3"/>
      <c r="O211" s="3"/>
      <c r="P211" s="3"/>
      <c r="Q211" s="3"/>
      <c r="R211" s="3"/>
      <c r="S211" s="3"/>
      <c r="T211" s="22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>
      <c r="A212" s="3"/>
      <c r="B212" s="3"/>
      <c r="C212" s="31"/>
      <c r="D212" s="3"/>
      <c r="E212" s="3"/>
      <c r="F212" s="3"/>
      <c r="G212" s="3"/>
      <c r="H212" s="3"/>
      <c r="I212" s="3"/>
      <c r="J212" s="3"/>
      <c r="K212" s="221"/>
      <c r="L212" s="222"/>
      <c r="M212" s="221"/>
      <c r="N212" s="3"/>
      <c r="O212" s="3"/>
      <c r="P212" s="3"/>
      <c r="Q212" s="3"/>
      <c r="R212" s="3"/>
      <c r="S212" s="3"/>
      <c r="T212" s="22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A213" s="3"/>
      <c r="B213" s="3"/>
      <c r="C213" s="31"/>
      <c r="D213" s="3"/>
      <c r="E213" s="3"/>
      <c r="F213" s="3"/>
      <c r="G213" s="3"/>
      <c r="H213" s="3"/>
      <c r="I213" s="3"/>
      <c r="J213" s="3"/>
      <c r="K213" s="221"/>
      <c r="L213" s="222"/>
      <c r="M213" s="221"/>
      <c r="N213" s="3"/>
      <c r="O213" s="3"/>
      <c r="P213" s="3"/>
      <c r="Q213" s="3"/>
      <c r="R213" s="3"/>
      <c r="S213" s="3"/>
      <c r="T213" s="22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A214" s="3"/>
      <c r="B214" s="3"/>
      <c r="C214" s="31"/>
      <c r="D214" s="3"/>
      <c r="E214" s="3"/>
      <c r="F214" s="3"/>
      <c r="G214" s="3"/>
      <c r="H214" s="3"/>
      <c r="I214" s="3"/>
      <c r="J214" s="3"/>
      <c r="K214" s="221"/>
      <c r="L214" s="222"/>
      <c r="M214" s="221"/>
      <c r="N214" s="3"/>
      <c r="O214" s="3"/>
      <c r="P214" s="3"/>
      <c r="Q214" s="3"/>
      <c r="R214" s="3"/>
      <c r="S214" s="3"/>
      <c r="T214" s="22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A215" s="3"/>
      <c r="B215" s="3"/>
      <c r="C215" s="31"/>
      <c r="D215" s="3"/>
      <c r="E215" s="3"/>
      <c r="F215" s="3"/>
      <c r="G215" s="3"/>
      <c r="H215" s="3"/>
      <c r="I215" s="3"/>
      <c r="J215" s="3"/>
      <c r="K215" s="221"/>
      <c r="L215" s="222"/>
      <c r="M215" s="221"/>
      <c r="N215" s="3"/>
      <c r="O215" s="3"/>
      <c r="P215" s="3"/>
      <c r="Q215" s="3"/>
      <c r="R215" s="3"/>
      <c r="S215" s="3"/>
      <c r="T215" s="22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A216" s="3"/>
      <c r="B216" s="3"/>
      <c r="C216" s="31"/>
      <c r="D216" s="3"/>
      <c r="E216" s="3"/>
      <c r="F216" s="3"/>
      <c r="G216" s="3"/>
      <c r="H216" s="3"/>
      <c r="I216" s="3"/>
      <c r="J216" s="3"/>
      <c r="K216" s="221"/>
      <c r="L216" s="222"/>
      <c r="M216" s="221"/>
      <c r="N216" s="3"/>
      <c r="O216" s="3"/>
      <c r="P216" s="3"/>
      <c r="Q216" s="3"/>
      <c r="R216" s="3"/>
      <c r="S216" s="3"/>
      <c r="T216" s="22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A217" s="3"/>
      <c r="B217" s="3"/>
      <c r="C217" s="31"/>
      <c r="D217" s="3"/>
      <c r="E217" s="3"/>
      <c r="F217" s="3"/>
      <c r="G217" s="3"/>
      <c r="H217" s="3"/>
      <c r="I217" s="3"/>
      <c r="J217" s="3"/>
      <c r="K217" s="221"/>
      <c r="L217" s="222"/>
      <c r="M217" s="221"/>
      <c r="N217" s="3"/>
      <c r="O217" s="3"/>
      <c r="P217" s="3"/>
      <c r="Q217" s="3"/>
      <c r="R217" s="3"/>
      <c r="S217" s="3"/>
      <c r="T217" s="22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A218" s="3"/>
      <c r="B218" s="3"/>
      <c r="C218" s="31"/>
      <c r="D218" s="3"/>
      <c r="E218" s="3"/>
      <c r="F218" s="3"/>
      <c r="G218" s="3"/>
      <c r="H218" s="3"/>
      <c r="I218" s="3"/>
      <c r="J218" s="3"/>
      <c r="K218" s="221"/>
      <c r="L218" s="222"/>
      <c r="M218" s="221"/>
      <c r="N218" s="3"/>
      <c r="O218" s="3"/>
      <c r="P218" s="3"/>
      <c r="Q218" s="3"/>
      <c r="R218" s="3"/>
      <c r="S218" s="3"/>
      <c r="T218" s="22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A219" s="3"/>
      <c r="B219" s="3"/>
      <c r="C219" s="31"/>
      <c r="D219" s="3"/>
      <c r="E219" s="3"/>
      <c r="F219" s="3"/>
      <c r="G219" s="3"/>
      <c r="H219" s="3"/>
      <c r="I219" s="3"/>
      <c r="J219" s="3"/>
      <c r="K219" s="221"/>
      <c r="L219" s="222"/>
      <c r="M219" s="221"/>
      <c r="N219" s="3"/>
      <c r="O219" s="3"/>
      <c r="P219" s="3"/>
      <c r="Q219" s="3"/>
      <c r="R219" s="3"/>
      <c r="S219" s="3"/>
      <c r="T219" s="22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A220" s="3"/>
      <c r="B220" s="3"/>
      <c r="C220" s="31"/>
      <c r="D220" s="3"/>
      <c r="E220" s="3"/>
      <c r="F220" s="3"/>
      <c r="G220" s="3"/>
      <c r="H220" s="3"/>
      <c r="I220" s="3"/>
      <c r="J220" s="3"/>
      <c r="K220" s="221"/>
      <c r="L220" s="222"/>
      <c r="M220" s="221"/>
      <c r="N220" s="3"/>
      <c r="O220" s="3"/>
      <c r="P220" s="3"/>
      <c r="Q220" s="3"/>
      <c r="R220" s="3"/>
      <c r="S220" s="3"/>
      <c r="T220" s="22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A221" s="3"/>
      <c r="B221" s="3"/>
      <c r="C221" s="31"/>
      <c r="D221" s="3"/>
      <c r="E221" s="3"/>
      <c r="F221" s="3"/>
      <c r="G221" s="3"/>
      <c r="H221" s="3"/>
      <c r="I221" s="3"/>
      <c r="J221" s="3"/>
      <c r="K221" s="221"/>
      <c r="L221" s="222"/>
      <c r="M221" s="221"/>
      <c r="N221" s="3"/>
      <c r="O221" s="3"/>
      <c r="P221" s="3"/>
      <c r="Q221" s="3"/>
      <c r="R221" s="3"/>
      <c r="S221" s="3"/>
      <c r="T221" s="22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A222" s="3"/>
      <c r="B222" s="3"/>
      <c r="C222" s="31"/>
      <c r="D222" s="3"/>
      <c r="E222" s="3"/>
      <c r="F222" s="3"/>
      <c r="G222" s="3"/>
      <c r="H222" s="3"/>
      <c r="I222" s="3"/>
      <c r="J222" s="3"/>
      <c r="K222" s="221"/>
      <c r="L222" s="222"/>
      <c r="M222" s="221"/>
      <c r="N222" s="3"/>
      <c r="O222" s="3"/>
      <c r="P222" s="3"/>
      <c r="Q222" s="3"/>
      <c r="R222" s="3"/>
      <c r="S222" s="3"/>
      <c r="T222" s="22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A223" s="3"/>
      <c r="B223" s="3"/>
      <c r="C223" s="31"/>
      <c r="D223" s="3"/>
      <c r="E223" s="3"/>
      <c r="F223" s="3"/>
      <c r="G223" s="3"/>
      <c r="H223" s="3"/>
      <c r="I223" s="3"/>
      <c r="J223" s="3"/>
      <c r="K223" s="221"/>
      <c r="L223" s="222"/>
      <c r="M223" s="221"/>
      <c r="N223" s="3"/>
      <c r="O223" s="3"/>
      <c r="P223" s="3"/>
      <c r="Q223" s="3"/>
      <c r="R223" s="3"/>
      <c r="S223" s="3"/>
      <c r="T223" s="22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A224" s="3"/>
      <c r="B224" s="3"/>
      <c r="C224" s="31"/>
      <c r="D224" s="3"/>
      <c r="E224" s="3"/>
      <c r="F224" s="3"/>
      <c r="G224" s="3"/>
      <c r="H224" s="3"/>
      <c r="I224" s="3"/>
      <c r="J224" s="3"/>
      <c r="K224" s="221"/>
      <c r="L224" s="222"/>
      <c r="M224" s="221"/>
      <c r="N224" s="3"/>
      <c r="O224" s="3"/>
      <c r="P224" s="3"/>
      <c r="Q224" s="3"/>
      <c r="R224" s="3"/>
      <c r="S224" s="3"/>
      <c r="T224" s="22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A225" s="3"/>
      <c r="B225" s="3"/>
      <c r="C225" s="31"/>
      <c r="D225" s="3"/>
      <c r="E225" s="3"/>
      <c r="F225" s="3"/>
      <c r="G225" s="3"/>
      <c r="H225" s="3"/>
      <c r="I225" s="3"/>
      <c r="J225" s="3"/>
      <c r="K225" s="221"/>
      <c r="L225" s="222"/>
      <c r="M225" s="221"/>
      <c r="N225" s="3"/>
      <c r="O225" s="3"/>
      <c r="P225" s="3"/>
      <c r="Q225" s="3"/>
      <c r="R225" s="3"/>
      <c r="S225" s="3"/>
      <c r="T225" s="22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A226" s="3"/>
      <c r="B226" s="3"/>
      <c r="C226" s="31"/>
      <c r="D226" s="3"/>
      <c r="E226" s="3"/>
      <c r="F226" s="3"/>
      <c r="G226" s="3"/>
      <c r="H226" s="3"/>
      <c r="I226" s="3"/>
      <c r="J226" s="3"/>
      <c r="K226" s="221"/>
      <c r="L226" s="222"/>
      <c r="M226" s="221"/>
      <c r="N226" s="3"/>
      <c r="O226" s="3"/>
      <c r="P226" s="3"/>
      <c r="Q226" s="3"/>
      <c r="R226" s="3"/>
      <c r="S226" s="3"/>
      <c r="T226" s="22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A227" s="3"/>
      <c r="B227" s="3"/>
      <c r="C227" s="31"/>
      <c r="D227" s="3"/>
      <c r="E227" s="3"/>
      <c r="F227" s="3"/>
      <c r="G227" s="3"/>
      <c r="H227" s="3"/>
      <c r="I227" s="3"/>
      <c r="J227" s="3"/>
      <c r="K227" s="221"/>
      <c r="L227" s="222"/>
      <c r="M227" s="221"/>
      <c r="N227" s="3"/>
      <c r="O227" s="3"/>
      <c r="P227" s="3"/>
      <c r="Q227" s="3"/>
      <c r="R227" s="3"/>
      <c r="S227" s="3"/>
      <c r="T227" s="22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A228" s="3"/>
      <c r="B228" s="3"/>
      <c r="C228" s="31"/>
      <c r="D228" s="3"/>
      <c r="E228" s="3"/>
      <c r="F228" s="3"/>
      <c r="G228" s="3"/>
      <c r="H228" s="3"/>
      <c r="I228" s="3"/>
      <c r="J228" s="3"/>
      <c r="K228" s="221"/>
      <c r="L228" s="222"/>
      <c r="M228" s="221"/>
      <c r="N228" s="3"/>
      <c r="O228" s="3"/>
      <c r="P228" s="3"/>
      <c r="Q228" s="3"/>
      <c r="R228" s="3"/>
      <c r="S228" s="3"/>
      <c r="T228" s="22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A229" s="3"/>
      <c r="B229" s="3"/>
      <c r="C229" s="31"/>
      <c r="D229" s="3"/>
      <c r="E229" s="3"/>
      <c r="F229" s="3"/>
      <c r="G229" s="3"/>
      <c r="H229" s="3"/>
      <c r="I229" s="3"/>
      <c r="J229" s="3"/>
      <c r="K229" s="221"/>
      <c r="L229" s="222"/>
      <c r="M229" s="221"/>
      <c r="N229" s="3"/>
      <c r="O229" s="3"/>
      <c r="P229" s="3"/>
      <c r="Q229" s="3"/>
      <c r="R229" s="3"/>
      <c r="S229" s="3"/>
      <c r="T229" s="22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A230" s="3"/>
      <c r="B230" s="3"/>
      <c r="C230" s="31"/>
      <c r="D230" s="3"/>
      <c r="E230" s="3"/>
      <c r="F230" s="3"/>
      <c r="G230" s="3"/>
      <c r="H230" s="3"/>
      <c r="I230" s="3"/>
      <c r="J230" s="3"/>
      <c r="K230" s="221"/>
      <c r="L230" s="222"/>
      <c r="M230" s="221"/>
      <c r="N230" s="3"/>
      <c r="O230" s="3"/>
      <c r="P230" s="3"/>
      <c r="Q230" s="3"/>
      <c r="R230" s="3"/>
      <c r="S230" s="3"/>
      <c r="T230" s="22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A231" s="3"/>
      <c r="B231" s="3"/>
      <c r="C231" s="31"/>
      <c r="D231" s="3"/>
      <c r="E231" s="3"/>
      <c r="F231" s="3"/>
      <c r="G231" s="3"/>
      <c r="H231" s="3"/>
      <c r="I231" s="3"/>
      <c r="J231" s="3"/>
      <c r="K231" s="221"/>
      <c r="L231" s="222"/>
      <c r="M231" s="221"/>
      <c r="N231" s="3"/>
      <c r="O231" s="3"/>
      <c r="P231" s="3"/>
      <c r="Q231" s="3"/>
      <c r="R231" s="3"/>
      <c r="S231" s="3"/>
      <c r="T231" s="22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A232" s="3"/>
      <c r="B232" s="3"/>
      <c r="C232" s="31"/>
      <c r="D232" s="3"/>
      <c r="E232" s="3"/>
      <c r="F232" s="3"/>
      <c r="G232" s="3"/>
      <c r="H232" s="3"/>
      <c r="I232" s="3"/>
      <c r="J232" s="3"/>
      <c r="K232" s="221"/>
      <c r="L232" s="222"/>
      <c r="M232" s="221"/>
      <c r="N232" s="3"/>
      <c r="O232" s="3"/>
      <c r="P232" s="3"/>
      <c r="Q232" s="3"/>
      <c r="R232" s="3"/>
      <c r="S232" s="3"/>
      <c r="T232" s="22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A233" s="3"/>
      <c r="B233" s="3"/>
      <c r="C233" s="31"/>
      <c r="D233" s="3"/>
      <c r="E233" s="3"/>
      <c r="F233" s="3"/>
      <c r="G233" s="3"/>
      <c r="H233" s="3"/>
      <c r="I233" s="3"/>
      <c r="J233" s="3"/>
      <c r="K233" s="221"/>
      <c r="L233" s="222"/>
      <c r="M233" s="221"/>
      <c r="N233" s="3"/>
      <c r="O233" s="3"/>
      <c r="P233" s="3"/>
      <c r="Q233" s="3"/>
      <c r="R233" s="3"/>
      <c r="S233" s="3"/>
      <c r="T233" s="22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A234" s="3"/>
      <c r="B234" s="3"/>
      <c r="C234" s="31"/>
      <c r="D234" s="3"/>
      <c r="E234" s="3"/>
      <c r="F234" s="3"/>
      <c r="G234" s="3"/>
      <c r="H234" s="3"/>
      <c r="I234" s="3"/>
      <c r="J234" s="3"/>
      <c r="K234" s="221"/>
      <c r="L234" s="222"/>
      <c r="M234" s="221"/>
      <c r="N234" s="3"/>
      <c r="O234" s="3"/>
      <c r="P234" s="3"/>
      <c r="Q234" s="3"/>
      <c r="R234" s="3"/>
      <c r="S234" s="3"/>
      <c r="T234" s="22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A235" s="3"/>
      <c r="B235" s="3"/>
      <c r="C235" s="31"/>
      <c r="D235" s="3"/>
      <c r="E235" s="3"/>
      <c r="F235" s="3"/>
      <c r="G235" s="3"/>
      <c r="H235" s="3"/>
      <c r="I235" s="3"/>
      <c r="J235" s="3"/>
      <c r="K235" s="221"/>
      <c r="L235" s="222"/>
      <c r="M235" s="221"/>
      <c r="N235" s="3"/>
      <c r="O235" s="3"/>
      <c r="P235" s="3"/>
      <c r="Q235" s="3"/>
      <c r="R235" s="3"/>
      <c r="S235" s="3"/>
      <c r="T235" s="22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A236" s="3"/>
      <c r="B236" s="3"/>
      <c r="C236" s="31"/>
      <c r="D236" s="3"/>
      <c r="E236" s="3"/>
      <c r="F236" s="3"/>
      <c r="G236" s="3"/>
      <c r="H236" s="3"/>
      <c r="I236" s="3"/>
      <c r="J236" s="3"/>
      <c r="K236" s="221"/>
      <c r="L236" s="222"/>
      <c r="M236" s="221"/>
      <c r="N236" s="3"/>
      <c r="O236" s="3"/>
      <c r="P236" s="3"/>
      <c r="Q236" s="3"/>
      <c r="R236" s="3"/>
      <c r="S236" s="3"/>
      <c r="T236" s="22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A237" s="3"/>
      <c r="B237" s="3"/>
      <c r="C237" s="31"/>
      <c r="D237" s="3"/>
      <c r="E237" s="3"/>
      <c r="F237" s="3"/>
      <c r="G237" s="3"/>
      <c r="H237" s="3"/>
      <c r="I237" s="3"/>
      <c r="J237" s="3"/>
      <c r="K237" s="221"/>
      <c r="L237" s="222"/>
      <c r="M237" s="221"/>
      <c r="N237" s="3"/>
      <c r="O237" s="3"/>
      <c r="P237" s="3"/>
      <c r="Q237" s="3"/>
      <c r="R237" s="3"/>
      <c r="S237" s="3"/>
      <c r="T237" s="22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A238" s="3"/>
      <c r="B238" s="3"/>
      <c r="C238" s="31"/>
      <c r="D238" s="3"/>
      <c r="E238" s="3"/>
      <c r="F238" s="3"/>
      <c r="G238" s="3"/>
      <c r="H238" s="3"/>
      <c r="I238" s="3"/>
      <c r="J238" s="3"/>
      <c r="K238" s="221"/>
      <c r="L238" s="222"/>
      <c r="M238" s="221"/>
      <c r="N238" s="3"/>
      <c r="O238" s="3"/>
      <c r="P238" s="3"/>
      <c r="Q238" s="3"/>
      <c r="R238" s="3"/>
      <c r="S238" s="3"/>
      <c r="T238" s="22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A239" s="3"/>
      <c r="B239" s="3"/>
      <c r="C239" s="31"/>
      <c r="D239" s="3"/>
      <c r="E239" s="3"/>
      <c r="F239" s="3"/>
      <c r="G239" s="3"/>
      <c r="H239" s="3"/>
      <c r="I239" s="3"/>
      <c r="J239" s="3"/>
      <c r="K239" s="221"/>
      <c r="L239" s="222"/>
      <c r="M239" s="221"/>
      <c r="N239" s="3"/>
      <c r="O239" s="3"/>
      <c r="P239" s="3"/>
      <c r="Q239" s="3"/>
      <c r="R239" s="3"/>
      <c r="S239" s="3"/>
      <c r="T239" s="22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A240" s="3"/>
      <c r="B240" s="3"/>
      <c r="C240" s="31"/>
      <c r="D240" s="3"/>
      <c r="E240" s="3"/>
      <c r="F240" s="3"/>
      <c r="G240" s="3"/>
      <c r="H240" s="3"/>
      <c r="I240" s="3"/>
      <c r="J240" s="3"/>
      <c r="K240" s="221"/>
      <c r="L240" s="222"/>
      <c r="M240" s="221"/>
      <c r="N240" s="3"/>
      <c r="O240" s="3"/>
      <c r="P240" s="3"/>
      <c r="Q240" s="3"/>
      <c r="R240" s="3"/>
      <c r="S240" s="3"/>
      <c r="T240" s="22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A241" s="3"/>
      <c r="B241" s="3"/>
      <c r="C241" s="31"/>
      <c r="D241" s="3"/>
      <c r="E241" s="3"/>
      <c r="F241" s="3"/>
      <c r="G241" s="3"/>
      <c r="H241" s="3"/>
      <c r="I241" s="3"/>
      <c r="J241" s="3"/>
      <c r="K241" s="221"/>
      <c r="L241" s="222"/>
      <c r="M241" s="221"/>
      <c r="N241" s="3"/>
      <c r="O241" s="3"/>
      <c r="P241" s="3"/>
      <c r="Q241" s="3"/>
      <c r="R241" s="3"/>
      <c r="S241" s="3"/>
      <c r="T241" s="22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A242" s="3"/>
      <c r="B242" s="3"/>
      <c r="C242" s="31"/>
      <c r="D242" s="3"/>
      <c r="E242" s="3"/>
      <c r="F242" s="3"/>
      <c r="G242" s="3"/>
      <c r="H242" s="3"/>
      <c r="I242" s="3"/>
      <c r="J242" s="3"/>
      <c r="K242" s="221"/>
      <c r="L242" s="222"/>
      <c r="M242" s="221"/>
      <c r="N242" s="3"/>
      <c r="O242" s="3"/>
      <c r="P242" s="3"/>
      <c r="Q242" s="3"/>
      <c r="R242" s="3"/>
      <c r="S242" s="3"/>
      <c r="T242" s="22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A243" s="3"/>
      <c r="B243" s="3"/>
      <c r="C243" s="31"/>
      <c r="D243" s="3"/>
      <c r="E243" s="3"/>
      <c r="F243" s="3"/>
      <c r="G243" s="3"/>
      <c r="H243" s="3"/>
      <c r="I243" s="3"/>
      <c r="J243" s="3"/>
      <c r="K243" s="221"/>
      <c r="L243" s="222"/>
      <c r="M243" s="221"/>
      <c r="N243" s="3"/>
      <c r="O243" s="3"/>
      <c r="P243" s="3"/>
      <c r="Q243" s="3"/>
      <c r="R243" s="3"/>
      <c r="S243" s="3"/>
      <c r="T243" s="22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A244" s="3"/>
      <c r="B244" s="3"/>
      <c r="C244" s="31"/>
      <c r="D244" s="3"/>
      <c r="E244" s="3"/>
      <c r="F244" s="3"/>
      <c r="G244" s="3"/>
      <c r="H244" s="3"/>
      <c r="I244" s="3"/>
      <c r="J244" s="3"/>
      <c r="K244" s="221"/>
      <c r="L244" s="222"/>
      <c r="M244" s="221"/>
      <c r="N244" s="3"/>
      <c r="O244" s="3"/>
      <c r="P244" s="3"/>
      <c r="Q244" s="3"/>
      <c r="R244" s="3"/>
      <c r="S244" s="3"/>
      <c r="T244" s="22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A245" s="3"/>
      <c r="B245" s="3"/>
      <c r="C245" s="31"/>
      <c r="D245" s="3"/>
      <c r="E245" s="3"/>
      <c r="F245" s="3"/>
      <c r="G245" s="3"/>
      <c r="H245" s="3"/>
      <c r="I245" s="3"/>
      <c r="J245" s="3"/>
      <c r="K245" s="221"/>
      <c r="L245" s="222"/>
      <c r="M245" s="221"/>
      <c r="N245" s="3"/>
      <c r="O245" s="3"/>
      <c r="P245" s="3"/>
      <c r="Q245" s="3"/>
      <c r="R245" s="3"/>
      <c r="S245" s="3"/>
      <c r="T245" s="22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A246" s="3"/>
      <c r="B246" s="3"/>
      <c r="C246" s="31"/>
      <c r="D246" s="3"/>
      <c r="E246" s="3"/>
      <c r="F246" s="3"/>
      <c r="G246" s="3"/>
      <c r="H246" s="3"/>
      <c r="I246" s="3"/>
      <c r="J246" s="3"/>
      <c r="K246" s="221"/>
      <c r="L246" s="222"/>
      <c r="M246" s="221"/>
      <c r="N246" s="3"/>
      <c r="O246" s="3"/>
      <c r="P246" s="3"/>
      <c r="Q246" s="3"/>
      <c r="R246" s="3"/>
      <c r="S246" s="3"/>
      <c r="T246" s="22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A247" s="3"/>
      <c r="B247" s="3"/>
      <c r="C247" s="31"/>
      <c r="D247" s="3"/>
      <c r="E247" s="3"/>
      <c r="F247" s="3"/>
      <c r="G247" s="3"/>
      <c r="H247" s="3"/>
      <c r="I247" s="3"/>
      <c r="J247" s="3"/>
      <c r="K247" s="221"/>
      <c r="L247" s="222"/>
      <c r="M247" s="221"/>
      <c r="N247" s="3"/>
      <c r="O247" s="3"/>
      <c r="P247" s="3"/>
      <c r="Q247" s="3"/>
      <c r="R247" s="3"/>
      <c r="S247" s="3"/>
      <c r="T247" s="22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A248" s="3"/>
      <c r="B248" s="3"/>
      <c r="C248" s="31"/>
      <c r="D248" s="3"/>
      <c r="E248" s="3"/>
      <c r="F248" s="3"/>
      <c r="G248" s="3"/>
      <c r="H248" s="3"/>
      <c r="I248" s="3"/>
      <c r="J248" s="3"/>
      <c r="K248" s="221"/>
      <c r="L248" s="222"/>
      <c r="M248" s="221"/>
      <c r="N248" s="3"/>
      <c r="O248" s="3"/>
      <c r="P248" s="3"/>
      <c r="Q248" s="3"/>
      <c r="R248" s="3"/>
      <c r="S248" s="3"/>
      <c r="T248" s="22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>
      <c r="A249" s="3"/>
      <c r="B249" s="3"/>
      <c r="C249" s="31"/>
      <c r="D249" s="3"/>
      <c r="E249" s="3"/>
      <c r="F249" s="3"/>
      <c r="G249" s="3"/>
      <c r="H249" s="3"/>
      <c r="I249" s="3"/>
      <c r="J249" s="3"/>
      <c r="K249" s="221"/>
      <c r="L249" s="222"/>
      <c r="M249" s="221"/>
      <c r="N249" s="3"/>
      <c r="O249" s="3"/>
      <c r="P249" s="3"/>
      <c r="Q249" s="3"/>
      <c r="R249" s="3"/>
      <c r="S249" s="3"/>
      <c r="T249" s="22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>
      <c r="A250" s="3"/>
      <c r="B250" s="3"/>
      <c r="C250" s="31"/>
      <c r="D250" s="3"/>
      <c r="E250" s="3"/>
      <c r="F250" s="3"/>
      <c r="G250" s="3"/>
      <c r="H250" s="3"/>
      <c r="I250" s="3"/>
      <c r="J250" s="3"/>
      <c r="K250" s="221"/>
      <c r="L250" s="222"/>
      <c r="M250" s="221"/>
      <c r="N250" s="3"/>
      <c r="O250" s="3"/>
      <c r="P250" s="3"/>
      <c r="Q250" s="3"/>
      <c r="R250" s="3"/>
      <c r="S250" s="3"/>
      <c r="T250" s="22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>
      <c r="A251" s="3"/>
      <c r="B251" s="3"/>
      <c r="C251" s="31"/>
      <c r="D251" s="3"/>
      <c r="E251" s="3"/>
      <c r="F251" s="3"/>
      <c r="G251" s="3"/>
      <c r="H251" s="3"/>
      <c r="I251" s="3"/>
      <c r="J251" s="3"/>
      <c r="K251" s="221"/>
      <c r="L251" s="222"/>
      <c r="M251" s="221"/>
      <c r="N251" s="3"/>
      <c r="O251" s="3"/>
      <c r="P251" s="3"/>
      <c r="Q251" s="3"/>
      <c r="R251" s="3"/>
      <c r="S251" s="3"/>
      <c r="T251" s="22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>
      <c r="A252" s="3"/>
      <c r="B252" s="3"/>
      <c r="C252" s="31"/>
      <c r="D252" s="3"/>
      <c r="E252" s="3"/>
      <c r="F252" s="3"/>
      <c r="G252" s="3"/>
      <c r="H252" s="3"/>
      <c r="I252" s="3"/>
      <c r="J252" s="3"/>
      <c r="K252" s="221"/>
      <c r="L252" s="222"/>
      <c r="M252" s="221"/>
      <c r="N252" s="3"/>
      <c r="O252" s="3"/>
      <c r="P252" s="3"/>
      <c r="Q252" s="3"/>
      <c r="R252" s="3"/>
      <c r="S252" s="3"/>
      <c r="T252" s="22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>
      <c r="A253" s="3"/>
      <c r="B253" s="3"/>
      <c r="C253" s="31"/>
      <c r="D253" s="3"/>
      <c r="E253" s="3"/>
      <c r="F253" s="3"/>
      <c r="G253" s="3"/>
      <c r="H253" s="3"/>
      <c r="I253" s="3"/>
      <c r="J253" s="3"/>
      <c r="K253" s="221"/>
      <c r="L253" s="222"/>
      <c r="M253" s="221"/>
      <c r="N253" s="3"/>
      <c r="O253" s="3"/>
      <c r="P253" s="3"/>
      <c r="Q253" s="3"/>
      <c r="R253" s="3"/>
      <c r="S253" s="3"/>
      <c r="T253" s="22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>
      <c r="A254" s="3"/>
      <c r="B254" s="3"/>
      <c r="C254" s="31"/>
      <c r="D254" s="3"/>
      <c r="E254" s="3"/>
      <c r="F254" s="3"/>
      <c r="G254" s="3"/>
      <c r="H254" s="3"/>
      <c r="I254" s="3"/>
      <c r="J254" s="3"/>
      <c r="K254" s="221"/>
      <c r="L254" s="222"/>
      <c r="M254" s="221"/>
      <c r="N254" s="3"/>
      <c r="O254" s="3"/>
      <c r="P254" s="3"/>
      <c r="Q254" s="3"/>
      <c r="R254" s="3"/>
      <c r="S254" s="3"/>
      <c r="T254" s="22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A255" s="3"/>
      <c r="B255" s="3"/>
      <c r="C255" s="31"/>
      <c r="D255" s="3"/>
      <c r="E255" s="3"/>
      <c r="F255" s="3"/>
      <c r="G255" s="3"/>
      <c r="H255" s="3"/>
      <c r="I255" s="3"/>
      <c r="J255" s="3"/>
      <c r="K255" s="221"/>
      <c r="L255" s="222"/>
      <c r="M255" s="221"/>
      <c r="N255" s="3"/>
      <c r="O255" s="3"/>
      <c r="P255" s="3"/>
      <c r="Q255" s="3"/>
      <c r="R255" s="3"/>
      <c r="S255" s="3"/>
      <c r="T255" s="22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A256" s="3"/>
      <c r="B256" s="3"/>
      <c r="C256" s="31"/>
      <c r="D256" s="3"/>
      <c r="E256" s="3"/>
      <c r="F256" s="3"/>
      <c r="G256" s="3"/>
      <c r="H256" s="3"/>
      <c r="I256" s="3"/>
      <c r="J256" s="3"/>
      <c r="K256" s="221"/>
      <c r="L256" s="222"/>
      <c r="M256" s="221"/>
      <c r="N256" s="3"/>
      <c r="O256" s="3"/>
      <c r="P256" s="3"/>
      <c r="Q256" s="3"/>
      <c r="R256" s="3"/>
      <c r="S256" s="3"/>
      <c r="T256" s="22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A257" s="3"/>
      <c r="B257" s="3"/>
      <c r="C257" s="31"/>
      <c r="D257" s="3"/>
      <c r="E257" s="3"/>
      <c r="F257" s="3"/>
      <c r="G257" s="3"/>
      <c r="H257" s="3"/>
      <c r="I257" s="3"/>
      <c r="J257" s="3"/>
      <c r="K257" s="221"/>
      <c r="L257" s="222"/>
      <c r="M257" s="221"/>
      <c r="N257" s="3"/>
      <c r="O257" s="3"/>
      <c r="P257" s="3"/>
      <c r="Q257" s="3"/>
      <c r="R257" s="3"/>
      <c r="S257" s="3"/>
      <c r="T257" s="22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A258" s="3"/>
      <c r="B258" s="3"/>
      <c r="C258" s="31"/>
      <c r="D258" s="3"/>
      <c r="E258" s="3"/>
      <c r="F258" s="3"/>
      <c r="G258" s="3"/>
      <c r="H258" s="3"/>
      <c r="I258" s="3"/>
      <c r="J258" s="3"/>
      <c r="K258" s="221"/>
      <c r="L258" s="222"/>
      <c r="M258" s="221"/>
      <c r="N258" s="3"/>
      <c r="O258" s="3"/>
      <c r="P258" s="3"/>
      <c r="Q258" s="3"/>
      <c r="R258" s="3"/>
      <c r="S258" s="3"/>
      <c r="T258" s="22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A259" s="3"/>
      <c r="B259" s="3"/>
      <c r="C259" s="31"/>
      <c r="D259" s="3"/>
      <c r="E259" s="3"/>
      <c r="F259" s="3"/>
      <c r="G259" s="3"/>
      <c r="H259" s="3"/>
      <c r="I259" s="3"/>
      <c r="J259" s="3"/>
      <c r="K259" s="221"/>
      <c r="L259" s="222"/>
      <c r="M259" s="221"/>
      <c r="N259" s="3"/>
      <c r="O259" s="3"/>
      <c r="P259" s="3"/>
      <c r="Q259" s="3"/>
      <c r="R259" s="3"/>
      <c r="S259" s="3"/>
      <c r="T259" s="22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A260" s="3"/>
      <c r="B260" s="3"/>
      <c r="C260" s="31"/>
      <c r="D260" s="3"/>
      <c r="E260" s="3"/>
      <c r="F260" s="3"/>
      <c r="G260" s="3"/>
      <c r="H260" s="3"/>
      <c r="I260" s="3"/>
      <c r="J260" s="3"/>
      <c r="K260" s="221"/>
      <c r="L260" s="222"/>
      <c r="M260" s="221"/>
      <c r="N260" s="3"/>
      <c r="O260" s="3"/>
      <c r="P260" s="3"/>
      <c r="Q260" s="3"/>
      <c r="R260" s="3"/>
      <c r="S260" s="3"/>
      <c r="T260" s="22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A261" s="3"/>
      <c r="B261" s="3"/>
      <c r="C261" s="31"/>
      <c r="D261" s="3"/>
      <c r="E261" s="3"/>
      <c r="F261" s="3"/>
      <c r="G261" s="3"/>
      <c r="H261" s="3"/>
      <c r="I261" s="3"/>
      <c r="J261" s="3"/>
      <c r="K261" s="221"/>
      <c r="L261" s="222"/>
      <c r="M261" s="221"/>
      <c r="N261" s="3"/>
      <c r="O261" s="3"/>
      <c r="P261" s="3"/>
      <c r="Q261" s="3"/>
      <c r="R261" s="3"/>
      <c r="S261" s="3"/>
      <c r="T261" s="22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A262" s="3"/>
      <c r="B262" s="3"/>
      <c r="C262" s="31"/>
      <c r="D262" s="3"/>
      <c r="E262" s="3"/>
      <c r="F262" s="3"/>
      <c r="G262" s="3"/>
      <c r="H262" s="3"/>
      <c r="I262" s="3"/>
      <c r="J262" s="3"/>
      <c r="K262" s="221"/>
      <c r="L262" s="222"/>
      <c r="M262" s="221"/>
      <c r="N262" s="3"/>
      <c r="O262" s="3"/>
      <c r="P262" s="3"/>
      <c r="Q262" s="3"/>
      <c r="R262" s="3"/>
      <c r="S262" s="3"/>
      <c r="T262" s="22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A263" s="3"/>
      <c r="B263" s="3"/>
      <c r="C263" s="31"/>
      <c r="D263" s="3"/>
      <c r="E263" s="3"/>
      <c r="F263" s="3"/>
      <c r="G263" s="3"/>
      <c r="H263" s="3"/>
      <c r="I263" s="3"/>
      <c r="J263" s="3"/>
      <c r="K263" s="221"/>
      <c r="L263" s="222"/>
      <c r="M263" s="221"/>
      <c r="N263" s="3"/>
      <c r="O263" s="3"/>
      <c r="P263" s="3"/>
      <c r="Q263" s="3"/>
      <c r="R263" s="3"/>
      <c r="S263" s="3"/>
      <c r="T263" s="22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A264" s="3"/>
      <c r="B264" s="3"/>
      <c r="C264" s="31"/>
      <c r="D264" s="3"/>
      <c r="E264" s="3"/>
      <c r="F264" s="3"/>
      <c r="G264" s="3"/>
      <c r="H264" s="3"/>
      <c r="I264" s="3"/>
      <c r="J264" s="3"/>
      <c r="K264" s="221"/>
      <c r="L264" s="222"/>
      <c r="M264" s="221"/>
      <c r="N264" s="3"/>
      <c r="O264" s="3"/>
      <c r="P264" s="3"/>
      <c r="Q264" s="3"/>
      <c r="R264" s="3"/>
      <c r="S264" s="3"/>
      <c r="T264" s="22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A265" s="3"/>
      <c r="B265" s="3"/>
      <c r="C265" s="31"/>
      <c r="D265" s="3"/>
      <c r="E265" s="3"/>
      <c r="F265" s="3"/>
      <c r="G265" s="3"/>
      <c r="H265" s="3"/>
      <c r="I265" s="3"/>
      <c r="J265" s="3"/>
      <c r="K265" s="221"/>
      <c r="L265" s="222"/>
      <c r="M265" s="221"/>
      <c r="N265" s="3"/>
      <c r="O265" s="3"/>
      <c r="P265" s="3"/>
      <c r="Q265" s="3"/>
      <c r="R265" s="3"/>
      <c r="S265" s="3"/>
      <c r="T265" s="22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A266" s="3"/>
      <c r="B266" s="3"/>
      <c r="C266" s="31"/>
      <c r="D266" s="3"/>
      <c r="E266" s="3"/>
      <c r="F266" s="3"/>
      <c r="G266" s="3"/>
      <c r="H266" s="3"/>
      <c r="I266" s="3"/>
      <c r="J266" s="3"/>
      <c r="K266" s="221"/>
      <c r="L266" s="222"/>
      <c r="M266" s="221"/>
      <c r="N266" s="3"/>
      <c r="O266" s="3"/>
      <c r="P266" s="3"/>
      <c r="Q266" s="3"/>
      <c r="R266" s="3"/>
      <c r="S266" s="3"/>
      <c r="T266" s="22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A267" s="3"/>
      <c r="B267" s="3"/>
      <c r="C267" s="31"/>
      <c r="D267" s="3"/>
      <c r="E267" s="3"/>
      <c r="F267" s="3"/>
      <c r="G267" s="3"/>
      <c r="H267" s="3"/>
      <c r="I267" s="3"/>
      <c r="J267" s="3"/>
      <c r="K267" s="221"/>
      <c r="L267" s="222"/>
      <c r="M267" s="221"/>
      <c r="N267" s="3"/>
      <c r="O267" s="3"/>
      <c r="P267" s="3"/>
      <c r="Q267" s="3"/>
      <c r="R267" s="3"/>
      <c r="S267" s="3"/>
      <c r="T267" s="22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A268" s="3"/>
      <c r="B268" s="3"/>
      <c r="C268" s="31"/>
      <c r="D268" s="3"/>
      <c r="E268" s="3"/>
      <c r="F268" s="3"/>
      <c r="G268" s="3"/>
      <c r="H268" s="3"/>
      <c r="I268" s="3"/>
      <c r="J268" s="3"/>
      <c r="K268" s="221"/>
      <c r="L268" s="222"/>
      <c r="M268" s="221"/>
      <c r="N268" s="3"/>
      <c r="O268" s="3"/>
      <c r="P268" s="3"/>
      <c r="Q268" s="3"/>
      <c r="R268" s="3"/>
      <c r="S268" s="3"/>
      <c r="T268" s="22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A269" s="3"/>
      <c r="B269" s="3"/>
      <c r="C269" s="31"/>
      <c r="D269" s="3"/>
      <c r="E269" s="3"/>
      <c r="F269" s="3"/>
      <c r="G269" s="3"/>
      <c r="H269" s="3"/>
      <c r="I269" s="3"/>
      <c r="J269" s="3"/>
      <c r="K269" s="221"/>
      <c r="L269" s="222"/>
      <c r="M269" s="221"/>
      <c r="N269" s="3"/>
      <c r="O269" s="3"/>
      <c r="P269" s="3"/>
      <c r="Q269" s="3"/>
      <c r="R269" s="3"/>
      <c r="S269" s="3"/>
      <c r="T269" s="22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A270" s="3"/>
      <c r="B270" s="3"/>
      <c r="C270" s="31"/>
      <c r="D270" s="3"/>
      <c r="E270" s="3"/>
      <c r="F270" s="3"/>
      <c r="G270" s="3"/>
      <c r="H270" s="3"/>
      <c r="I270" s="3"/>
      <c r="J270" s="3"/>
      <c r="K270" s="221"/>
      <c r="L270" s="222"/>
      <c r="M270" s="221"/>
      <c r="N270" s="3"/>
      <c r="O270" s="3"/>
      <c r="P270" s="3"/>
      <c r="Q270" s="3"/>
      <c r="R270" s="3"/>
      <c r="S270" s="3"/>
      <c r="T270" s="22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A271" s="3"/>
      <c r="B271" s="3"/>
      <c r="C271" s="31"/>
      <c r="D271" s="3"/>
      <c r="E271" s="3"/>
      <c r="F271" s="3"/>
      <c r="G271" s="3"/>
      <c r="H271" s="3"/>
      <c r="I271" s="3"/>
      <c r="J271" s="3"/>
      <c r="K271" s="221"/>
      <c r="L271" s="222"/>
      <c r="M271" s="221"/>
      <c r="N271" s="3"/>
      <c r="O271" s="3"/>
      <c r="P271" s="3"/>
      <c r="Q271" s="3"/>
      <c r="R271" s="3"/>
      <c r="S271" s="3"/>
      <c r="T271" s="22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A272" s="3"/>
      <c r="B272" s="3"/>
      <c r="C272" s="31"/>
      <c r="D272" s="3"/>
      <c r="E272" s="3"/>
      <c r="F272" s="3"/>
      <c r="G272" s="3"/>
      <c r="H272" s="3"/>
      <c r="I272" s="3"/>
      <c r="J272" s="3"/>
      <c r="K272" s="221"/>
      <c r="L272" s="222"/>
      <c r="M272" s="221"/>
      <c r="N272" s="3"/>
      <c r="O272" s="3"/>
      <c r="P272" s="3"/>
      <c r="Q272" s="3"/>
      <c r="R272" s="3"/>
      <c r="S272" s="3"/>
      <c r="T272" s="22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A273" s="3"/>
      <c r="B273" s="3"/>
      <c r="C273" s="31"/>
      <c r="D273" s="3"/>
      <c r="E273" s="3"/>
      <c r="F273" s="3"/>
      <c r="G273" s="3"/>
      <c r="H273" s="3"/>
      <c r="I273" s="3"/>
      <c r="J273" s="3"/>
      <c r="K273" s="221"/>
      <c r="L273" s="222"/>
      <c r="M273" s="221"/>
      <c r="N273" s="3"/>
      <c r="O273" s="3"/>
      <c r="P273" s="3"/>
      <c r="Q273" s="3"/>
      <c r="R273" s="3"/>
      <c r="S273" s="3"/>
      <c r="T273" s="22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A274" s="3"/>
      <c r="B274" s="3"/>
      <c r="C274" s="31"/>
      <c r="D274" s="3"/>
      <c r="E274" s="3"/>
      <c r="F274" s="3"/>
      <c r="G274" s="3"/>
      <c r="H274" s="3"/>
      <c r="I274" s="3"/>
      <c r="J274" s="3"/>
      <c r="K274" s="221"/>
      <c r="L274" s="222"/>
      <c r="M274" s="221"/>
      <c r="N274" s="3"/>
      <c r="O274" s="3"/>
      <c r="P274" s="3"/>
      <c r="Q274" s="3"/>
      <c r="R274" s="3"/>
      <c r="S274" s="3"/>
      <c r="T274" s="22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A275" s="3"/>
      <c r="B275" s="3"/>
      <c r="C275" s="31"/>
      <c r="D275" s="3"/>
      <c r="E275" s="3"/>
      <c r="F275" s="3"/>
      <c r="G275" s="3"/>
      <c r="H275" s="3"/>
      <c r="I275" s="3"/>
      <c r="J275" s="3"/>
      <c r="K275" s="221"/>
      <c r="L275" s="222"/>
      <c r="M275" s="221"/>
      <c r="N275" s="3"/>
      <c r="O275" s="3"/>
      <c r="P275" s="3"/>
      <c r="Q275" s="3"/>
      <c r="R275" s="3"/>
      <c r="S275" s="3"/>
      <c r="T275" s="22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A276" s="3"/>
      <c r="B276" s="3"/>
      <c r="C276" s="31"/>
      <c r="D276" s="3"/>
      <c r="E276" s="3"/>
      <c r="F276" s="3"/>
      <c r="G276" s="3"/>
      <c r="H276" s="3"/>
      <c r="I276" s="3"/>
      <c r="J276" s="3"/>
      <c r="K276" s="221"/>
      <c r="L276" s="222"/>
      <c r="M276" s="221"/>
      <c r="N276" s="3"/>
      <c r="O276" s="3"/>
      <c r="P276" s="3"/>
      <c r="Q276" s="3"/>
      <c r="R276" s="3"/>
      <c r="S276" s="3"/>
      <c r="T276" s="22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A277" s="3"/>
      <c r="B277" s="3"/>
      <c r="C277" s="31"/>
      <c r="D277" s="3"/>
      <c r="E277" s="3"/>
      <c r="F277" s="3"/>
      <c r="G277" s="3"/>
      <c r="H277" s="3"/>
      <c r="I277" s="3"/>
      <c r="J277" s="3"/>
      <c r="K277" s="221"/>
      <c r="L277" s="222"/>
      <c r="M277" s="221"/>
      <c r="N277" s="3"/>
      <c r="O277" s="3"/>
      <c r="P277" s="3"/>
      <c r="Q277" s="3"/>
      <c r="R277" s="3"/>
      <c r="S277" s="3"/>
      <c r="T277" s="22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A278" s="3"/>
      <c r="B278" s="3"/>
      <c r="C278" s="31"/>
      <c r="D278" s="3"/>
      <c r="E278" s="3"/>
      <c r="F278" s="3"/>
      <c r="G278" s="3"/>
      <c r="H278" s="3"/>
      <c r="I278" s="3"/>
      <c r="J278" s="3"/>
      <c r="K278" s="221"/>
      <c r="L278" s="222"/>
      <c r="M278" s="221"/>
      <c r="N278" s="3"/>
      <c r="O278" s="3"/>
      <c r="P278" s="3"/>
      <c r="Q278" s="3"/>
      <c r="R278" s="3"/>
      <c r="S278" s="3"/>
      <c r="T278" s="22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A279" s="3"/>
      <c r="B279" s="3"/>
      <c r="C279" s="31"/>
      <c r="D279" s="3"/>
      <c r="E279" s="3"/>
      <c r="F279" s="3"/>
      <c r="G279" s="3"/>
      <c r="H279" s="3"/>
      <c r="I279" s="3"/>
      <c r="J279" s="3"/>
      <c r="K279" s="221"/>
      <c r="L279" s="222"/>
      <c r="M279" s="221"/>
      <c r="N279" s="3"/>
      <c r="O279" s="3"/>
      <c r="P279" s="3"/>
      <c r="Q279" s="3"/>
      <c r="R279" s="3"/>
      <c r="S279" s="3"/>
      <c r="T279" s="22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A280" s="3"/>
      <c r="B280" s="3"/>
      <c r="C280" s="31"/>
      <c r="D280" s="3"/>
      <c r="E280" s="3"/>
      <c r="F280" s="3"/>
      <c r="G280" s="3"/>
      <c r="H280" s="3"/>
      <c r="I280" s="3"/>
      <c r="J280" s="3"/>
      <c r="K280" s="221"/>
      <c r="L280" s="222"/>
      <c r="M280" s="221"/>
      <c r="N280" s="3"/>
      <c r="O280" s="3"/>
      <c r="P280" s="3"/>
      <c r="Q280" s="3"/>
      <c r="R280" s="3"/>
      <c r="S280" s="3"/>
      <c r="T280" s="22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A281" s="3"/>
      <c r="B281" s="3"/>
      <c r="C281" s="31"/>
      <c r="D281" s="3"/>
      <c r="E281" s="3"/>
      <c r="F281" s="3"/>
      <c r="G281" s="3"/>
      <c r="H281" s="3"/>
      <c r="I281" s="3"/>
      <c r="J281" s="3"/>
      <c r="K281" s="221"/>
      <c r="L281" s="222"/>
      <c r="M281" s="221"/>
      <c r="N281" s="3"/>
      <c r="O281" s="3"/>
      <c r="P281" s="3"/>
      <c r="Q281" s="3"/>
      <c r="R281" s="3"/>
      <c r="S281" s="3"/>
      <c r="T281" s="22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A282" s="3"/>
      <c r="B282" s="3"/>
      <c r="C282" s="31"/>
      <c r="D282" s="3"/>
      <c r="E282" s="3"/>
      <c r="F282" s="3"/>
      <c r="G282" s="3"/>
      <c r="H282" s="3"/>
      <c r="I282" s="3"/>
      <c r="J282" s="3"/>
      <c r="K282" s="221"/>
      <c r="L282" s="222"/>
      <c r="M282" s="221"/>
      <c r="N282" s="3"/>
      <c r="O282" s="3"/>
      <c r="P282" s="3"/>
      <c r="Q282" s="3"/>
      <c r="R282" s="3"/>
      <c r="S282" s="3"/>
      <c r="T282" s="22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A283" s="3"/>
      <c r="B283" s="3"/>
      <c r="C283" s="31"/>
      <c r="D283" s="3"/>
      <c r="E283" s="3"/>
      <c r="F283" s="3"/>
      <c r="G283" s="3"/>
      <c r="H283" s="3"/>
      <c r="I283" s="3"/>
      <c r="J283" s="3"/>
      <c r="K283" s="221"/>
      <c r="L283" s="222"/>
      <c r="M283" s="221"/>
      <c r="N283" s="3"/>
      <c r="O283" s="3"/>
      <c r="P283" s="3"/>
      <c r="Q283" s="3"/>
      <c r="R283" s="3"/>
      <c r="S283" s="3"/>
      <c r="T283" s="22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A284" s="3"/>
      <c r="B284" s="3"/>
      <c r="C284" s="31"/>
      <c r="D284" s="3"/>
      <c r="E284" s="3"/>
      <c r="F284" s="3"/>
      <c r="G284" s="3"/>
      <c r="H284" s="3"/>
      <c r="I284" s="3"/>
      <c r="J284" s="3"/>
      <c r="K284" s="221"/>
      <c r="L284" s="222"/>
      <c r="M284" s="221"/>
      <c r="N284" s="3"/>
      <c r="O284" s="3"/>
      <c r="P284" s="3"/>
      <c r="Q284" s="3"/>
      <c r="R284" s="3"/>
      <c r="S284" s="3"/>
      <c r="T284" s="22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A285" s="3"/>
      <c r="B285" s="3"/>
      <c r="C285" s="31"/>
      <c r="D285" s="3"/>
      <c r="E285" s="3"/>
      <c r="F285" s="3"/>
      <c r="G285" s="3"/>
      <c r="H285" s="3"/>
      <c r="I285" s="3"/>
      <c r="J285" s="3"/>
      <c r="K285" s="221"/>
      <c r="L285" s="222"/>
      <c r="M285" s="221"/>
      <c r="N285" s="3"/>
      <c r="O285" s="3"/>
      <c r="P285" s="3"/>
      <c r="Q285" s="3"/>
      <c r="R285" s="3"/>
      <c r="S285" s="3"/>
      <c r="T285" s="22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A286" s="3"/>
      <c r="B286" s="3"/>
      <c r="C286" s="31"/>
      <c r="D286" s="3"/>
      <c r="E286" s="3"/>
      <c r="F286" s="3"/>
      <c r="G286" s="3"/>
      <c r="H286" s="3"/>
      <c r="I286" s="3"/>
      <c r="J286" s="3"/>
      <c r="K286" s="221"/>
      <c r="L286" s="222"/>
      <c r="M286" s="221"/>
      <c r="N286" s="3"/>
      <c r="O286" s="3"/>
      <c r="P286" s="3"/>
      <c r="Q286" s="3"/>
      <c r="R286" s="3"/>
      <c r="S286" s="3"/>
      <c r="T286" s="22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A287" s="3"/>
      <c r="B287" s="3"/>
      <c r="C287" s="31"/>
      <c r="D287" s="3"/>
      <c r="E287" s="3"/>
      <c r="F287" s="3"/>
      <c r="G287" s="3"/>
      <c r="H287" s="3"/>
      <c r="I287" s="3"/>
      <c r="J287" s="3"/>
      <c r="K287" s="221"/>
      <c r="L287" s="222"/>
      <c r="M287" s="221"/>
      <c r="N287" s="3"/>
      <c r="O287" s="3"/>
      <c r="P287" s="3"/>
      <c r="Q287" s="3"/>
      <c r="R287" s="3"/>
      <c r="S287" s="3"/>
      <c r="T287" s="22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A288" s="3"/>
      <c r="B288" s="3"/>
      <c r="C288" s="31"/>
      <c r="D288" s="3"/>
      <c r="E288" s="3"/>
      <c r="F288" s="3"/>
      <c r="G288" s="3"/>
      <c r="H288" s="3"/>
      <c r="I288" s="3"/>
      <c r="J288" s="3"/>
      <c r="K288" s="221"/>
      <c r="L288" s="222"/>
      <c r="M288" s="221"/>
      <c r="N288" s="3"/>
      <c r="O288" s="3"/>
      <c r="P288" s="3"/>
      <c r="Q288" s="3"/>
      <c r="R288" s="3"/>
      <c r="S288" s="3"/>
      <c r="T288" s="22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A289" s="3"/>
      <c r="B289" s="3"/>
      <c r="C289" s="31"/>
      <c r="D289" s="3"/>
      <c r="E289" s="3"/>
      <c r="F289" s="3"/>
      <c r="G289" s="3"/>
      <c r="H289" s="3"/>
      <c r="I289" s="3"/>
      <c r="J289" s="3"/>
      <c r="K289" s="221"/>
      <c r="L289" s="222"/>
      <c r="M289" s="221"/>
      <c r="N289" s="3"/>
      <c r="O289" s="3"/>
      <c r="P289" s="3"/>
      <c r="Q289" s="3"/>
      <c r="R289" s="3"/>
      <c r="S289" s="3"/>
      <c r="T289" s="22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A290" s="3"/>
      <c r="B290" s="3"/>
      <c r="C290" s="31"/>
      <c r="D290" s="3"/>
      <c r="E290" s="3"/>
      <c r="F290" s="3"/>
      <c r="G290" s="3"/>
      <c r="H290" s="3"/>
      <c r="I290" s="3"/>
      <c r="J290" s="3"/>
      <c r="K290" s="221"/>
      <c r="L290" s="222"/>
      <c r="M290" s="221"/>
      <c r="N290" s="3"/>
      <c r="O290" s="3"/>
      <c r="P290" s="3"/>
      <c r="Q290" s="3"/>
      <c r="R290" s="3"/>
      <c r="S290" s="3"/>
      <c r="T290" s="22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>
      <c r="A291" s="3"/>
      <c r="B291" s="3"/>
      <c r="C291" s="31"/>
      <c r="D291" s="3"/>
      <c r="E291" s="3"/>
      <c r="F291" s="3"/>
      <c r="G291" s="3"/>
      <c r="H291" s="3"/>
      <c r="I291" s="3"/>
      <c r="J291" s="3"/>
      <c r="K291" s="221"/>
      <c r="L291" s="222"/>
      <c r="M291" s="221"/>
      <c r="N291" s="3"/>
      <c r="O291" s="3"/>
      <c r="P291" s="3"/>
      <c r="Q291" s="3"/>
      <c r="R291" s="3"/>
      <c r="S291" s="3"/>
      <c r="T291" s="22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>
      <c r="A292" s="3"/>
      <c r="B292" s="3"/>
      <c r="C292" s="31"/>
      <c r="D292" s="3"/>
      <c r="E292" s="3"/>
      <c r="F292" s="3"/>
      <c r="G292" s="3"/>
      <c r="H292" s="3"/>
      <c r="I292" s="3"/>
      <c r="J292" s="3"/>
      <c r="K292" s="221"/>
      <c r="L292" s="222"/>
      <c r="M292" s="221"/>
      <c r="N292" s="3"/>
      <c r="O292" s="3"/>
      <c r="P292" s="3"/>
      <c r="Q292" s="3"/>
      <c r="R292" s="3"/>
      <c r="S292" s="3"/>
      <c r="T292" s="22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>
      <c r="A293" s="3"/>
      <c r="B293" s="3"/>
      <c r="C293" s="31"/>
      <c r="D293" s="3"/>
      <c r="E293" s="3"/>
      <c r="F293" s="3"/>
      <c r="G293" s="3"/>
      <c r="H293" s="3"/>
      <c r="I293" s="3"/>
      <c r="J293" s="3"/>
      <c r="K293" s="221"/>
      <c r="L293" s="222"/>
      <c r="M293" s="221"/>
      <c r="N293" s="3"/>
      <c r="O293" s="3"/>
      <c r="P293" s="3"/>
      <c r="Q293" s="3"/>
      <c r="R293" s="3"/>
      <c r="S293" s="3"/>
      <c r="T293" s="22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>
      <c r="A294" s="3"/>
      <c r="B294" s="3"/>
      <c r="C294" s="31"/>
      <c r="D294" s="3"/>
      <c r="E294" s="3"/>
      <c r="F294" s="3"/>
      <c r="G294" s="3"/>
      <c r="H294" s="3"/>
      <c r="I294" s="3"/>
      <c r="J294" s="3"/>
      <c r="K294" s="221"/>
      <c r="L294" s="222"/>
      <c r="M294" s="221"/>
      <c r="N294" s="3"/>
      <c r="O294" s="3"/>
      <c r="P294" s="3"/>
      <c r="Q294" s="3"/>
      <c r="R294" s="3"/>
      <c r="S294" s="3"/>
      <c r="T294" s="22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>
      <c r="A295" s="3"/>
      <c r="B295" s="3"/>
      <c r="C295" s="31"/>
      <c r="D295" s="3"/>
      <c r="E295" s="3"/>
      <c r="F295" s="3"/>
      <c r="G295" s="3"/>
      <c r="H295" s="3"/>
      <c r="I295" s="3"/>
      <c r="J295" s="3"/>
      <c r="K295" s="221"/>
      <c r="L295" s="222"/>
      <c r="M295" s="221"/>
      <c r="N295" s="3"/>
      <c r="O295" s="3"/>
      <c r="P295" s="3"/>
      <c r="Q295" s="3"/>
      <c r="R295" s="3"/>
      <c r="S295" s="3"/>
      <c r="T295" s="22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>
      <c r="A296" s="3"/>
      <c r="B296" s="3"/>
      <c r="C296" s="31"/>
      <c r="D296" s="3"/>
      <c r="E296" s="3"/>
      <c r="F296" s="3"/>
      <c r="G296" s="3"/>
      <c r="H296" s="3"/>
      <c r="I296" s="3"/>
      <c r="J296" s="3"/>
      <c r="K296" s="221"/>
      <c r="L296" s="222"/>
      <c r="M296" s="221"/>
      <c r="N296" s="3"/>
      <c r="O296" s="3"/>
      <c r="P296" s="3"/>
      <c r="Q296" s="3"/>
      <c r="R296" s="3"/>
      <c r="S296" s="3"/>
      <c r="T296" s="22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A297" s="3"/>
      <c r="B297" s="3"/>
      <c r="C297" s="31"/>
      <c r="D297" s="3"/>
      <c r="E297" s="3"/>
      <c r="F297" s="3"/>
      <c r="G297" s="3"/>
      <c r="H297" s="3"/>
      <c r="I297" s="3"/>
      <c r="J297" s="3"/>
      <c r="K297" s="221"/>
      <c r="L297" s="222"/>
      <c r="M297" s="221"/>
      <c r="N297" s="3"/>
      <c r="O297" s="3"/>
      <c r="P297" s="3"/>
      <c r="Q297" s="3"/>
      <c r="R297" s="3"/>
      <c r="S297" s="3"/>
      <c r="T297" s="22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A298" s="3"/>
      <c r="B298" s="3"/>
      <c r="C298" s="31"/>
      <c r="D298" s="3"/>
      <c r="E298" s="3"/>
      <c r="F298" s="3"/>
      <c r="G298" s="3"/>
      <c r="H298" s="3"/>
      <c r="I298" s="3"/>
      <c r="J298" s="3"/>
      <c r="K298" s="221"/>
      <c r="L298" s="222"/>
      <c r="M298" s="221"/>
      <c r="N298" s="3"/>
      <c r="O298" s="3"/>
      <c r="P298" s="3"/>
      <c r="Q298" s="3"/>
      <c r="R298" s="3"/>
      <c r="S298" s="3"/>
      <c r="T298" s="22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A299" s="3"/>
      <c r="B299" s="3"/>
      <c r="C299" s="31"/>
      <c r="D299" s="3"/>
      <c r="E299" s="3"/>
      <c r="F299" s="3"/>
      <c r="G299" s="3"/>
      <c r="H299" s="3"/>
      <c r="I299" s="3"/>
      <c r="J299" s="3"/>
      <c r="K299" s="221"/>
      <c r="L299" s="222"/>
      <c r="M299" s="221"/>
      <c r="N299" s="3"/>
      <c r="O299" s="3"/>
      <c r="P299" s="3"/>
      <c r="Q299" s="3"/>
      <c r="R299" s="3"/>
      <c r="S299" s="3"/>
      <c r="T299" s="22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A300" s="3"/>
      <c r="B300" s="3"/>
      <c r="C300" s="31"/>
      <c r="D300" s="3"/>
      <c r="E300" s="3"/>
      <c r="F300" s="3"/>
      <c r="G300" s="3"/>
      <c r="H300" s="3"/>
      <c r="I300" s="3"/>
      <c r="J300" s="3"/>
      <c r="K300" s="221"/>
      <c r="L300" s="222"/>
      <c r="M300" s="221"/>
      <c r="N300" s="3"/>
      <c r="O300" s="3"/>
      <c r="P300" s="3"/>
      <c r="Q300" s="3"/>
      <c r="R300" s="3"/>
      <c r="S300" s="3"/>
      <c r="T300" s="22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A301" s="3"/>
      <c r="B301" s="3"/>
      <c r="C301" s="31"/>
      <c r="D301" s="3"/>
      <c r="E301" s="3"/>
      <c r="F301" s="3"/>
      <c r="G301" s="3"/>
      <c r="H301" s="3"/>
      <c r="I301" s="3"/>
      <c r="J301" s="3"/>
      <c r="K301" s="221"/>
      <c r="L301" s="222"/>
      <c r="M301" s="221"/>
      <c r="N301" s="3"/>
      <c r="O301" s="3"/>
      <c r="P301" s="3"/>
      <c r="Q301" s="3"/>
      <c r="R301" s="3"/>
      <c r="S301" s="3"/>
      <c r="T301" s="22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A302" s="3"/>
      <c r="B302" s="3"/>
      <c r="C302" s="31"/>
      <c r="D302" s="3"/>
      <c r="E302" s="3"/>
      <c r="F302" s="3"/>
      <c r="G302" s="3"/>
      <c r="H302" s="3"/>
      <c r="I302" s="3"/>
      <c r="J302" s="3"/>
      <c r="K302" s="221"/>
      <c r="L302" s="222"/>
      <c r="M302" s="221"/>
      <c r="N302" s="3"/>
      <c r="O302" s="3"/>
      <c r="P302" s="3"/>
      <c r="Q302" s="3"/>
      <c r="R302" s="3"/>
      <c r="S302" s="3"/>
      <c r="T302" s="22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A303" s="3"/>
      <c r="B303" s="3"/>
      <c r="C303" s="31"/>
      <c r="D303" s="3"/>
      <c r="E303" s="3"/>
      <c r="F303" s="3"/>
      <c r="G303" s="3"/>
      <c r="H303" s="3"/>
      <c r="I303" s="3"/>
      <c r="J303" s="3"/>
      <c r="K303" s="221"/>
      <c r="L303" s="222"/>
      <c r="M303" s="221"/>
      <c r="N303" s="3"/>
      <c r="O303" s="3"/>
      <c r="P303" s="3"/>
      <c r="Q303" s="3"/>
      <c r="R303" s="3"/>
      <c r="S303" s="3"/>
      <c r="T303" s="22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A304" s="3"/>
      <c r="B304" s="3"/>
      <c r="C304" s="31"/>
      <c r="D304" s="3"/>
      <c r="E304" s="3"/>
      <c r="F304" s="3"/>
      <c r="G304" s="3"/>
      <c r="H304" s="3"/>
      <c r="I304" s="3"/>
      <c r="J304" s="3"/>
      <c r="K304" s="221"/>
      <c r="L304" s="222"/>
      <c r="M304" s="221"/>
      <c r="N304" s="3"/>
      <c r="O304" s="3"/>
      <c r="P304" s="3"/>
      <c r="Q304" s="3"/>
      <c r="R304" s="3"/>
      <c r="S304" s="3"/>
      <c r="T304" s="22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A305" s="3"/>
      <c r="B305" s="3"/>
      <c r="C305" s="31"/>
      <c r="D305" s="3"/>
      <c r="E305" s="3"/>
      <c r="F305" s="3"/>
      <c r="G305" s="3"/>
      <c r="H305" s="3"/>
      <c r="I305" s="3"/>
      <c r="J305" s="3"/>
      <c r="K305" s="221"/>
      <c r="L305" s="222"/>
      <c r="M305" s="221"/>
      <c r="N305" s="3"/>
      <c r="O305" s="3"/>
      <c r="P305" s="3"/>
      <c r="Q305" s="3"/>
      <c r="R305" s="3"/>
      <c r="S305" s="3"/>
      <c r="T305" s="22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A306" s="3"/>
      <c r="B306" s="3"/>
      <c r="C306" s="31"/>
      <c r="D306" s="3"/>
      <c r="E306" s="3"/>
      <c r="F306" s="3"/>
      <c r="G306" s="3"/>
      <c r="H306" s="3"/>
      <c r="I306" s="3"/>
      <c r="J306" s="3"/>
      <c r="K306" s="221"/>
      <c r="L306" s="222"/>
      <c r="M306" s="221"/>
      <c r="N306" s="3"/>
      <c r="O306" s="3"/>
      <c r="P306" s="3"/>
      <c r="Q306" s="3"/>
      <c r="R306" s="3"/>
      <c r="S306" s="3"/>
      <c r="T306" s="22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A307" s="3"/>
      <c r="B307" s="3"/>
      <c r="C307" s="31"/>
      <c r="D307" s="3"/>
      <c r="E307" s="3"/>
      <c r="F307" s="3"/>
      <c r="G307" s="3"/>
      <c r="H307" s="3"/>
      <c r="I307" s="3"/>
      <c r="J307" s="3"/>
      <c r="K307" s="221"/>
      <c r="L307" s="222"/>
      <c r="M307" s="221"/>
      <c r="N307" s="3"/>
      <c r="O307" s="3"/>
      <c r="P307" s="3"/>
      <c r="Q307" s="3"/>
      <c r="R307" s="3"/>
      <c r="S307" s="3"/>
      <c r="T307" s="22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A308" s="3"/>
      <c r="B308" s="3"/>
      <c r="C308" s="31"/>
      <c r="D308" s="3"/>
      <c r="E308" s="3"/>
      <c r="F308" s="3"/>
      <c r="G308" s="3"/>
      <c r="H308" s="3"/>
      <c r="I308" s="3"/>
      <c r="J308" s="3"/>
      <c r="K308" s="221"/>
      <c r="L308" s="222"/>
      <c r="M308" s="221"/>
      <c r="N308" s="3"/>
      <c r="O308" s="3"/>
      <c r="P308" s="3"/>
      <c r="Q308" s="3"/>
      <c r="R308" s="3"/>
      <c r="S308" s="3"/>
      <c r="T308" s="22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A309" s="3"/>
      <c r="B309" s="3"/>
      <c r="C309" s="31"/>
      <c r="D309" s="3"/>
      <c r="E309" s="3"/>
      <c r="F309" s="3"/>
      <c r="G309" s="3"/>
      <c r="H309" s="3"/>
      <c r="I309" s="3"/>
      <c r="J309" s="3"/>
      <c r="K309" s="221"/>
      <c r="L309" s="222"/>
      <c r="M309" s="221"/>
      <c r="N309" s="3"/>
      <c r="O309" s="3"/>
      <c r="P309" s="3"/>
      <c r="Q309" s="3"/>
      <c r="R309" s="3"/>
      <c r="S309" s="3"/>
      <c r="T309" s="22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A310" s="3"/>
      <c r="B310" s="3"/>
      <c r="C310" s="31"/>
      <c r="D310" s="3"/>
      <c r="E310" s="3"/>
      <c r="F310" s="3"/>
      <c r="G310" s="3"/>
      <c r="H310" s="3"/>
      <c r="I310" s="3"/>
      <c r="J310" s="3"/>
      <c r="K310" s="221"/>
      <c r="L310" s="222"/>
      <c r="M310" s="221"/>
      <c r="N310" s="3"/>
      <c r="O310" s="3"/>
      <c r="P310" s="3"/>
      <c r="Q310" s="3"/>
      <c r="R310" s="3"/>
      <c r="S310" s="3"/>
      <c r="T310" s="22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A311" s="3"/>
      <c r="B311" s="3"/>
      <c r="C311" s="31"/>
      <c r="D311" s="3"/>
      <c r="E311" s="3"/>
      <c r="F311" s="3"/>
      <c r="G311" s="3"/>
      <c r="H311" s="3"/>
      <c r="I311" s="3"/>
      <c r="J311" s="3"/>
      <c r="K311" s="221"/>
      <c r="L311" s="222"/>
      <c r="M311" s="221"/>
      <c r="N311" s="3"/>
      <c r="O311" s="3"/>
      <c r="P311" s="3"/>
      <c r="Q311" s="3"/>
      <c r="R311" s="3"/>
      <c r="S311" s="3"/>
      <c r="T311" s="22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A312" s="3"/>
      <c r="B312" s="3"/>
      <c r="C312" s="31"/>
      <c r="D312" s="3"/>
      <c r="E312" s="3"/>
      <c r="F312" s="3"/>
      <c r="G312" s="3"/>
      <c r="H312" s="3"/>
      <c r="I312" s="3"/>
      <c r="J312" s="3"/>
      <c r="K312" s="221"/>
      <c r="L312" s="222"/>
      <c r="M312" s="221"/>
      <c r="N312" s="3"/>
      <c r="O312" s="3"/>
      <c r="P312" s="3"/>
      <c r="Q312" s="3"/>
      <c r="R312" s="3"/>
      <c r="S312" s="3"/>
      <c r="T312" s="22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A313" s="3"/>
      <c r="B313" s="3"/>
      <c r="C313" s="31"/>
      <c r="D313" s="3"/>
      <c r="E313" s="3"/>
      <c r="F313" s="3"/>
      <c r="G313" s="3"/>
      <c r="H313" s="3"/>
      <c r="I313" s="3"/>
      <c r="J313" s="3"/>
      <c r="K313" s="221"/>
      <c r="L313" s="222"/>
      <c r="M313" s="221"/>
      <c r="N313" s="3"/>
      <c r="O313" s="3"/>
      <c r="P313" s="3"/>
      <c r="Q313" s="3"/>
      <c r="R313" s="3"/>
      <c r="S313" s="3"/>
      <c r="T313" s="22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A314" s="3"/>
      <c r="B314" s="3"/>
      <c r="C314" s="31"/>
      <c r="D314" s="3"/>
      <c r="E314" s="3"/>
      <c r="F314" s="3"/>
      <c r="G314" s="3"/>
      <c r="H314" s="3"/>
      <c r="I314" s="3"/>
      <c r="J314" s="3"/>
      <c r="K314" s="221"/>
      <c r="L314" s="222"/>
      <c r="M314" s="221"/>
      <c r="N314" s="3"/>
      <c r="O314" s="3"/>
      <c r="P314" s="3"/>
      <c r="Q314" s="3"/>
      <c r="R314" s="3"/>
      <c r="S314" s="3"/>
      <c r="T314" s="22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A315" s="3"/>
      <c r="B315" s="3"/>
      <c r="C315" s="31"/>
      <c r="D315" s="3"/>
      <c r="E315" s="3"/>
      <c r="F315" s="3"/>
      <c r="G315" s="3"/>
      <c r="H315" s="3"/>
      <c r="I315" s="3"/>
      <c r="J315" s="3"/>
      <c r="K315" s="221"/>
      <c r="L315" s="222"/>
      <c r="M315" s="221"/>
      <c r="N315" s="3"/>
      <c r="O315" s="3"/>
      <c r="P315" s="3"/>
      <c r="Q315" s="3"/>
      <c r="R315" s="3"/>
      <c r="S315" s="3"/>
      <c r="T315" s="22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A316" s="3"/>
      <c r="B316" s="3"/>
      <c r="C316" s="31"/>
      <c r="D316" s="3"/>
      <c r="E316" s="3"/>
      <c r="F316" s="3"/>
      <c r="G316" s="3"/>
      <c r="H316" s="3"/>
      <c r="I316" s="3"/>
      <c r="J316" s="3"/>
      <c r="K316" s="221"/>
      <c r="L316" s="222"/>
      <c r="M316" s="221"/>
      <c r="N316" s="3"/>
      <c r="O316" s="3"/>
      <c r="P316" s="3"/>
      <c r="Q316" s="3"/>
      <c r="R316" s="3"/>
      <c r="S316" s="3"/>
      <c r="T316" s="22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A317" s="3"/>
      <c r="B317" s="3"/>
      <c r="C317" s="31"/>
      <c r="D317" s="3"/>
      <c r="E317" s="3"/>
      <c r="F317" s="3"/>
      <c r="G317" s="3"/>
      <c r="H317" s="3"/>
      <c r="I317" s="3"/>
      <c r="J317" s="3"/>
      <c r="K317" s="221"/>
      <c r="L317" s="222"/>
      <c r="M317" s="221"/>
      <c r="N317" s="3"/>
      <c r="O317" s="3"/>
      <c r="P317" s="3"/>
      <c r="Q317" s="3"/>
      <c r="R317" s="3"/>
      <c r="S317" s="3"/>
      <c r="T317" s="22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A318" s="3"/>
      <c r="B318" s="3"/>
      <c r="C318" s="31"/>
      <c r="D318" s="3"/>
      <c r="E318" s="3"/>
      <c r="F318" s="3"/>
      <c r="G318" s="3"/>
      <c r="H318" s="3"/>
      <c r="I318" s="3"/>
      <c r="J318" s="3"/>
      <c r="K318" s="221"/>
      <c r="L318" s="222"/>
      <c r="M318" s="221"/>
      <c r="N318" s="3"/>
      <c r="O318" s="3"/>
      <c r="P318" s="3"/>
      <c r="Q318" s="3"/>
      <c r="R318" s="3"/>
      <c r="S318" s="3"/>
      <c r="T318" s="22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A319" s="3"/>
      <c r="B319" s="3"/>
      <c r="C319" s="31"/>
      <c r="D319" s="3"/>
      <c r="E319" s="3"/>
      <c r="F319" s="3"/>
      <c r="G319" s="3"/>
      <c r="H319" s="3"/>
      <c r="I319" s="3"/>
      <c r="J319" s="3"/>
      <c r="K319" s="221"/>
      <c r="L319" s="222"/>
      <c r="M319" s="221"/>
      <c r="N319" s="3"/>
      <c r="O319" s="3"/>
      <c r="P319" s="3"/>
      <c r="Q319" s="3"/>
      <c r="R319" s="3"/>
      <c r="S319" s="3"/>
      <c r="T319" s="22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A320" s="3"/>
      <c r="B320" s="3"/>
      <c r="C320" s="31"/>
      <c r="D320" s="3"/>
      <c r="E320" s="3"/>
      <c r="F320" s="3"/>
      <c r="G320" s="3"/>
      <c r="H320" s="3"/>
      <c r="I320" s="3"/>
      <c r="J320" s="3"/>
      <c r="K320" s="221"/>
      <c r="L320" s="222"/>
      <c r="M320" s="221"/>
      <c r="N320" s="3"/>
      <c r="O320" s="3"/>
      <c r="P320" s="3"/>
      <c r="Q320" s="3"/>
      <c r="R320" s="3"/>
      <c r="S320" s="3"/>
      <c r="T320" s="22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A321" s="3"/>
      <c r="B321" s="3"/>
      <c r="C321" s="31"/>
      <c r="D321" s="3"/>
      <c r="E321" s="3"/>
      <c r="F321" s="3"/>
      <c r="G321" s="3"/>
      <c r="H321" s="3"/>
      <c r="I321" s="3"/>
      <c r="J321" s="3"/>
      <c r="K321" s="221"/>
      <c r="L321" s="222"/>
      <c r="M321" s="221"/>
      <c r="N321" s="3"/>
      <c r="O321" s="3"/>
      <c r="P321" s="3"/>
      <c r="Q321" s="3"/>
      <c r="R321" s="3"/>
      <c r="S321" s="3"/>
      <c r="T321" s="22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A322" s="3"/>
      <c r="B322" s="3"/>
      <c r="C322" s="31"/>
      <c r="D322" s="3"/>
      <c r="E322" s="3"/>
      <c r="F322" s="3"/>
      <c r="G322" s="3"/>
      <c r="H322" s="3"/>
      <c r="I322" s="3"/>
      <c r="J322" s="3"/>
      <c r="K322" s="221"/>
      <c r="L322" s="222"/>
      <c r="M322" s="221"/>
      <c r="N322" s="3"/>
      <c r="O322" s="3"/>
      <c r="P322" s="3"/>
      <c r="Q322" s="3"/>
      <c r="R322" s="3"/>
      <c r="S322" s="3"/>
      <c r="T322" s="22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A323" s="3"/>
      <c r="B323" s="3"/>
      <c r="C323" s="31"/>
      <c r="D323" s="3"/>
      <c r="E323" s="3"/>
      <c r="F323" s="3"/>
      <c r="G323" s="3"/>
      <c r="H323" s="3"/>
      <c r="I323" s="3"/>
      <c r="J323" s="3"/>
      <c r="K323" s="221"/>
      <c r="L323" s="222"/>
      <c r="M323" s="221"/>
      <c r="N323" s="3"/>
      <c r="O323" s="3"/>
      <c r="P323" s="3"/>
      <c r="Q323" s="3"/>
      <c r="R323" s="3"/>
      <c r="S323" s="3"/>
      <c r="T323" s="22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A324" s="3"/>
      <c r="B324" s="3"/>
      <c r="C324" s="31"/>
      <c r="D324" s="3"/>
      <c r="E324" s="3"/>
      <c r="F324" s="3"/>
      <c r="G324" s="3"/>
      <c r="H324" s="3"/>
      <c r="I324" s="3"/>
      <c r="J324" s="3"/>
      <c r="K324" s="221"/>
      <c r="L324" s="222"/>
      <c r="M324" s="221"/>
      <c r="N324" s="3"/>
      <c r="O324" s="3"/>
      <c r="P324" s="3"/>
      <c r="Q324" s="3"/>
      <c r="R324" s="3"/>
      <c r="S324" s="3"/>
      <c r="T324" s="22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A325" s="3"/>
      <c r="B325" s="3"/>
      <c r="C325" s="31"/>
      <c r="D325" s="3"/>
      <c r="E325" s="3"/>
      <c r="F325" s="3"/>
      <c r="G325" s="3"/>
      <c r="H325" s="3"/>
      <c r="I325" s="3"/>
      <c r="J325" s="3"/>
      <c r="K325" s="221"/>
      <c r="L325" s="222"/>
      <c r="M325" s="221"/>
      <c r="N325" s="3"/>
      <c r="O325" s="3"/>
      <c r="P325" s="3"/>
      <c r="Q325" s="3"/>
      <c r="R325" s="3"/>
      <c r="S325" s="3"/>
      <c r="T325" s="22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A326" s="3"/>
      <c r="B326" s="3"/>
      <c r="C326" s="31"/>
      <c r="D326" s="3"/>
      <c r="E326" s="3"/>
      <c r="F326" s="3"/>
      <c r="G326" s="3"/>
      <c r="H326" s="3"/>
      <c r="I326" s="3"/>
      <c r="J326" s="3"/>
      <c r="K326" s="221"/>
      <c r="L326" s="222"/>
      <c r="M326" s="221"/>
      <c r="N326" s="3"/>
      <c r="O326" s="3"/>
      <c r="P326" s="3"/>
      <c r="Q326" s="3"/>
      <c r="R326" s="3"/>
      <c r="S326" s="3"/>
      <c r="T326" s="22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A327" s="3"/>
      <c r="B327" s="3"/>
      <c r="C327" s="31"/>
      <c r="D327" s="3"/>
      <c r="E327" s="3"/>
      <c r="F327" s="3"/>
      <c r="G327" s="3"/>
      <c r="H327" s="3"/>
      <c r="I327" s="3"/>
      <c r="J327" s="3"/>
      <c r="K327" s="221"/>
      <c r="L327" s="222"/>
      <c r="M327" s="221"/>
      <c r="N327" s="3"/>
      <c r="O327" s="3"/>
      <c r="P327" s="3"/>
      <c r="Q327" s="3"/>
      <c r="R327" s="3"/>
      <c r="S327" s="3"/>
      <c r="T327" s="22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A328" s="3"/>
      <c r="B328" s="3"/>
      <c r="C328" s="31"/>
      <c r="D328" s="3"/>
      <c r="E328" s="3"/>
      <c r="F328" s="3"/>
      <c r="G328" s="3"/>
      <c r="H328" s="3"/>
      <c r="I328" s="3"/>
      <c r="J328" s="3"/>
      <c r="K328" s="221"/>
      <c r="L328" s="222"/>
      <c r="M328" s="221"/>
      <c r="N328" s="3"/>
      <c r="O328" s="3"/>
      <c r="P328" s="3"/>
      <c r="Q328" s="3"/>
      <c r="R328" s="3"/>
      <c r="S328" s="3"/>
      <c r="T328" s="22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A329" s="3"/>
      <c r="B329" s="3"/>
      <c r="C329" s="31"/>
      <c r="D329" s="3"/>
      <c r="E329" s="3"/>
      <c r="F329" s="3"/>
      <c r="G329" s="3"/>
      <c r="H329" s="3"/>
      <c r="I329" s="3"/>
      <c r="J329" s="3"/>
      <c r="K329" s="221"/>
      <c r="L329" s="222"/>
      <c r="M329" s="221"/>
      <c r="N329" s="3"/>
      <c r="O329" s="3"/>
      <c r="P329" s="3"/>
      <c r="Q329" s="3"/>
      <c r="R329" s="3"/>
      <c r="S329" s="3"/>
      <c r="T329" s="22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A330" s="3"/>
      <c r="B330" s="3"/>
      <c r="C330" s="31"/>
      <c r="D330" s="3"/>
      <c r="E330" s="3"/>
      <c r="F330" s="3"/>
      <c r="G330" s="3"/>
      <c r="H330" s="3"/>
      <c r="I330" s="3"/>
      <c r="J330" s="3"/>
      <c r="K330" s="221"/>
      <c r="L330" s="222"/>
      <c r="M330" s="221"/>
      <c r="N330" s="3"/>
      <c r="O330" s="3"/>
      <c r="P330" s="3"/>
      <c r="Q330" s="3"/>
      <c r="R330" s="3"/>
      <c r="S330" s="3"/>
      <c r="T330" s="22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A331" s="3"/>
      <c r="B331" s="3"/>
      <c r="C331" s="31"/>
      <c r="D331" s="3"/>
      <c r="E331" s="3"/>
      <c r="F331" s="3"/>
      <c r="G331" s="3"/>
      <c r="H331" s="3"/>
      <c r="I331" s="3"/>
      <c r="J331" s="3"/>
      <c r="K331" s="221"/>
      <c r="L331" s="222"/>
      <c r="M331" s="221"/>
      <c r="N331" s="3"/>
      <c r="O331" s="3"/>
      <c r="P331" s="3"/>
      <c r="Q331" s="3"/>
      <c r="R331" s="3"/>
      <c r="S331" s="3"/>
      <c r="T331" s="22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A332" s="3"/>
      <c r="B332" s="3"/>
      <c r="C332" s="31"/>
      <c r="D332" s="3"/>
      <c r="E332" s="3"/>
      <c r="F332" s="3"/>
      <c r="G332" s="3"/>
      <c r="H332" s="3"/>
      <c r="I332" s="3"/>
      <c r="J332" s="3"/>
      <c r="K332" s="221"/>
      <c r="L332" s="222"/>
      <c r="M332" s="221"/>
      <c r="N332" s="3"/>
      <c r="O332" s="3"/>
      <c r="P332" s="3"/>
      <c r="Q332" s="3"/>
      <c r="R332" s="3"/>
      <c r="S332" s="3"/>
      <c r="T332" s="22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>
      <c r="A333" s="3"/>
      <c r="B333" s="3"/>
      <c r="C333" s="31"/>
      <c r="D333" s="3"/>
      <c r="E333" s="3"/>
      <c r="F333" s="3"/>
      <c r="G333" s="3"/>
      <c r="H333" s="3"/>
      <c r="I333" s="3"/>
      <c r="J333" s="3"/>
      <c r="K333" s="221"/>
      <c r="L333" s="222"/>
      <c r="M333" s="221"/>
      <c r="N333" s="3"/>
      <c r="O333" s="3"/>
      <c r="P333" s="3"/>
      <c r="Q333" s="3"/>
      <c r="R333" s="3"/>
      <c r="S333" s="3"/>
      <c r="T333" s="22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>
      <c r="A334" s="3"/>
      <c r="B334" s="3"/>
      <c r="C334" s="31"/>
      <c r="D334" s="3"/>
      <c r="E334" s="3"/>
      <c r="F334" s="3"/>
      <c r="G334" s="3"/>
      <c r="H334" s="3"/>
      <c r="I334" s="3"/>
      <c r="J334" s="3"/>
      <c r="K334" s="221"/>
      <c r="L334" s="222"/>
      <c r="M334" s="221"/>
      <c r="N334" s="3"/>
      <c r="O334" s="3"/>
      <c r="P334" s="3"/>
      <c r="Q334" s="3"/>
      <c r="R334" s="3"/>
      <c r="S334" s="3"/>
      <c r="T334" s="22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>
      <c r="A335" s="3"/>
      <c r="B335" s="3"/>
      <c r="C335" s="31"/>
      <c r="D335" s="3"/>
      <c r="E335" s="3"/>
      <c r="F335" s="3"/>
      <c r="G335" s="3"/>
      <c r="H335" s="3"/>
      <c r="I335" s="3"/>
      <c r="J335" s="3"/>
      <c r="K335" s="221"/>
      <c r="L335" s="222"/>
      <c r="M335" s="221"/>
      <c r="N335" s="3"/>
      <c r="O335" s="3"/>
      <c r="P335" s="3"/>
      <c r="Q335" s="3"/>
      <c r="R335" s="3"/>
      <c r="S335" s="3"/>
      <c r="T335" s="22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>
      <c r="A336" s="3"/>
      <c r="B336" s="3"/>
      <c r="C336" s="31"/>
      <c r="D336" s="3"/>
      <c r="E336" s="3"/>
      <c r="F336" s="3"/>
      <c r="G336" s="3"/>
      <c r="H336" s="3"/>
      <c r="I336" s="3"/>
      <c r="J336" s="3"/>
      <c r="K336" s="221"/>
      <c r="L336" s="222"/>
      <c r="M336" s="221"/>
      <c r="N336" s="3"/>
      <c r="O336" s="3"/>
      <c r="P336" s="3"/>
      <c r="Q336" s="3"/>
      <c r="R336" s="3"/>
      <c r="S336" s="3"/>
      <c r="T336" s="22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>
      <c r="A337" s="3"/>
      <c r="B337" s="3"/>
      <c r="C337" s="31"/>
      <c r="D337" s="3"/>
      <c r="E337" s="3"/>
      <c r="F337" s="3"/>
      <c r="G337" s="3"/>
      <c r="H337" s="3"/>
      <c r="I337" s="3"/>
      <c r="J337" s="3"/>
      <c r="K337" s="221"/>
      <c r="L337" s="222"/>
      <c r="M337" s="221"/>
      <c r="N337" s="3"/>
      <c r="O337" s="3"/>
      <c r="P337" s="3"/>
      <c r="Q337" s="3"/>
      <c r="R337" s="3"/>
      <c r="S337" s="3"/>
      <c r="T337" s="22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>
      <c r="A338" s="3"/>
      <c r="B338" s="3"/>
      <c r="C338" s="31"/>
      <c r="D338" s="3"/>
      <c r="E338" s="3"/>
      <c r="F338" s="3"/>
      <c r="G338" s="3"/>
      <c r="H338" s="3"/>
      <c r="I338" s="3"/>
      <c r="J338" s="3"/>
      <c r="K338" s="221"/>
      <c r="L338" s="222"/>
      <c r="M338" s="221"/>
      <c r="N338" s="3"/>
      <c r="O338" s="3"/>
      <c r="P338" s="3"/>
      <c r="Q338" s="3"/>
      <c r="R338" s="3"/>
      <c r="S338" s="3"/>
      <c r="T338" s="22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A339" s="3"/>
      <c r="B339" s="3"/>
      <c r="C339" s="31"/>
      <c r="D339" s="3"/>
      <c r="E339" s="3"/>
      <c r="F339" s="3"/>
      <c r="G339" s="3"/>
      <c r="H339" s="3"/>
      <c r="I339" s="3"/>
      <c r="J339" s="3"/>
      <c r="K339" s="221"/>
      <c r="L339" s="222"/>
      <c r="M339" s="221"/>
      <c r="N339" s="3"/>
      <c r="O339" s="3"/>
      <c r="P339" s="3"/>
      <c r="Q339" s="3"/>
      <c r="R339" s="3"/>
      <c r="S339" s="3"/>
      <c r="T339" s="22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A340" s="3"/>
      <c r="B340" s="3"/>
      <c r="C340" s="31"/>
      <c r="D340" s="3"/>
      <c r="E340" s="3"/>
      <c r="F340" s="3"/>
      <c r="G340" s="3"/>
      <c r="H340" s="3"/>
      <c r="I340" s="3"/>
      <c r="J340" s="3"/>
      <c r="K340" s="221"/>
      <c r="L340" s="222"/>
      <c r="M340" s="221"/>
      <c r="N340" s="3"/>
      <c r="O340" s="3"/>
      <c r="P340" s="3"/>
      <c r="Q340" s="3"/>
      <c r="R340" s="3"/>
      <c r="S340" s="3"/>
      <c r="T340" s="22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A341" s="3"/>
      <c r="B341" s="3"/>
      <c r="C341" s="31"/>
      <c r="D341" s="3"/>
      <c r="E341" s="3"/>
      <c r="F341" s="3"/>
      <c r="G341" s="3"/>
      <c r="H341" s="3"/>
      <c r="I341" s="3"/>
      <c r="J341" s="3"/>
      <c r="K341" s="221"/>
      <c r="L341" s="222"/>
      <c r="M341" s="221"/>
      <c r="N341" s="3"/>
      <c r="O341" s="3"/>
      <c r="P341" s="3"/>
      <c r="Q341" s="3"/>
      <c r="R341" s="3"/>
      <c r="S341" s="3"/>
      <c r="T341" s="22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A342" s="3"/>
      <c r="B342" s="3"/>
      <c r="C342" s="31"/>
      <c r="D342" s="3"/>
      <c r="E342" s="3"/>
      <c r="F342" s="3"/>
      <c r="G342" s="3"/>
      <c r="H342" s="3"/>
      <c r="I342" s="3"/>
      <c r="J342" s="3"/>
      <c r="K342" s="221"/>
      <c r="L342" s="222"/>
      <c r="M342" s="221"/>
      <c r="N342" s="3"/>
      <c r="O342" s="3"/>
      <c r="P342" s="3"/>
      <c r="Q342" s="3"/>
      <c r="R342" s="3"/>
      <c r="S342" s="3"/>
      <c r="T342" s="22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A343" s="3"/>
      <c r="B343" s="3"/>
      <c r="C343" s="31"/>
      <c r="D343" s="3"/>
      <c r="E343" s="3"/>
      <c r="F343" s="3"/>
      <c r="G343" s="3"/>
      <c r="H343" s="3"/>
      <c r="I343" s="3"/>
      <c r="J343" s="3"/>
      <c r="K343" s="221"/>
      <c r="L343" s="222"/>
      <c r="M343" s="221"/>
      <c r="N343" s="3"/>
      <c r="O343" s="3"/>
      <c r="P343" s="3"/>
      <c r="Q343" s="3"/>
      <c r="R343" s="3"/>
      <c r="S343" s="3"/>
      <c r="T343" s="22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A344" s="3"/>
      <c r="B344" s="3"/>
      <c r="C344" s="31"/>
      <c r="D344" s="3"/>
      <c r="E344" s="3"/>
      <c r="F344" s="3"/>
      <c r="G344" s="3"/>
      <c r="H344" s="3"/>
      <c r="I344" s="3"/>
      <c r="J344" s="3"/>
      <c r="K344" s="221"/>
      <c r="L344" s="222"/>
      <c r="M344" s="221"/>
      <c r="N344" s="3"/>
      <c r="O344" s="3"/>
      <c r="P344" s="3"/>
      <c r="Q344" s="3"/>
      <c r="R344" s="3"/>
      <c r="S344" s="3"/>
      <c r="T344" s="22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A345" s="3"/>
      <c r="B345" s="3"/>
      <c r="C345" s="31"/>
      <c r="D345" s="3"/>
      <c r="E345" s="3"/>
      <c r="F345" s="3"/>
      <c r="G345" s="3"/>
      <c r="H345" s="3"/>
      <c r="I345" s="3"/>
      <c r="J345" s="3"/>
      <c r="K345" s="221"/>
      <c r="L345" s="222"/>
      <c r="M345" s="221"/>
      <c r="N345" s="3"/>
      <c r="O345" s="3"/>
      <c r="P345" s="3"/>
      <c r="Q345" s="3"/>
      <c r="R345" s="3"/>
      <c r="S345" s="3"/>
      <c r="T345" s="22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A346" s="3"/>
      <c r="B346" s="3"/>
      <c r="C346" s="31"/>
      <c r="D346" s="3"/>
      <c r="E346" s="3"/>
      <c r="F346" s="3"/>
      <c r="G346" s="3"/>
      <c r="H346" s="3"/>
      <c r="I346" s="3"/>
      <c r="J346" s="3"/>
      <c r="K346" s="221"/>
      <c r="L346" s="222"/>
      <c r="M346" s="221"/>
      <c r="N346" s="3"/>
      <c r="O346" s="3"/>
      <c r="P346" s="3"/>
      <c r="Q346" s="3"/>
      <c r="R346" s="3"/>
      <c r="S346" s="3"/>
      <c r="T346" s="22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A347" s="3"/>
      <c r="B347" s="3"/>
      <c r="C347" s="31"/>
      <c r="D347" s="3"/>
      <c r="E347" s="3"/>
      <c r="F347" s="3"/>
      <c r="G347" s="3"/>
      <c r="H347" s="3"/>
      <c r="I347" s="3"/>
      <c r="J347" s="3"/>
      <c r="K347" s="221"/>
      <c r="L347" s="222"/>
      <c r="M347" s="221"/>
      <c r="N347" s="3"/>
      <c r="O347" s="3"/>
      <c r="P347" s="3"/>
      <c r="Q347" s="3"/>
      <c r="R347" s="3"/>
      <c r="S347" s="3"/>
      <c r="T347" s="22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A348" s="3"/>
      <c r="B348" s="3"/>
      <c r="C348" s="31"/>
      <c r="D348" s="3"/>
      <c r="E348" s="3"/>
      <c r="F348" s="3"/>
      <c r="G348" s="3"/>
      <c r="H348" s="3"/>
      <c r="I348" s="3"/>
      <c r="J348" s="3"/>
      <c r="K348" s="221"/>
      <c r="L348" s="222"/>
      <c r="M348" s="221"/>
      <c r="N348" s="3"/>
      <c r="O348" s="3"/>
      <c r="P348" s="3"/>
      <c r="Q348" s="3"/>
      <c r="R348" s="3"/>
      <c r="S348" s="3"/>
      <c r="T348" s="22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A349" s="3"/>
      <c r="B349" s="3"/>
      <c r="C349" s="31"/>
      <c r="D349" s="3"/>
      <c r="E349" s="3"/>
      <c r="F349" s="3"/>
      <c r="G349" s="3"/>
      <c r="H349" s="3"/>
      <c r="I349" s="3"/>
      <c r="J349" s="3"/>
      <c r="K349" s="221"/>
      <c r="L349" s="222"/>
      <c r="M349" s="221"/>
      <c r="N349" s="3"/>
      <c r="O349" s="3"/>
      <c r="P349" s="3"/>
      <c r="Q349" s="3"/>
      <c r="R349" s="3"/>
      <c r="S349" s="3"/>
      <c r="T349" s="22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A350" s="3"/>
      <c r="B350" s="3"/>
      <c r="C350" s="31"/>
      <c r="D350" s="3"/>
      <c r="E350" s="3"/>
      <c r="F350" s="3"/>
      <c r="G350" s="3"/>
      <c r="H350" s="3"/>
      <c r="I350" s="3"/>
      <c r="J350" s="3"/>
      <c r="K350" s="221"/>
      <c r="L350" s="222"/>
      <c r="M350" s="221"/>
      <c r="N350" s="3"/>
      <c r="O350" s="3"/>
      <c r="P350" s="3"/>
      <c r="Q350" s="3"/>
      <c r="R350" s="3"/>
      <c r="S350" s="3"/>
      <c r="T350" s="22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A351" s="3"/>
      <c r="B351" s="3"/>
      <c r="C351" s="31"/>
      <c r="D351" s="3"/>
      <c r="E351" s="3"/>
      <c r="F351" s="3"/>
      <c r="G351" s="3"/>
      <c r="H351" s="3"/>
      <c r="I351" s="3"/>
      <c r="J351" s="3"/>
      <c r="K351" s="221"/>
      <c r="L351" s="222"/>
      <c r="M351" s="221"/>
      <c r="N351" s="3"/>
      <c r="O351" s="3"/>
      <c r="P351" s="3"/>
      <c r="Q351" s="3"/>
      <c r="R351" s="3"/>
      <c r="S351" s="3"/>
      <c r="T351" s="22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A352" s="3"/>
      <c r="B352" s="3"/>
      <c r="C352" s="31"/>
      <c r="D352" s="3"/>
      <c r="E352" s="3"/>
      <c r="F352" s="3"/>
      <c r="G352" s="3"/>
      <c r="H352" s="3"/>
      <c r="I352" s="3"/>
      <c r="J352" s="3"/>
      <c r="K352" s="221"/>
      <c r="L352" s="222"/>
      <c r="M352" s="221"/>
      <c r="N352" s="3"/>
      <c r="O352" s="3"/>
      <c r="P352" s="3"/>
      <c r="Q352" s="3"/>
      <c r="R352" s="3"/>
      <c r="S352" s="3"/>
      <c r="T352" s="22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A353" s="3"/>
      <c r="B353" s="3"/>
      <c r="C353" s="31"/>
      <c r="D353" s="3"/>
      <c r="E353" s="3"/>
      <c r="F353" s="3"/>
      <c r="G353" s="3"/>
      <c r="H353" s="3"/>
      <c r="I353" s="3"/>
      <c r="J353" s="3"/>
      <c r="K353" s="221"/>
      <c r="L353" s="222"/>
      <c r="M353" s="221"/>
      <c r="N353" s="3"/>
      <c r="O353" s="3"/>
      <c r="P353" s="3"/>
      <c r="Q353" s="3"/>
      <c r="R353" s="3"/>
      <c r="S353" s="3"/>
      <c r="T353" s="22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A354" s="3"/>
      <c r="B354" s="3"/>
      <c r="C354" s="31"/>
      <c r="D354" s="3"/>
      <c r="E354" s="3"/>
      <c r="F354" s="3"/>
      <c r="G354" s="3"/>
      <c r="H354" s="3"/>
      <c r="I354" s="3"/>
      <c r="J354" s="3"/>
      <c r="K354" s="221"/>
      <c r="L354" s="222"/>
      <c r="M354" s="221"/>
      <c r="N354" s="3"/>
      <c r="O354" s="3"/>
      <c r="P354" s="3"/>
      <c r="Q354" s="3"/>
      <c r="R354" s="3"/>
      <c r="S354" s="3"/>
      <c r="T354" s="22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A355" s="3"/>
      <c r="B355" s="3"/>
      <c r="C355" s="31"/>
      <c r="D355" s="3"/>
      <c r="E355" s="3"/>
      <c r="F355" s="3"/>
      <c r="G355" s="3"/>
      <c r="H355" s="3"/>
      <c r="I355" s="3"/>
      <c r="J355" s="3"/>
      <c r="K355" s="221"/>
      <c r="L355" s="222"/>
      <c r="M355" s="221"/>
      <c r="N355" s="3"/>
      <c r="O355" s="3"/>
      <c r="P355" s="3"/>
      <c r="Q355" s="3"/>
      <c r="R355" s="3"/>
      <c r="S355" s="3"/>
      <c r="T355" s="22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A356" s="3"/>
      <c r="B356" s="3"/>
      <c r="C356" s="31"/>
      <c r="D356" s="3"/>
      <c r="E356" s="3"/>
      <c r="F356" s="3"/>
      <c r="G356" s="3"/>
      <c r="H356" s="3"/>
      <c r="I356" s="3"/>
      <c r="J356" s="3"/>
      <c r="K356" s="221"/>
      <c r="L356" s="222"/>
      <c r="M356" s="221"/>
      <c r="N356" s="3"/>
      <c r="O356" s="3"/>
      <c r="P356" s="3"/>
      <c r="Q356" s="3"/>
      <c r="R356" s="3"/>
      <c r="S356" s="3"/>
      <c r="T356" s="22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A357" s="3"/>
      <c r="B357" s="3"/>
      <c r="C357" s="31"/>
      <c r="D357" s="3"/>
      <c r="E357" s="3"/>
      <c r="F357" s="3"/>
      <c r="G357" s="3"/>
      <c r="H357" s="3"/>
      <c r="I357" s="3"/>
      <c r="J357" s="3"/>
      <c r="K357" s="221"/>
      <c r="L357" s="222"/>
      <c r="M357" s="221"/>
      <c r="N357" s="3"/>
      <c r="O357" s="3"/>
      <c r="P357" s="3"/>
      <c r="Q357" s="3"/>
      <c r="R357" s="3"/>
      <c r="S357" s="3"/>
      <c r="T357" s="22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A358" s="3"/>
      <c r="B358" s="3"/>
      <c r="C358" s="31"/>
      <c r="D358" s="3"/>
      <c r="E358" s="3"/>
      <c r="F358" s="3"/>
      <c r="G358" s="3"/>
      <c r="H358" s="3"/>
      <c r="I358" s="3"/>
      <c r="J358" s="3"/>
      <c r="K358" s="221"/>
      <c r="L358" s="222"/>
      <c r="M358" s="221"/>
      <c r="N358" s="3"/>
      <c r="O358" s="3"/>
      <c r="P358" s="3"/>
      <c r="Q358" s="3"/>
      <c r="R358" s="3"/>
      <c r="S358" s="3"/>
      <c r="T358" s="22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A359" s="3"/>
      <c r="B359" s="3"/>
      <c r="C359" s="31"/>
      <c r="D359" s="3"/>
      <c r="E359" s="3"/>
      <c r="F359" s="3"/>
      <c r="G359" s="3"/>
      <c r="H359" s="3"/>
      <c r="I359" s="3"/>
      <c r="J359" s="3"/>
      <c r="K359" s="221"/>
      <c r="L359" s="222"/>
      <c r="M359" s="221"/>
      <c r="N359" s="3"/>
      <c r="O359" s="3"/>
      <c r="P359" s="3"/>
      <c r="Q359" s="3"/>
      <c r="R359" s="3"/>
      <c r="S359" s="3"/>
      <c r="T359" s="22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A360" s="3"/>
      <c r="B360" s="3"/>
      <c r="C360" s="31"/>
      <c r="D360" s="3"/>
      <c r="E360" s="3"/>
      <c r="F360" s="3"/>
      <c r="G360" s="3"/>
      <c r="H360" s="3"/>
      <c r="I360" s="3"/>
      <c r="J360" s="3"/>
      <c r="K360" s="221"/>
      <c r="L360" s="222"/>
      <c r="M360" s="221"/>
      <c r="N360" s="3"/>
      <c r="O360" s="3"/>
      <c r="P360" s="3"/>
      <c r="Q360" s="3"/>
      <c r="R360" s="3"/>
      <c r="S360" s="3"/>
      <c r="T360" s="22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A361" s="3"/>
      <c r="B361" s="3"/>
      <c r="C361" s="31"/>
      <c r="D361" s="3"/>
      <c r="E361" s="3"/>
      <c r="F361" s="3"/>
      <c r="G361" s="3"/>
      <c r="H361" s="3"/>
      <c r="I361" s="3"/>
      <c r="J361" s="3"/>
      <c r="K361" s="221"/>
      <c r="L361" s="222"/>
      <c r="M361" s="221"/>
      <c r="N361" s="3"/>
      <c r="O361" s="3"/>
      <c r="P361" s="3"/>
      <c r="Q361" s="3"/>
      <c r="R361" s="3"/>
      <c r="S361" s="3"/>
      <c r="T361" s="22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A362" s="3"/>
      <c r="B362" s="3"/>
      <c r="C362" s="31"/>
      <c r="D362" s="3"/>
      <c r="E362" s="3"/>
      <c r="F362" s="3"/>
      <c r="G362" s="3"/>
      <c r="H362" s="3"/>
      <c r="I362" s="3"/>
      <c r="J362" s="3"/>
      <c r="K362" s="221"/>
      <c r="L362" s="222"/>
      <c r="M362" s="221"/>
      <c r="N362" s="3"/>
      <c r="O362" s="3"/>
      <c r="P362" s="3"/>
      <c r="Q362" s="3"/>
      <c r="R362" s="3"/>
      <c r="S362" s="3"/>
      <c r="T362" s="22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A363" s="3"/>
      <c r="B363" s="3"/>
      <c r="C363" s="31"/>
      <c r="D363" s="3"/>
      <c r="E363" s="3"/>
      <c r="F363" s="3"/>
      <c r="G363" s="3"/>
      <c r="H363" s="3"/>
      <c r="I363" s="3"/>
      <c r="J363" s="3"/>
      <c r="K363" s="221"/>
      <c r="L363" s="222"/>
      <c r="M363" s="221"/>
      <c r="N363" s="3"/>
      <c r="O363" s="3"/>
      <c r="P363" s="3"/>
      <c r="Q363" s="3"/>
      <c r="R363" s="3"/>
      <c r="S363" s="3"/>
      <c r="T363" s="22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A364" s="3"/>
      <c r="B364" s="3"/>
      <c r="C364" s="31"/>
      <c r="D364" s="3"/>
      <c r="E364" s="3"/>
      <c r="F364" s="3"/>
      <c r="G364" s="3"/>
      <c r="H364" s="3"/>
      <c r="I364" s="3"/>
      <c r="J364" s="3"/>
      <c r="K364" s="221"/>
      <c r="L364" s="222"/>
      <c r="M364" s="221"/>
      <c r="N364" s="3"/>
      <c r="O364" s="3"/>
      <c r="P364" s="3"/>
      <c r="Q364" s="3"/>
      <c r="R364" s="3"/>
      <c r="S364" s="3"/>
      <c r="T364" s="22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A365" s="3"/>
      <c r="B365" s="3"/>
      <c r="C365" s="31"/>
      <c r="D365" s="3"/>
      <c r="E365" s="3"/>
      <c r="F365" s="3"/>
      <c r="G365" s="3"/>
      <c r="H365" s="3"/>
      <c r="I365" s="3"/>
      <c r="J365" s="3"/>
      <c r="K365" s="221"/>
      <c r="L365" s="222"/>
      <c r="M365" s="221"/>
      <c r="N365" s="3"/>
      <c r="O365" s="3"/>
      <c r="P365" s="3"/>
      <c r="Q365" s="3"/>
      <c r="R365" s="3"/>
      <c r="S365" s="3"/>
      <c r="T365" s="22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A366" s="3"/>
      <c r="B366" s="3"/>
      <c r="C366" s="31"/>
      <c r="D366" s="3"/>
      <c r="E366" s="3"/>
      <c r="F366" s="3"/>
      <c r="G366" s="3"/>
      <c r="H366" s="3"/>
      <c r="I366" s="3"/>
      <c r="J366" s="3"/>
      <c r="K366" s="221"/>
      <c r="L366" s="222"/>
      <c r="M366" s="221"/>
      <c r="N366" s="3"/>
      <c r="O366" s="3"/>
      <c r="P366" s="3"/>
      <c r="Q366" s="3"/>
      <c r="R366" s="3"/>
      <c r="S366" s="3"/>
      <c r="T366" s="22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A367" s="3"/>
      <c r="B367" s="3"/>
      <c r="C367" s="31"/>
      <c r="D367" s="3"/>
      <c r="E367" s="3"/>
      <c r="F367" s="3"/>
      <c r="G367" s="3"/>
      <c r="H367" s="3"/>
      <c r="I367" s="3"/>
      <c r="J367" s="3"/>
      <c r="K367" s="221"/>
      <c r="L367" s="222"/>
      <c r="M367" s="221"/>
      <c r="N367" s="3"/>
      <c r="O367" s="3"/>
      <c r="P367" s="3"/>
      <c r="Q367" s="3"/>
      <c r="R367" s="3"/>
      <c r="S367" s="3"/>
      <c r="T367" s="22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A368" s="3"/>
      <c r="B368" s="3"/>
      <c r="C368" s="31"/>
      <c r="D368" s="3"/>
      <c r="E368" s="3"/>
      <c r="F368" s="3"/>
      <c r="G368" s="3"/>
      <c r="H368" s="3"/>
      <c r="I368" s="3"/>
      <c r="J368" s="3"/>
      <c r="K368" s="221"/>
      <c r="L368" s="222"/>
      <c r="M368" s="221"/>
      <c r="N368" s="3"/>
      <c r="O368" s="3"/>
      <c r="P368" s="3"/>
      <c r="Q368" s="3"/>
      <c r="R368" s="3"/>
      <c r="S368" s="3"/>
      <c r="T368" s="22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A369" s="3"/>
      <c r="B369" s="3"/>
      <c r="C369" s="31"/>
      <c r="D369" s="3"/>
      <c r="E369" s="3"/>
      <c r="F369" s="3"/>
      <c r="G369" s="3"/>
      <c r="H369" s="3"/>
      <c r="I369" s="3"/>
      <c r="J369" s="3"/>
      <c r="K369" s="221"/>
      <c r="L369" s="222"/>
      <c r="M369" s="221"/>
      <c r="N369" s="3"/>
      <c r="O369" s="3"/>
      <c r="P369" s="3"/>
      <c r="Q369" s="3"/>
      <c r="R369" s="3"/>
      <c r="S369" s="3"/>
      <c r="T369" s="22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A370" s="3"/>
      <c r="B370" s="3"/>
      <c r="C370" s="31"/>
      <c r="D370" s="3"/>
      <c r="E370" s="3"/>
      <c r="F370" s="3"/>
      <c r="G370" s="3"/>
      <c r="H370" s="3"/>
      <c r="I370" s="3"/>
      <c r="J370" s="3"/>
      <c r="K370" s="221"/>
      <c r="L370" s="222"/>
      <c r="M370" s="221"/>
      <c r="N370" s="3"/>
      <c r="O370" s="3"/>
      <c r="P370" s="3"/>
      <c r="Q370" s="3"/>
      <c r="R370" s="3"/>
      <c r="S370" s="3"/>
      <c r="T370" s="22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A371" s="3"/>
      <c r="B371" s="3"/>
      <c r="C371" s="31"/>
      <c r="D371" s="3"/>
      <c r="E371" s="3"/>
      <c r="F371" s="3"/>
      <c r="G371" s="3"/>
      <c r="H371" s="3"/>
      <c r="I371" s="3"/>
      <c r="J371" s="3"/>
      <c r="K371" s="221"/>
      <c r="L371" s="222"/>
      <c r="M371" s="221"/>
      <c r="N371" s="3"/>
      <c r="O371" s="3"/>
      <c r="P371" s="3"/>
      <c r="Q371" s="3"/>
      <c r="R371" s="3"/>
      <c r="S371" s="3"/>
      <c r="T371" s="22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A372" s="3"/>
      <c r="B372" s="3"/>
      <c r="C372" s="31"/>
      <c r="D372" s="3"/>
      <c r="E372" s="3"/>
      <c r="F372" s="3"/>
      <c r="G372" s="3"/>
      <c r="H372" s="3"/>
      <c r="I372" s="3"/>
      <c r="J372" s="3"/>
      <c r="K372" s="221"/>
      <c r="L372" s="222"/>
      <c r="M372" s="221"/>
      <c r="N372" s="3"/>
      <c r="O372" s="3"/>
      <c r="P372" s="3"/>
      <c r="Q372" s="3"/>
      <c r="R372" s="3"/>
      <c r="S372" s="3"/>
      <c r="T372" s="22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A373" s="3"/>
      <c r="B373" s="3"/>
      <c r="C373" s="31"/>
      <c r="D373" s="3"/>
      <c r="E373" s="3"/>
      <c r="F373" s="3"/>
      <c r="G373" s="3"/>
      <c r="H373" s="3"/>
      <c r="I373" s="3"/>
      <c r="J373" s="3"/>
      <c r="K373" s="221"/>
      <c r="L373" s="222"/>
      <c r="M373" s="221"/>
      <c r="N373" s="3"/>
      <c r="O373" s="3"/>
      <c r="P373" s="3"/>
      <c r="Q373" s="3"/>
      <c r="R373" s="3"/>
      <c r="S373" s="3"/>
      <c r="T373" s="22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A374" s="3"/>
      <c r="B374" s="3"/>
      <c r="C374" s="31"/>
      <c r="D374" s="3"/>
      <c r="E374" s="3"/>
      <c r="F374" s="3"/>
      <c r="G374" s="3"/>
      <c r="H374" s="3"/>
      <c r="I374" s="3"/>
      <c r="J374" s="3"/>
      <c r="K374" s="221"/>
      <c r="L374" s="222"/>
      <c r="M374" s="221"/>
      <c r="N374" s="3"/>
      <c r="O374" s="3"/>
      <c r="P374" s="3"/>
      <c r="Q374" s="3"/>
      <c r="R374" s="3"/>
      <c r="S374" s="3"/>
      <c r="T374" s="22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>
      <c r="A375" s="3"/>
      <c r="B375" s="3"/>
      <c r="C375" s="31"/>
      <c r="D375" s="3"/>
      <c r="E375" s="3"/>
      <c r="F375" s="3"/>
      <c r="G375" s="3"/>
      <c r="H375" s="3"/>
      <c r="I375" s="3"/>
      <c r="J375" s="3"/>
      <c r="K375" s="221"/>
      <c r="L375" s="222"/>
      <c r="M375" s="221"/>
      <c r="N375" s="3"/>
      <c r="O375" s="3"/>
      <c r="P375" s="3"/>
      <c r="Q375" s="3"/>
      <c r="R375" s="3"/>
      <c r="S375" s="3"/>
      <c r="T375" s="22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>
      <c r="A376" s="3"/>
      <c r="B376" s="3"/>
      <c r="C376" s="31"/>
      <c r="D376" s="3"/>
      <c r="E376" s="3"/>
      <c r="F376" s="3"/>
      <c r="G376" s="3"/>
      <c r="H376" s="3"/>
      <c r="I376" s="3"/>
      <c r="J376" s="3"/>
      <c r="K376" s="221"/>
      <c r="L376" s="222"/>
      <c r="M376" s="221"/>
      <c r="N376" s="3"/>
      <c r="O376" s="3"/>
      <c r="P376" s="3"/>
      <c r="Q376" s="3"/>
      <c r="R376" s="3"/>
      <c r="S376" s="3"/>
      <c r="T376" s="22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>
      <c r="A377" s="3"/>
      <c r="B377" s="3"/>
      <c r="C377" s="31"/>
      <c r="D377" s="3"/>
      <c r="E377" s="3"/>
      <c r="F377" s="3"/>
      <c r="G377" s="3"/>
      <c r="H377" s="3"/>
      <c r="I377" s="3"/>
      <c r="J377" s="3"/>
      <c r="K377" s="221"/>
      <c r="L377" s="222"/>
      <c r="M377" s="221"/>
      <c r="N377" s="3"/>
      <c r="O377" s="3"/>
      <c r="P377" s="3"/>
      <c r="Q377" s="3"/>
      <c r="R377" s="3"/>
      <c r="S377" s="3"/>
      <c r="T377" s="22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>
      <c r="A378" s="3"/>
      <c r="B378" s="3"/>
      <c r="C378" s="31"/>
      <c r="D378" s="3"/>
      <c r="E378" s="3"/>
      <c r="F378" s="3"/>
      <c r="G378" s="3"/>
      <c r="H378" s="3"/>
      <c r="I378" s="3"/>
      <c r="J378" s="3"/>
      <c r="K378" s="221"/>
      <c r="L378" s="222"/>
      <c r="M378" s="221"/>
      <c r="N378" s="3"/>
      <c r="O378" s="3"/>
      <c r="P378" s="3"/>
      <c r="Q378" s="3"/>
      <c r="R378" s="3"/>
      <c r="S378" s="3"/>
      <c r="T378" s="22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>
      <c r="A379" s="3"/>
      <c r="B379" s="3"/>
      <c r="C379" s="31"/>
      <c r="D379" s="3"/>
      <c r="E379" s="3"/>
      <c r="F379" s="3"/>
      <c r="G379" s="3"/>
      <c r="H379" s="3"/>
      <c r="I379" s="3"/>
      <c r="J379" s="3"/>
      <c r="K379" s="221"/>
      <c r="L379" s="222"/>
      <c r="M379" s="221"/>
      <c r="N379" s="3"/>
      <c r="O379" s="3"/>
      <c r="P379" s="3"/>
      <c r="Q379" s="3"/>
      <c r="R379" s="3"/>
      <c r="S379" s="3"/>
      <c r="T379" s="22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>
      <c r="A380" s="3"/>
      <c r="B380" s="3"/>
      <c r="C380" s="31"/>
      <c r="D380" s="3"/>
      <c r="E380" s="3"/>
      <c r="F380" s="3"/>
      <c r="G380" s="3"/>
      <c r="H380" s="3"/>
      <c r="I380" s="3"/>
      <c r="J380" s="3"/>
      <c r="K380" s="221"/>
      <c r="L380" s="222"/>
      <c r="M380" s="221"/>
      <c r="N380" s="3"/>
      <c r="O380" s="3"/>
      <c r="P380" s="3"/>
      <c r="Q380" s="3"/>
      <c r="R380" s="3"/>
      <c r="S380" s="3"/>
      <c r="T380" s="22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A381" s="3"/>
      <c r="B381" s="3"/>
      <c r="C381" s="31"/>
      <c r="D381" s="3"/>
      <c r="E381" s="3"/>
      <c r="F381" s="3"/>
      <c r="G381" s="3"/>
      <c r="H381" s="3"/>
      <c r="I381" s="3"/>
      <c r="J381" s="3"/>
      <c r="K381" s="221"/>
      <c r="L381" s="222"/>
      <c r="M381" s="221"/>
      <c r="N381" s="3"/>
      <c r="O381" s="3"/>
      <c r="P381" s="3"/>
      <c r="Q381" s="3"/>
      <c r="R381" s="3"/>
      <c r="S381" s="3"/>
      <c r="T381" s="22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A382" s="3"/>
      <c r="B382" s="3"/>
      <c r="C382" s="31"/>
      <c r="D382" s="3"/>
      <c r="E382" s="3"/>
      <c r="F382" s="3"/>
      <c r="G382" s="3"/>
      <c r="H382" s="3"/>
      <c r="I382" s="3"/>
      <c r="J382" s="3"/>
      <c r="K382" s="221"/>
      <c r="L382" s="222"/>
      <c r="M382" s="221"/>
      <c r="N382" s="3"/>
      <c r="O382" s="3"/>
      <c r="P382" s="3"/>
      <c r="Q382" s="3"/>
      <c r="R382" s="3"/>
      <c r="S382" s="3"/>
      <c r="T382" s="22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A383" s="3"/>
      <c r="B383" s="3"/>
      <c r="C383" s="31"/>
      <c r="D383" s="3"/>
      <c r="E383" s="3"/>
      <c r="F383" s="3"/>
      <c r="G383" s="3"/>
      <c r="H383" s="3"/>
      <c r="I383" s="3"/>
      <c r="J383" s="3"/>
      <c r="K383" s="221"/>
      <c r="L383" s="222"/>
      <c r="M383" s="221"/>
      <c r="N383" s="3"/>
      <c r="O383" s="3"/>
      <c r="P383" s="3"/>
      <c r="Q383" s="3"/>
      <c r="R383" s="3"/>
      <c r="S383" s="3"/>
      <c r="T383" s="22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A384" s="3"/>
      <c r="B384" s="3"/>
      <c r="C384" s="31"/>
      <c r="D384" s="3"/>
      <c r="E384" s="3"/>
      <c r="F384" s="3"/>
      <c r="G384" s="3"/>
      <c r="H384" s="3"/>
      <c r="I384" s="3"/>
      <c r="J384" s="3"/>
      <c r="K384" s="221"/>
      <c r="L384" s="222"/>
      <c r="M384" s="221"/>
      <c r="N384" s="3"/>
      <c r="O384" s="3"/>
      <c r="P384" s="3"/>
      <c r="Q384" s="3"/>
      <c r="R384" s="3"/>
      <c r="S384" s="3"/>
      <c r="T384" s="22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A385" s="3"/>
      <c r="B385" s="3"/>
      <c r="C385" s="31"/>
      <c r="D385" s="3"/>
      <c r="E385" s="3"/>
      <c r="F385" s="3"/>
      <c r="G385" s="3"/>
      <c r="H385" s="3"/>
      <c r="I385" s="3"/>
      <c r="J385" s="3"/>
      <c r="K385" s="221"/>
      <c r="L385" s="222"/>
      <c r="M385" s="221"/>
      <c r="N385" s="3"/>
      <c r="O385" s="3"/>
      <c r="P385" s="3"/>
      <c r="Q385" s="3"/>
      <c r="R385" s="3"/>
      <c r="S385" s="3"/>
      <c r="T385" s="22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A386" s="3"/>
      <c r="B386" s="3"/>
      <c r="C386" s="31"/>
      <c r="D386" s="3"/>
      <c r="E386" s="3"/>
      <c r="F386" s="3"/>
      <c r="G386" s="3"/>
      <c r="H386" s="3"/>
      <c r="I386" s="3"/>
      <c r="J386" s="3"/>
      <c r="K386" s="221"/>
      <c r="L386" s="222"/>
      <c r="M386" s="221"/>
      <c r="N386" s="3"/>
      <c r="O386" s="3"/>
      <c r="P386" s="3"/>
      <c r="Q386" s="3"/>
      <c r="R386" s="3"/>
      <c r="S386" s="3"/>
      <c r="T386" s="22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A387" s="3"/>
      <c r="B387" s="3"/>
      <c r="C387" s="31"/>
      <c r="D387" s="3"/>
      <c r="E387" s="3"/>
      <c r="F387" s="3"/>
      <c r="G387" s="3"/>
      <c r="H387" s="3"/>
      <c r="I387" s="3"/>
      <c r="J387" s="3"/>
      <c r="K387" s="221"/>
      <c r="L387" s="222"/>
      <c r="M387" s="221"/>
      <c r="N387" s="3"/>
      <c r="O387" s="3"/>
      <c r="P387" s="3"/>
      <c r="Q387" s="3"/>
      <c r="R387" s="3"/>
      <c r="S387" s="3"/>
      <c r="T387" s="22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A388" s="3"/>
      <c r="B388" s="3"/>
      <c r="C388" s="31"/>
      <c r="D388" s="3"/>
      <c r="E388" s="3"/>
      <c r="F388" s="3"/>
      <c r="G388" s="3"/>
      <c r="H388" s="3"/>
      <c r="I388" s="3"/>
      <c r="J388" s="3"/>
      <c r="K388" s="221"/>
      <c r="L388" s="222"/>
      <c r="M388" s="221"/>
      <c r="N388" s="3"/>
      <c r="O388" s="3"/>
      <c r="P388" s="3"/>
      <c r="Q388" s="3"/>
      <c r="R388" s="3"/>
      <c r="S388" s="3"/>
      <c r="T388" s="22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A389" s="3"/>
      <c r="B389" s="3"/>
      <c r="C389" s="31"/>
      <c r="D389" s="3"/>
      <c r="E389" s="3"/>
      <c r="F389" s="3"/>
      <c r="G389" s="3"/>
      <c r="H389" s="3"/>
      <c r="I389" s="3"/>
      <c r="J389" s="3"/>
      <c r="K389" s="221"/>
      <c r="L389" s="222"/>
      <c r="M389" s="221"/>
      <c r="N389" s="3"/>
      <c r="O389" s="3"/>
      <c r="P389" s="3"/>
      <c r="Q389" s="3"/>
      <c r="R389" s="3"/>
      <c r="S389" s="3"/>
      <c r="T389" s="22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A390" s="3"/>
      <c r="B390" s="3"/>
      <c r="C390" s="31"/>
      <c r="D390" s="3"/>
      <c r="E390" s="3"/>
      <c r="F390" s="3"/>
      <c r="G390" s="3"/>
      <c r="H390" s="3"/>
      <c r="I390" s="3"/>
      <c r="J390" s="3"/>
      <c r="K390" s="221"/>
      <c r="L390" s="222"/>
      <c r="M390" s="221"/>
      <c r="N390" s="3"/>
      <c r="O390" s="3"/>
      <c r="P390" s="3"/>
      <c r="Q390" s="3"/>
      <c r="R390" s="3"/>
      <c r="S390" s="3"/>
      <c r="T390" s="22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A391" s="3"/>
      <c r="B391" s="3"/>
      <c r="C391" s="31"/>
      <c r="D391" s="3"/>
      <c r="E391" s="3"/>
      <c r="F391" s="3"/>
      <c r="G391" s="3"/>
      <c r="H391" s="3"/>
      <c r="I391" s="3"/>
      <c r="J391" s="3"/>
      <c r="K391" s="221"/>
      <c r="L391" s="222"/>
      <c r="M391" s="221"/>
      <c r="N391" s="3"/>
      <c r="O391" s="3"/>
      <c r="P391" s="3"/>
      <c r="Q391" s="3"/>
      <c r="R391" s="3"/>
      <c r="S391" s="3"/>
      <c r="T391" s="22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A392" s="3"/>
      <c r="B392" s="3"/>
      <c r="C392" s="31"/>
      <c r="D392" s="3"/>
      <c r="E392" s="3"/>
      <c r="F392" s="3"/>
      <c r="G392" s="3"/>
      <c r="H392" s="3"/>
      <c r="I392" s="3"/>
      <c r="J392" s="3"/>
      <c r="K392" s="221"/>
      <c r="L392" s="222"/>
      <c r="M392" s="221"/>
      <c r="N392" s="3"/>
      <c r="O392" s="3"/>
      <c r="P392" s="3"/>
      <c r="Q392" s="3"/>
      <c r="R392" s="3"/>
      <c r="S392" s="3"/>
      <c r="T392" s="22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A393" s="3"/>
      <c r="B393" s="3"/>
      <c r="C393" s="31"/>
      <c r="D393" s="3"/>
      <c r="E393" s="3"/>
      <c r="F393" s="3"/>
      <c r="G393" s="3"/>
      <c r="H393" s="3"/>
      <c r="I393" s="3"/>
      <c r="J393" s="3"/>
      <c r="K393" s="221"/>
      <c r="L393" s="222"/>
      <c r="M393" s="221"/>
      <c r="N393" s="3"/>
      <c r="O393" s="3"/>
      <c r="P393" s="3"/>
      <c r="Q393" s="3"/>
      <c r="R393" s="3"/>
      <c r="S393" s="3"/>
      <c r="T393" s="22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A394" s="3"/>
      <c r="B394" s="3"/>
      <c r="C394" s="31"/>
      <c r="D394" s="3"/>
      <c r="E394" s="3"/>
      <c r="F394" s="3"/>
      <c r="G394" s="3"/>
      <c r="H394" s="3"/>
      <c r="I394" s="3"/>
      <c r="J394" s="3"/>
      <c r="K394" s="221"/>
      <c r="L394" s="222"/>
      <c r="M394" s="221"/>
      <c r="N394" s="3"/>
      <c r="O394" s="3"/>
      <c r="P394" s="3"/>
      <c r="Q394" s="3"/>
      <c r="R394" s="3"/>
      <c r="S394" s="3"/>
      <c r="T394" s="22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A395" s="3"/>
      <c r="B395" s="3"/>
      <c r="C395" s="31"/>
      <c r="D395" s="3"/>
      <c r="E395" s="3"/>
      <c r="F395" s="3"/>
      <c r="G395" s="3"/>
      <c r="H395" s="3"/>
      <c r="I395" s="3"/>
      <c r="J395" s="3"/>
      <c r="K395" s="221"/>
      <c r="L395" s="222"/>
      <c r="M395" s="221"/>
      <c r="N395" s="3"/>
      <c r="O395" s="3"/>
      <c r="P395" s="3"/>
      <c r="Q395" s="3"/>
      <c r="R395" s="3"/>
      <c r="S395" s="3"/>
      <c r="T395" s="22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A396" s="3"/>
      <c r="B396" s="3"/>
      <c r="C396" s="31"/>
      <c r="D396" s="3"/>
      <c r="E396" s="3"/>
      <c r="F396" s="3"/>
      <c r="G396" s="3"/>
      <c r="H396" s="3"/>
      <c r="I396" s="3"/>
      <c r="J396" s="3"/>
      <c r="K396" s="221"/>
      <c r="L396" s="222"/>
      <c r="M396" s="221"/>
      <c r="N396" s="3"/>
      <c r="O396" s="3"/>
      <c r="P396" s="3"/>
      <c r="Q396" s="3"/>
      <c r="R396" s="3"/>
      <c r="S396" s="3"/>
      <c r="T396" s="22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A397" s="3"/>
      <c r="B397" s="3"/>
      <c r="C397" s="31"/>
      <c r="D397" s="3"/>
      <c r="E397" s="3"/>
      <c r="F397" s="3"/>
      <c r="G397" s="3"/>
      <c r="H397" s="3"/>
      <c r="I397" s="3"/>
      <c r="J397" s="3"/>
      <c r="K397" s="221"/>
      <c r="L397" s="222"/>
      <c r="M397" s="221"/>
      <c r="N397" s="3"/>
      <c r="O397" s="3"/>
      <c r="P397" s="3"/>
      <c r="Q397" s="3"/>
      <c r="R397" s="3"/>
      <c r="S397" s="3"/>
      <c r="T397" s="22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A398" s="3"/>
      <c r="B398" s="3"/>
      <c r="C398" s="31"/>
      <c r="D398" s="3"/>
      <c r="E398" s="3"/>
      <c r="F398" s="3"/>
      <c r="G398" s="3"/>
      <c r="H398" s="3"/>
      <c r="I398" s="3"/>
      <c r="J398" s="3"/>
      <c r="K398" s="221"/>
      <c r="L398" s="222"/>
      <c r="M398" s="221"/>
      <c r="N398" s="3"/>
      <c r="O398" s="3"/>
      <c r="P398" s="3"/>
      <c r="Q398" s="3"/>
      <c r="R398" s="3"/>
      <c r="S398" s="3"/>
      <c r="T398" s="22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A399" s="3"/>
      <c r="B399" s="3"/>
      <c r="C399" s="31"/>
      <c r="D399" s="3"/>
      <c r="E399" s="3"/>
      <c r="F399" s="3"/>
      <c r="G399" s="3"/>
      <c r="H399" s="3"/>
      <c r="I399" s="3"/>
      <c r="J399" s="3"/>
      <c r="K399" s="221"/>
      <c r="L399" s="222"/>
      <c r="M399" s="221"/>
      <c r="N399" s="3"/>
      <c r="O399" s="3"/>
      <c r="P399" s="3"/>
      <c r="Q399" s="3"/>
      <c r="R399" s="3"/>
      <c r="S399" s="3"/>
      <c r="T399" s="22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A400" s="3"/>
      <c r="B400" s="3"/>
      <c r="C400" s="31"/>
      <c r="D400" s="3"/>
      <c r="E400" s="3"/>
      <c r="F400" s="3"/>
      <c r="G400" s="3"/>
      <c r="H400" s="3"/>
      <c r="I400" s="3"/>
      <c r="J400" s="3"/>
      <c r="K400" s="221"/>
      <c r="L400" s="222"/>
      <c r="M400" s="221"/>
      <c r="N400" s="3"/>
      <c r="O400" s="3"/>
      <c r="P400" s="3"/>
      <c r="Q400" s="3"/>
      <c r="R400" s="3"/>
      <c r="S400" s="3"/>
      <c r="T400" s="22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A401" s="3"/>
      <c r="B401" s="3"/>
      <c r="C401" s="31"/>
      <c r="D401" s="3"/>
      <c r="E401" s="3"/>
      <c r="F401" s="3"/>
      <c r="G401" s="3"/>
      <c r="H401" s="3"/>
      <c r="I401" s="3"/>
      <c r="J401" s="3"/>
      <c r="K401" s="221"/>
      <c r="L401" s="222"/>
      <c r="M401" s="221"/>
      <c r="N401" s="3"/>
      <c r="O401" s="3"/>
      <c r="P401" s="3"/>
      <c r="Q401" s="3"/>
      <c r="R401" s="3"/>
      <c r="S401" s="3"/>
      <c r="T401" s="22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A402" s="3"/>
      <c r="B402" s="3"/>
      <c r="C402" s="31"/>
      <c r="D402" s="3"/>
      <c r="E402" s="3"/>
      <c r="F402" s="3"/>
      <c r="G402" s="3"/>
      <c r="H402" s="3"/>
      <c r="I402" s="3"/>
      <c r="J402" s="3"/>
      <c r="K402" s="221"/>
      <c r="L402" s="222"/>
      <c r="M402" s="221"/>
      <c r="N402" s="3"/>
      <c r="O402" s="3"/>
      <c r="P402" s="3"/>
      <c r="Q402" s="3"/>
      <c r="R402" s="3"/>
      <c r="S402" s="3"/>
      <c r="T402" s="22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A403" s="3"/>
      <c r="B403" s="3"/>
      <c r="C403" s="31"/>
      <c r="D403" s="3"/>
      <c r="E403" s="3"/>
      <c r="F403" s="3"/>
      <c r="G403" s="3"/>
      <c r="H403" s="3"/>
      <c r="I403" s="3"/>
      <c r="J403" s="3"/>
      <c r="K403" s="221"/>
      <c r="L403" s="222"/>
      <c r="M403" s="221"/>
      <c r="N403" s="3"/>
      <c r="O403" s="3"/>
      <c r="P403" s="3"/>
      <c r="Q403" s="3"/>
      <c r="R403" s="3"/>
      <c r="S403" s="3"/>
      <c r="T403" s="22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A404" s="3"/>
      <c r="B404" s="3"/>
      <c r="C404" s="31"/>
      <c r="D404" s="3"/>
      <c r="E404" s="3"/>
      <c r="F404" s="3"/>
      <c r="G404" s="3"/>
      <c r="H404" s="3"/>
      <c r="I404" s="3"/>
      <c r="J404" s="3"/>
      <c r="K404" s="221"/>
      <c r="L404" s="222"/>
      <c r="M404" s="221"/>
      <c r="N404" s="3"/>
      <c r="O404" s="3"/>
      <c r="P404" s="3"/>
      <c r="Q404" s="3"/>
      <c r="R404" s="3"/>
      <c r="S404" s="3"/>
      <c r="T404" s="22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A405" s="3"/>
      <c r="B405" s="3"/>
      <c r="C405" s="31"/>
      <c r="D405" s="3"/>
      <c r="E405" s="3"/>
      <c r="F405" s="3"/>
      <c r="G405" s="3"/>
      <c r="H405" s="3"/>
      <c r="I405" s="3"/>
      <c r="J405" s="3"/>
      <c r="K405" s="221"/>
      <c r="L405" s="222"/>
      <c r="M405" s="221"/>
      <c r="N405" s="3"/>
      <c r="O405" s="3"/>
      <c r="P405" s="3"/>
      <c r="Q405" s="3"/>
      <c r="R405" s="3"/>
      <c r="S405" s="3"/>
      <c r="T405" s="22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A406" s="3"/>
      <c r="B406" s="3"/>
      <c r="C406" s="31"/>
      <c r="D406" s="3"/>
      <c r="E406" s="3"/>
      <c r="F406" s="3"/>
      <c r="G406" s="3"/>
      <c r="H406" s="3"/>
      <c r="I406" s="3"/>
      <c r="J406" s="3"/>
      <c r="K406" s="221"/>
      <c r="L406" s="222"/>
      <c r="M406" s="221"/>
      <c r="N406" s="3"/>
      <c r="O406" s="3"/>
      <c r="P406" s="3"/>
      <c r="Q406" s="3"/>
      <c r="R406" s="3"/>
      <c r="S406" s="3"/>
      <c r="T406" s="22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A407" s="3"/>
      <c r="B407" s="3"/>
      <c r="C407" s="31"/>
      <c r="D407" s="3"/>
      <c r="E407" s="3"/>
      <c r="F407" s="3"/>
      <c r="G407" s="3"/>
      <c r="H407" s="3"/>
      <c r="I407" s="3"/>
      <c r="J407" s="3"/>
      <c r="K407" s="221"/>
      <c r="L407" s="222"/>
      <c r="M407" s="221"/>
      <c r="N407" s="3"/>
      <c r="O407" s="3"/>
      <c r="P407" s="3"/>
      <c r="Q407" s="3"/>
      <c r="R407" s="3"/>
      <c r="S407" s="3"/>
      <c r="T407" s="22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A408" s="3"/>
      <c r="B408" s="3"/>
      <c r="C408" s="31"/>
      <c r="D408" s="3"/>
      <c r="E408" s="3"/>
      <c r="F408" s="3"/>
      <c r="G408" s="3"/>
      <c r="H408" s="3"/>
      <c r="I408" s="3"/>
      <c r="J408" s="3"/>
      <c r="K408" s="221"/>
      <c r="L408" s="222"/>
      <c r="M408" s="221"/>
      <c r="N408" s="3"/>
      <c r="O408" s="3"/>
      <c r="P408" s="3"/>
      <c r="Q408" s="3"/>
      <c r="R408" s="3"/>
      <c r="S408" s="3"/>
      <c r="T408" s="22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A409" s="3"/>
      <c r="B409" s="3"/>
      <c r="C409" s="31"/>
      <c r="D409" s="3"/>
      <c r="E409" s="3"/>
      <c r="F409" s="3"/>
      <c r="G409" s="3"/>
      <c r="H409" s="3"/>
      <c r="I409" s="3"/>
      <c r="J409" s="3"/>
      <c r="K409" s="221"/>
      <c r="L409" s="222"/>
      <c r="M409" s="221"/>
      <c r="N409" s="3"/>
      <c r="O409" s="3"/>
      <c r="P409" s="3"/>
      <c r="Q409" s="3"/>
      <c r="R409" s="3"/>
      <c r="S409" s="3"/>
      <c r="T409" s="22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A410" s="3"/>
      <c r="B410" s="3"/>
      <c r="C410" s="31"/>
      <c r="D410" s="3"/>
      <c r="E410" s="3"/>
      <c r="F410" s="3"/>
      <c r="G410" s="3"/>
      <c r="H410" s="3"/>
      <c r="I410" s="3"/>
      <c r="J410" s="3"/>
      <c r="K410" s="221"/>
      <c r="L410" s="222"/>
      <c r="M410" s="221"/>
      <c r="N410" s="3"/>
      <c r="O410" s="3"/>
      <c r="P410" s="3"/>
      <c r="Q410" s="3"/>
      <c r="R410" s="3"/>
      <c r="S410" s="3"/>
      <c r="T410" s="22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A411" s="3"/>
      <c r="B411" s="3"/>
      <c r="C411" s="31"/>
      <c r="D411" s="3"/>
      <c r="E411" s="3"/>
      <c r="F411" s="3"/>
      <c r="G411" s="3"/>
      <c r="H411" s="3"/>
      <c r="I411" s="3"/>
      <c r="J411" s="3"/>
      <c r="K411" s="221"/>
      <c r="L411" s="222"/>
      <c r="M411" s="221"/>
      <c r="N411" s="3"/>
      <c r="O411" s="3"/>
      <c r="P411" s="3"/>
      <c r="Q411" s="3"/>
      <c r="R411" s="3"/>
      <c r="S411" s="3"/>
      <c r="T411" s="22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A412" s="3"/>
      <c r="B412" s="3"/>
      <c r="C412" s="31"/>
      <c r="D412" s="3"/>
      <c r="E412" s="3"/>
      <c r="F412" s="3"/>
      <c r="G412" s="3"/>
      <c r="H412" s="3"/>
      <c r="I412" s="3"/>
      <c r="J412" s="3"/>
      <c r="K412" s="221"/>
      <c r="L412" s="222"/>
      <c r="M412" s="221"/>
      <c r="N412" s="3"/>
      <c r="O412" s="3"/>
      <c r="P412" s="3"/>
      <c r="Q412" s="3"/>
      <c r="R412" s="3"/>
      <c r="S412" s="3"/>
      <c r="T412" s="22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A413" s="3"/>
      <c r="B413" s="3"/>
      <c r="C413" s="31"/>
      <c r="D413" s="3"/>
      <c r="E413" s="3"/>
      <c r="F413" s="3"/>
      <c r="G413" s="3"/>
      <c r="H413" s="3"/>
      <c r="I413" s="3"/>
      <c r="J413" s="3"/>
      <c r="K413" s="221"/>
      <c r="L413" s="222"/>
      <c r="M413" s="221"/>
      <c r="N413" s="3"/>
      <c r="O413" s="3"/>
      <c r="P413" s="3"/>
      <c r="Q413" s="3"/>
      <c r="R413" s="3"/>
      <c r="S413" s="3"/>
      <c r="T413" s="22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A414" s="3"/>
      <c r="B414" s="3"/>
      <c r="C414" s="31"/>
      <c r="D414" s="3"/>
      <c r="E414" s="3"/>
      <c r="F414" s="3"/>
      <c r="G414" s="3"/>
      <c r="H414" s="3"/>
      <c r="I414" s="3"/>
      <c r="J414" s="3"/>
      <c r="K414" s="221"/>
      <c r="L414" s="222"/>
      <c r="M414" s="221"/>
      <c r="N414" s="3"/>
      <c r="O414" s="3"/>
      <c r="P414" s="3"/>
      <c r="Q414" s="3"/>
      <c r="R414" s="3"/>
      <c r="S414" s="3"/>
      <c r="T414" s="22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A415" s="3"/>
      <c r="B415" s="3"/>
      <c r="C415" s="31"/>
      <c r="D415" s="3"/>
      <c r="E415" s="3"/>
      <c r="F415" s="3"/>
      <c r="G415" s="3"/>
      <c r="H415" s="3"/>
      <c r="I415" s="3"/>
      <c r="J415" s="3"/>
      <c r="K415" s="221"/>
      <c r="L415" s="222"/>
      <c r="M415" s="221"/>
      <c r="N415" s="3"/>
      <c r="O415" s="3"/>
      <c r="P415" s="3"/>
      <c r="Q415" s="3"/>
      <c r="R415" s="3"/>
      <c r="S415" s="3"/>
      <c r="T415" s="22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A416" s="3"/>
      <c r="B416" s="3"/>
      <c r="C416" s="31"/>
      <c r="D416" s="3"/>
      <c r="E416" s="3"/>
      <c r="F416" s="3"/>
      <c r="G416" s="3"/>
      <c r="H416" s="3"/>
      <c r="I416" s="3"/>
      <c r="J416" s="3"/>
      <c r="K416" s="221"/>
      <c r="L416" s="222"/>
      <c r="M416" s="221"/>
      <c r="N416" s="3"/>
      <c r="O416" s="3"/>
      <c r="P416" s="3"/>
      <c r="Q416" s="3"/>
      <c r="R416" s="3"/>
      <c r="S416" s="3"/>
      <c r="T416" s="22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A417" s="3"/>
      <c r="B417" s="3"/>
      <c r="C417" s="31"/>
      <c r="D417" s="3"/>
      <c r="E417" s="3"/>
      <c r="F417" s="3"/>
      <c r="G417" s="3"/>
      <c r="H417" s="3"/>
      <c r="I417" s="3"/>
      <c r="J417" s="3"/>
      <c r="K417" s="221"/>
      <c r="L417" s="222"/>
      <c r="M417" s="221"/>
      <c r="N417" s="3"/>
      <c r="O417" s="3"/>
      <c r="P417" s="3"/>
      <c r="Q417" s="3"/>
      <c r="R417" s="3"/>
      <c r="S417" s="3"/>
      <c r="T417" s="22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>
      <c r="A418" s="3"/>
      <c r="B418" s="3"/>
      <c r="C418" s="31"/>
      <c r="D418" s="3"/>
      <c r="E418" s="3"/>
      <c r="F418" s="3"/>
      <c r="G418" s="3"/>
      <c r="H418" s="3"/>
      <c r="I418" s="3"/>
      <c r="J418" s="3"/>
      <c r="K418" s="221"/>
      <c r="L418" s="222"/>
      <c r="M418" s="221"/>
      <c r="N418" s="3"/>
      <c r="O418" s="3"/>
      <c r="P418" s="3"/>
      <c r="Q418" s="3"/>
      <c r="R418" s="3"/>
      <c r="S418" s="3"/>
      <c r="T418" s="22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>
      <c r="A419" s="3"/>
      <c r="B419" s="3"/>
      <c r="C419" s="31"/>
      <c r="D419" s="3"/>
      <c r="E419" s="3"/>
      <c r="F419" s="3"/>
      <c r="G419" s="3"/>
      <c r="H419" s="3"/>
      <c r="I419" s="3"/>
      <c r="J419" s="3"/>
      <c r="K419" s="221"/>
      <c r="L419" s="222"/>
      <c r="M419" s="221"/>
      <c r="N419" s="3"/>
      <c r="O419" s="3"/>
      <c r="P419" s="3"/>
      <c r="Q419" s="3"/>
      <c r="R419" s="3"/>
      <c r="S419" s="3"/>
      <c r="T419" s="22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>
      <c r="A420" s="3"/>
      <c r="B420" s="3"/>
      <c r="C420" s="31"/>
      <c r="D420" s="3"/>
      <c r="E420" s="3"/>
      <c r="F420" s="3"/>
      <c r="G420" s="3"/>
      <c r="H420" s="3"/>
      <c r="I420" s="3"/>
      <c r="J420" s="3"/>
      <c r="K420" s="221"/>
      <c r="L420" s="222"/>
      <c r="M420" s="221"/>
      <c r="N420" s="3"/>
      <c r="O420" s="3"/>
      <c r="P420" s="3"/>
      <c r="Q420" s="3"/>
      <c r="R420" s="3"/>
      <c r="S420" s="3"/>
      <c r="T420" s="22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>
      <c r="A421" s="3"/>
      <c r="B421" s="3"/>
      <c r="C421" s="31"/>
      <c r="D421" s="3"/>
      <c r="E421" s="3"/>
      <c r="F421" s="3"/>
      <c r="G421" s="3"/>
      <c r="H421" s="3"/>
      <c r="I421" s="3"/>
      <c r="J421" s="3"/>
      <c r="K421" s="221"/>
      <c r="L421" s="222"/>
      <c r="M421" s="221"/>
      <c r="N421" s="3"/>
      <c r="O421" s="3"/>
      <c r="P421" s="3"/>
      <c r="Q421" s="3"/>
      <c r="R421" s="3"/>
      <c r="S421" s="3"/>
      <c r="T421" s="22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>
      <c r="A422" s="3"/>
      <c r="B422" s="3"/>
      <c r="C422" s="31"/>
      <c r="D422" s="3"/>
      <c r="E422" s="3"/>
      <c r="F422" s="3"/>
      <c r="G422" s="3"/>
      <c r="H422" s="3"/>
      <c r="I422" s="3"/>
      <c r="J422" s="3"/>
      <c r="K422" s="221"/>
      <c r="L422" s="222"/>
      <c r="M422" s="221"/>
      <c r="N422" s="3"/>
      <c r="O422" s="3"/>
      <c r="P422" s="3"/>
      <c r="Q422" s="3"/>
      <c r="R422" s="3"/>
      <c r="S422" s="3"/>
      <c r="T422" s="22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A423" s="3"/>
      <c r="B423" s="3"/>
      <c r="C423" s="31"/>
      <c r="D423" s="3"/>
      <c r="E423" s="3"/>
      <c r="F423" s="3"/>
      <c r="G423" s="3"/>
      <c r="H423" s="3"/>
      <c r="I423" s="3"/>
      <c r="J423" s="3"/>
      <c r="K423" s="221"/>
      <c r="L423" s="222"/>
      <c r="M423" s="221"/>
      <c r="N423" s="3"/>
      <c r="O423" s="3"/>
      <c r="P423" s="3"/>
      <c r="Q423" s="3"/>
      <c r="R423" s="3"/>
      <c r="S423" s="3"/>
      <c r="T423" s="22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A424" s="3"/>
      <c r="B424" s="3"/>
      <c r="C424" s="31"/>
      <c r="D424" s="3"/>
      <c r="E424" s="3"/>
      <c r="F424" s="3"/>
      <c r="G424" s="3"/>
      <c r="H424" s="3"/>
      <c r="I424" s="3"/>
      <c r="J424" s="3"/>
      <c r="K424" s="221"/>
      <c r="L424" s="222"/>
      <c r="M424" s="221"/>
      <c r="N424" s="3"/>
      <c r="O424" s="3"/>
      <c r="P424" s="3"/>
      <c r="Q424" s="3"/>
      <c r="R424" s="3"/>
      <c r="S424" s="3"/>
      <c r="T424" s="22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A425" s="3"/>
      <c r="B425" s="3"/>
      <c r="C425" s="31"/>
      <c r="D425" s="3"/>
      <c r="E425" s="3"/>
      <c r="F425" s="3"/>
      <c r="G425" s="3"/>
      <c r="H425" s="3"/>
      <c r="I425" s="3"/>
      <c r="J425" s="3"/>
      <c r="K425" s="221"/>
      <c r="L425" s="222"/>
      <c r="M425" s="221"/>
      <c r="N425" s="3"/>
      <c r="O425" s="3"/>
      <c r="P425" s="3"/>
      <c r="Q425" s="3"/>
      <c r="R425" s="3"/>
      <c r="S425" s="3"/>
      <c r="T425" s="22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A426" s="3"/>
      <c r="B426" s="3"/>
      <c r="C426" s="31"/>
      <c r="D426" s="3"/>
      <c r="E426" s="3"/>
      <c r="F426" s="3"/>
      <c r="G426" s="3"/>
      <c r="H426" s="3"/>
      <c r="I426" s="3"/>
      <c r="J426" s="3"/>
      <c r="K426" s="221"/>
      <c r="L426" s="222"/>
      <c r="M426" s="221"/>
      <c r="N426" s="3"/>
      <c r="O426" s="3"/>
      <c r="P426" s="3"/>
      <c r="Q426" s="3"/>
      <c r="R426" s="3"/>
      <c r="S426" s="3"/>
      <c r="T426" s="22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A427" s="3"/>
      <c r="B427" s="3"/>
      <c r="C427" s="31"/>
      <c r="D427" s="3"/>
      <c r="E427" s="3"/>
      <c r="F427" s="3"/>
      <c r="G427" s="3"/>
      <c r="H427" s="3"/>
      <c r="I427" s="3"/>
      <c r="J427" s="3"/>
      <c r="K427" s="221"/>
      <c r="L427" s="222"/>
      <c r="M427" s="221"/>
      <c r="N427" s="3"/>
      <c r="O427" s="3"/>
      <c r="P427" s="3"/>
      <c r="Q427" s="3"/>
      <c r="R427" s="3"/>
      <c r="S427" s="3"/>
      <c r="T427" s="22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A428" s="3"/>
      <c r="B428" s="3"/>
      <c r="C428" s="31"/>
      <c r="D428" s="3"/>
      <c r="E428" s="3"/>
      <c r="F428" s="3"/>
      <c r="G428" s="3"/>
      <c r="H428" s="3"/>
      <c r="I428" s="3"/>
      <c r="J428" s="3"/>
      <c r="K428" s="221"/>
      <c r="L428" s="222"/>
      <c r="M428" s="221"/>
      <c r="N428" s="3"/>
      <c r="O428" s="3"/>
      <c r="P428" s="3"/>
      <c r="Q428" s="3"/>
      <c r="R428" s="3"/>
      <c r="S428" s="3"/>
      <c r="T428" s="22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A429" s="3"/>
      <c r="B429" s="3"/>
      <c r="C429" s="31"/>
      <c r="D429" s="3"/>
      <c r="E429" s="3"/>
      <c r="F429" s="3"/>
      <c r="G429" s="3"/>
      <c r="H429" s="3"/>
      <c r="I429" s="3"/>
      <c r="J429" s="3"/>
      <c r="K429" s="221"/>
      <c r="L429" s="222"/>
      <c r="M429" s="221"/>
      <c r="N429" s="3"/>
      <c r="O429" s="3"/>
      <c r="P429" s="3"/>
      <c r="Q429" s="3"/>
      <c r="R429" s="3"/>
      <c r="S429" s="3"/>
      <c r="T429" s="22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A430" s="3"/>
      <c r="B430" s="3"/>
      <c r="C430" s="31"/>
      <c r="D430" s="3"/>
      <c r="E430" s="3"/>
      <c r="F430" s="3"/>
      <c r="G430" s="3"/>
      <c r="H430" s="3"/>
      <c r="I430" s="3"/>
      <c r="J430" s="3"/>
      <c r="K430" s="221"/>
      <c r="L430" s="222"/>
      <c r="M430" s="221"/>
      <c r="N430" s="3"/>
      <c r="O430" s="3"/>
      <c r="P430" s="3"/>
      <c r="Q430" s="3"/>
      <c r="R430" s="3"/>
      <c r="S430" s="3"/>
      <c r="T430" s="22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A431" s="3"/>
      <c r="B431" s="3"/>
      <c r="C431" s="31"/>
      <c r="D431" s="3"/>
      <c r="E431" s="3"/>
      <c r="F431" s="3"/>
      <c r="G431" s="3"/>
      <c r="H431" s="3"/>
      <c r="I431" s="3"/>
      <c r="J431" s="3"/>
      <c r="K431" s="221"/>
      <c r="L431" s="222"/>
      <c r="M431" s="221"/>
      <c r="N431" s="3"/>
      <c r="O431" s="3"/>
      <c r="P431" s="3"/>
      <c r="Q431" s="3"/>
      <c r="R431" s="3"/>
      <c r="S431" s="3"/>
      <c r="T431" s="22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A432" s="3"/>
      <c r="B432" s="3"/>
      <c r="C432" s="31"/>
      <c r="D432" s="3"/>
      <c r="E432" s="3"/>
      <c r="F432" s="3"/>
      <c r="G432" s="3"/>
      <c r="H432" s="3"/>
      <c r="I432" s="3"/>
      <c r="J432" s="3"/>
      <c r="K432" s="221"/>
      <c r="L432" s="222"/>
      <c r="M432" s="221"/>
      <c r="N432" s="3"/>
      <c r="O432" s="3"/>
      <c r="P432" s="3"/>
      <c r="Q432" s="3"/>
      <c r="R432" s="3"/>
      <c r="S432" s="3"/>
      <c r="T432" s="22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A433" s="3"/>
      <c r="B433" s="3"/>
      <c r="C433" s="31"/>
      <c r="D433" s="3"/>
      <c r="E433" s="3"/>
      <c r="F433" s="3"/>
      <c r="G433" s="3"/>
      <c r="H433" s="3"/>
      <c r="I433" s="3"/>
      <c r="J433" s="3"/>
      <c r="K433" s="221"/>
      <c r="L433" s="222"/>
      <c r="M433" s="221"/>
      <c r="N433" s="3"/>
      <c r="O433" s="3"/>
      <c r="P433" s="3"/>
      <c r="Q433" s="3"/>
      <c r="R433" s="3"/>
      <c r="S433" s="3"/>
      <c r="T433" s="22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A434" s="3"/>
      <c r="B434" s="3"/>
      <c r="C434" s="31"/>
      <c r="D434" s="3"/>
      <c r="E434" s="3"/>
      <c r="F434" s="3"/>
      <c r="G434" s="3"/>
      <c r="H434" s="3"/>
      <c r="I434" s="3"/>
      <c r="J434" s="3"/>
      <c r="K434" s="221"/>
      <c r="L434" s="222"/>
      <c r="M434" s="221"/>
      <c r="N434" s="3"/>
      <c r="O434" s="3"/>
      <c r="P434" s="3"/>
      <c r="Q434" s="3"/>
      <c r="R434" s="3"/>
      <c r="S434" s="3"/>
      <c r="T434" s="22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A435" s="3"/>
      <c r="B435" s="3"/>
      <c r="C435" s="31"/>
      <c r="D435" s="3"/>
      <c r="E435" s="3"/>
      <c r="F435" s="3"/>
      <c r="G435" s="3"/>
      <c r="H435" s="3"/>
      <c r="I435" s="3"/>
      <c r="J435" s="3"/>
      <c r="K435" s="221"/>
      <c r="L435" s="222"/>
      <c r="M435" s="221"/>
      <c r="N435" s="3"/>
      <c r="O435" s="3"/>
      <c r="P435" s="3"/>
      <c r="Q435" s="3"/>
      <c r="R435" s="3"/>
      <c r="S435" s="3"/>
      <c r="T435" s="22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A436" s="3"/>
      <c r="B436" s="3"/>
      <c r="C436" s="31"/>
      <c r="D436" s="3"/>
      <c r="E436" s="3"/>
      <c r="F436" s="3"/>
      <c r="G436" s="3"/>
      <c r="H436" s="3"/>
      <c r="I436" s="3"/>
      <c r="J436" s="3"/>
      <c r="K436" s="221"/>
      <c r="L436" s="222"/>
      <c r="M436" s="221"/>
      <c r="N436" s="3"/>
      <c r="O436" s="3"/>
      <c r="P436" s="3"/>
      <c r="Q436" s="3"/>
      <c r="R436" s="3"/>
      <c r="S436" s="3"/>
      <c r="T436" s="22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A437" s="3"/>
      <c r="B437" s="3"/>
      <c r="C437" s="31"/>
      <c r="D437" s="3"/>
      <c r="E437" s="3"/>
      <c r="F437" s="3"/>
      <c r="G437" s="3"/>
      <c r="H437" s="3"/>
      <c r="I437" s="3"/>
      <c r="J437" s="3"/>
      <c r="K437" s="221"/>
      <c r="L437" s="222"/>
      <c r="M437" s="221"/>
      <c r="N437" s="3"/>
      <c r="O437" s="3"/>
      <c r="P437" s="3"/>
      <c r="Q437" s="3"/>
      <c r="R437" s="3"/>
      <c r="S437" s="3"/>
      <c r="T437" s="22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A438" s="3"/>
      <c r="B438" s="3"/>
      <c r="C438" s="31"/>
      <c r="D438" s="3"/>
      <c r="E438" s="3"/>
      <c r="F438" s="3"/>
      <c r="G438" s="3"/>
      <c r="H438" s="3"/>
      <c r="I438" s="3"/>
      <c r="J438" s="3"/>
      <c r="K438" s="221"/>
      <c r="L438" s="222"/>
      <c r="M438" s="221"/>
      <c r="N438" s="3"/>
      <c r="O438" s="3"/>
      <c r="P438" s="3"/>
      <c r="Q438" s="3"/>
      <c r="R438" s="3"/>
      <c r="S438" s="3"/>
      <c r="T438" s="22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A439" s="3"/>
      <c r="B439" s="3"/>
      <c r="C439" s="31"/>
      <c r="D439" s="3"/>
      <c r="E439" s="3"/>
      <c r="F439" s="3"/>
      <c r="G439" s="3"/>
      <c r="H439" s="3"/>
      <c r="I439" s="3"/>
      <c r="J439" s="3"/>
      <c r="K439" s="221"/>
      <c r="L439" s="222"/>
      <c r="M439" s="221"/>
      <c r="N439" s="3"/>
      <c r="O439" s="3"/>
      <c r="P439" s="3"/>
      <c r="Q439" s="3"/>
      <c r="R439" s="3"/>
      <c r="S439" s="3"/>
      <c r="T439" s="22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A440" s="3"/>
      <c r="B440" s="3"/>
      <c r="C440" s="31"/>
      <c r="D440" s="3"/>
      <c r="E440" s="3"/>
      <c r="F440" s="3"/>
      <c r="G440" s="3"/>
      <c r="H440" s="3"/>
      <c r="I440" s="3"/>
      <c r="J440" s="3"/>
      <c r="K440" s="221"/>
      <c r="L440" s="222"/>
      <c r="M440" s="221"/>
      <c r="N440" s="3"/>
      <c r="O440" s="3"/>
      <c r="P440" s="3"/>
      <c r="Q440" s="3"/>
      <c r="R440" s="3"/>
      <c r="S440" s="3"/>
      <c r="T440" s="22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A441" s="3"/>
      <c r="B441" s="3"/>
      <c r="C441" s="31"/>
      <c r="D441" s="3"/>
      <c r="E441" s="3"/>
      <c r="F441" s="3"/>
      <c r="G441" s="3"/>
      <c r="H441" s="3"/>
      <c r="I441" s="3"/>
      <c r="J441" s="3"/>
      <c r="K441" s="221"/>
      <c r="L441" s="222"/>
      <c r="M441" s="221"/>
      <c r="N441" s="3"/>
      <c r="O441" s="3"/>
      <c r="P441" s="3"/>
      <c r="Q441" s="3"/>
      <c r="R441" s="3"/>
      <c r="S441" s="3"/>
      <c r="T441" s="22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A442" s="3"/>
      <c r="B442" s="3"/>
      <c r="C442" s="31"/>
      <c r="D442" s="3"/>
      <c r="E442" s="3"/>
      <c r="F442" s="3"/>
      <c r="G442" s="3"/>
      <c r="H442" s="3"/>
      <c r="I442" s="3"/>
      <c r="J442" s="3"/>
      <c r="K442" s="221"/>
      <c r="L442" s="222"/>
      <c r="M442" s="221"/>
      <c r="N442" s="3"/>
      <c r="O442" s="3"/>
      <c r="P442" s="3"/>
      <c r="Q442" s="3"/>
      <c r="R442" s="3"/>
      <c r="S442" s="3"/>
      <c r="T442" s="22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A443" s="3"/>
      <c r="B443" s="3"/>
      <c r="C443" s="31"/>
      <c r="D443" s="3"/>
      <c r="E443" s="3"/>
      <c r="F443" s="3"/>
      <c r="G443" s="3"/>
      <c r="H443" s="3"/>
      <c r="I443" s="3"/>
      <c r="J443" s="3"/>
      <c r="K443" s="221"/>
      <c r="L443" s="222"/>
      <c r="M443" s="221"/>
      <c r="N443" s="3"/>
      <c r="O443" s="3"/>
      <c r="P443" s="3"/>
      <c r="Q443" s="3"/>
      <c r="R443" s="3"/>
      <c r="S443" s="3"/>
      <c r="T443" s="22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A444" s="3"/>
      <c r="B444" s="3"/>
      <c r="C444" s="31"/>
      <c r="D444" s="3"/>
      <c r="E444" s="3"/>
      <c r="F444" s="3"/>
      <c r="G444" s="3"/>
      <c r="H444" s="3"/>
      <c r="I444" s="3"/>
      <c r="J444" s="3"/>
      <c r="K444" s="221"/>
      <c r="L444" s="222"/>
      <c r="M444" s="221"/>
      <c r="N444" s="3"/>
      <c r="O444" s="3"/>
      <c r="P444" s="3"/>
      <c r="Q444" s="3"/>
      <c r="R444" s="3"/>
      <c r="S444" s="3"/>
      <c r="T444" s="22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A445" s="3"/>
      <c r="B445" s="3"/>
      <c r="C445" s="31"/>
      <c r="D445" s="3"/>
      <c r="E445" s="3"/>
      <c r="F445" s="3"/>
      <c r="G445" s="3"/>
      <c r="H445" s="3"/>
      <c r="I445" s="3"/>
      <c r="J445" s="3"/>
      <c r="K445" s="221"/>
      <c r="L445" s="222"/>
      <c r="M445" s="221"/>
      <c r="N445" s="3"/>
      <c r="O445" s="3"/>
      <c r="P445" s="3"/>
      <c r="Q445" s="3"/>
      <c r="R445" s="3"/>
      <c r="S445" s="3"/>
      <c r="T445" s="22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A446" s="3"/>
      <c r="B446" s="3"/>
      <c r="C446" s="31"/>
      <c r="D446" s="3"/>
      <c r="E446" s="3"/>
      <c r="F446" s="3"/>
      <c r="G446" s="3"/>
      <c r="H446" s="3"/>
      <c r="I446" s="3"/>
      <c r="J446" s="3"/>
      <c r="K446" s="221"/>
      <c r="L446" s="222"/>
      <c r="M446" s="221"/>
      <c r="N446" s="3"/>
      <c r="O446" s="3"/>
      <c r="P446" s="3"/>
      <c r="Q446" s="3"/>
      <c r="R446" s="3"/>
      <c r="S446" s="3"/>
      <c r="T446" s="22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A447" s="3"/>
      <c r="B447" s="3"/>
      <c r="C447" s="31"/>
      <c r="D447" s="3"/>
      <c r="E447" s="3"/>
      <c r="F447" s="3"/>
      <c r="G447" s="3"/>
      <c r="H447" s="3"/>
      <c r="I447" s="3"/>
      <c r="J447" s="3"/>
      <c r="K447" s="221"/>
      <c r="L447" s="222"/>
      <c r="M447" s="221"/>
      <c r="N447" s="3"/>
      <c r="O447" s="3"/>
      <c r="P447" s="3"/>
      <c r="Q447" s="3"/>
      <c r="R447" s="3"/>
      <c r="S447" s="3"/>
      <c r="T447" s="22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A448" s="3"/>
      <c r="B448" s="3"/>
      <c r="C448" s="31"/>
      <c r="D448" s="3"/>
      <c r="E448" s="3"/>
      <c r="F448" s="3"/>
      <c r="G448" s="3"/>
      <c r="H448" s="3"/>
      <c r="I448" s="3"/>
      <c r="J448" s="3"/>
      <c r="K448" s="221"/>
      <c r="L448" s="222"/>
      <c r="M448" s="221"/>
      <c r="N448" s="3"/>
      <c r="O448" s="3"/>
      <c r="P448" s="3"/>
      <c r="Q448" s="3"/>
      <c r="R448" s="3"/>
      <c r="S448" s="3"/>
      <c r="T448" s="22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A449" s="3"/>
      <c r="B449" s="3"/>
      <c r="C449" s="31"/>
      <c r="D449" s="3"/>
      <c r="E449" s="3"/>
      <c r="F449" s="3"/>
      <c r="G449" s="3"/>
      <c r="H449" s="3"/>
      <c r="I449" s="3"/>
      <c r="J449" s="3"/>
      <c r="K449" s="221"/>
      <c r="L449" s="222"/>
      <c r="M449" s="221"/>
      <c r="N449" s="3"/>
      <c r="O449" s="3"/>
      <c r="P449" s="3"/>
      <c r="Q449" s="3"/>
      <c r="R449" s="3"/>
      <c r="S449" s="3"/>
      <c r="T449" s="22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A450" s="3"/>
      <c r="B450" s="3"/>
      <c r="C450" s="31"/>
      <c r="D450" s="3"/>
      <c r="E450" s="3"/>
      <c r="F450" s="3"/>
      <c r="G450" s="3"/>
      <c r="H450" s="3"/>
      <c r="I450" s="3"/>
      <c r="J450" s="3"/>
      <c r="K450" s="221"/>
      <c r="L450" s="222"/>
      <c r="M450" s="221"/>
      <c r="N450" s="3"/>
      <c r="O450" s="3"/>
      <c r="P450" s="3"/>
      <c r="Q450" s="3"/>
      <c r="R450" s="3"/>
      <c r="S450" s="3"/>
      <c r="T450" s="22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A451" s="3"/>
      <c r="B451" s="3"/>
      <c r="C451" s="31"/>
      <c r="D451" s="3"/>
      <c r="E451" s="3"/>
      <c r="F451" s="3"/>
      <c r="G451" s="3"/>
      <c r="H451" s="3"/>
      <c r="I451" s="3"/>
      <c r="J451" s="3"/>
      <c r="K451" s="221"/>
      <c r="L451" s="222"/>
      <c r="M451" s="221"/>
      <c r="N451" s="3"/>
      <c r="O451" s="3"/>
      <c r="P451" s="3"/>
      <c r="Q451" s="3"/>
      <c r="R451" s="3"/>
      <c r="S451" s="3"/>
      <c r="T451" s="22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A452" s="3"/>
      <c r="B452" s="3"/>
      <c r="C452" s="31"/>
      <c r="D452" s="3"/>
      <c r="E452" s="3"/>
      <c r="F452" s="3"/>
      <c r="G452" s="3"/>
      <c r="H452" s="3"/>
      <c r="I452" s="3"/>
      <c r="J452" s="3"/>
      <c r="K452" s="221"/>
      <c r="L452" s="222"/>
      <c r="M452" s="221"/>
      <c r="N452" s="3"/>
      <c r="O452" s="3"/>
      <c r="P452" s="3"/>
      <c r="Q452" s="3"/>
      <c r="R452" s="3"/>
      <c r="S452" s="3"/>
      <c r="T452" s="22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A453" s="3"/>
      <c r="B453" s="3"/>
      <c r="C453" s="31"/>
      <c r="D453" s="3"/>
      <c r="E453" s="3"/>
      <c r="F453" s="3"/>
      <c r="G453" s="3"/>
      <c r="H453" s="3"/>
      <c r="I453" s="3"/>
      <c r="J453" s="3"/>
      <c r="K453" s="221"/>
      <c r="L453" s="222"/>
      <c r="M453" s="221"/>
      <c r="N453" s="3"/>
      <c r="O453" s="3"/>
      <c r="P453" s="3"/>
      <c r="Q453" s="3"/>
      <c r="R453" s="3"/>
      <c r="S453" s="3"/>
      <c r="T453" s="22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A454" s="3"/>
      <c r="B454" s="3"/>
      <c r="C454" s="31"/>
      <c r="D454" s="3"/>
      <c r="E454" s="3"/>
      <c r="F454" s="3"/>
      <c r="G454" s="3"/>
      <c r="H454" s="3"/>
      <c r="I454" s="3"/>
      <c r="J454" s="3"/>
      <c r="K454" s="221"/>
      <c r="L454" s="222"/>
      <c r="M454" s="221"/>
      <c r="N454" s="3"/>
      <c r="O454" s="3"/>
      <c r="P454" s="3"/>
      <c r="Q454" s="3"/>
      <c r="R454" s="3"/>
      <c r="S454" s="3"/>
      <c r="T454" s="22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A455" s="3"/>
      <c r="B455" s="3"/>
      <c r="C455" s="31"/>
      <c r="D455" s="3"/>
      <c r="E455" s="3"/>
      <c r="F455" s="3"/>
      <c r="G455" s="3"/>
      <c r="H455" s="3"/>
      <c r="I455" s="3"/>
      <c r="J455" s="3"/>
      <c r="K455" s="221"/>
      <c r="L455" s="222"/>
      <c r="M455" s="221"/>
      <c r="N455" s="3"/>
      <c r="O455" s="3"/>
      <c r="P455" s="3"/>
      <c r="Q455" s="3"/>
      <c r="R455" s="3"/>
      <c r="S455" s="3"/>
      <c r="T455" s="22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A456" s="3"/>
      <c r="B456" s="3"/>
      <c r="C456" s="31"/>
      <c r="D456" s="3"/>
      <c r="E456" s="3"/>
      <c r="F456" s="3"/>
      <c r="G456" s="3"/>
      <c r="H456" s="3"/>
      <c r="I456" s="3"/>
      <c r="J456" s="3"/>
      <c r="K456" s="221"/>
      <c r="L456" s="222"/>
      <c r="M456" s="221"/>
      <c r="N456" s="3"/>
      <c r="O456" s="3"/>
      <c r="P456" s="3"/>
      <c r="Q456" s="3"/>
      <c r="R456" s="3"/>
      <c r="S456" s="3"/>
      <c r="T456" s="22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A457" s="3"/>
      <c r="B457" s="3"/>
      <c r="C457" s="31"/>
      <c r="D457" s="3"/>
      <c r="E457" s="3"/>
      <c r="F457" s="3"/>
      <c r="G457" s="3"/>
      <c r="H457" s="3"/>
      <c r="I457" s="3"/>
      <c r="J457" s="3"/>
      <c r="K457" s="221"/>
      <c r="L457" s="222"/>
      <c r="M457" s="221"/>
      <c r="N457" s="3"/>
      <c r="O457" s="3"/>
      <c r="P457" s="3"/>
      <c r="Q457" s="3"/>
      <c r="R457" s="3"/>
      <c r="S457" s="3"/>
      <c r="T457" s="22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A458" s="3"/>
      <c r="B458" s="3"/>
      <c r="C458" s="31"/>
      <c r="D458" s="3"/>
      <c r="E458" s="3"/>
      <c r="F458" s="3"/>
      <c r="G458" s="3"/>
      <c r="H458" s="3"/>
      <c r="I458" s="3"/>
      <c r="J458" s="3"/>
      <c r="K458" s="221"/>
      <c r="L458" s="222"/>
      <c r="M458" s="221"/>
      <c r="N458" s="3"/>
      <c r="O458" s="3"/>
      <c r="P458" s="3"/>
      <c r="Q458" s="3"/>
      <c r="R458" s="3"/>
      <c r="S458" s="3"/>
      <c r="T458" s="22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>
      <c r="A459" s="3"/>
      <c r="B459" s="3"/>
      <c r="C459" s="31"/>
      <c r="D459" s="3"/>
      <c r="E459" s="3"/>
      <c r="F459" s="3"/>
      <c r="G459" s="3"/>
      <c r="H459" s="3"/>
      <c r="I459" s="3"/>
      <c r="J459" s="3"/>
      <c r="K459" s="221"/>
      <c r="L459" s="222"/>
      <c r="M459" s="221"/>
      <c r="N459" s="3"/>
      <c r="O459" s="3"/>
      <c r="P459" s="3"/>
      <c r="Q459" s="3"/>
      <c r="R459" s="3"/>
      <c r="S459" s="3"/>
      <c r="T459" s="22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>
      <c r="A460" s="3"/>
      <c r="B460" s="3"/>
      <c r="C460" s="31"/>
      <c r="D460" s="3"/>
      <c r="E460" s="3"/>
      <c r="F460" s="3"/>
      <c r="G460" s="3"/>
      <c r="H460" s="3"/>
      <c r="I460" s="3"/>
      <c r="J460" s="3"/>
      <c r="K460" s="221"/>
      <c r="L460" s="222"/>
      <c r="M460" s="221"/>
      <c r="N460" s="3"/>
      <c r="O460" s="3"/>
      <c r="P460" s="3"/>
      <c r="Q460" s="3"/>
      <c r="R460" s="3"/>
      <c r="S460" s="3"/>
      <c r="T460" s="22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>
      <c r="A461" s="3"/>
      <c r="B461" s="3"/>
      <c r="C461" s="31"/>
      <c r="D461" s="3"/>
      <c r="E461" s="3"/>
      <c r="F461" s="3"/>
      <c r="G461" s="3"/>
      <c r="H461" s="3"/>
      <c r="I461" s="3"/>
      <c r="J461" s="3"/>
      <c r="K461" s="221"/>
      <c r="L461" s="222"/>
      <c r="M461" s="221"/>
      <c r="N461" s="3"/>
      <c r="O461" s="3"/>
      <c r="P461" s="3"/>
      <c r="Q461" s="3"/>
      <c r="R461" s="3"/>
      <c r="S461" s="3"/>
      <c r="T461" s="22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>
      <c r="A462" s="3"/>
      <c r="B462" s="3"/>
      <c r="C462" s="31"/>
      <c r="D462" s="3"/>
      <c r="E462" s="3"/>
      <c r="F462" s="3"/>
      <c r="G462" s="3"/>
      <c r="H462" s="3"/>
      <c r="I462" s="3"/>
      <c r="J462" s="3"/>
      <c r="K462" s="221"/>
      <c r="L462" s="222"/>
      <c r="M462" s="221"/>
      <c r="N462" s="3"/>
      <c r="O462" s="3"/>
      <c r="P462" s="3"/>
      <c r="Q462" s="3"/>
      <c r="R462" s="3"/>
      <c r="S462" s="3"/>
      <c r="T462" s="22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>
      <c r="A463" s="3"/>
      <c r="B463" s="3"/>
      <c r="C463" s="31"/>
      <c r="D463" s="3"/>
      <c r="E463" s="3"/>
      <c r="F463" s="3"/>
      <c r="G463" s="3"/>
      <c r="H463" s="3"/>
      <c r="I463" s="3"/>
      <c r="J463" s="3"/>
      <c r="K463" s="221"/>
      <c r="L463" s="222"/>
      <c r="M463" s="221"/>
      <c r="N463" s="3"/>
      <c r="O463" s="3"/>
      <c r="P463" s="3"/>
      <c r="Q463" s="3"/>
      <c r="R463" s="3"/>
      <c r="S463" s="3"/>
      <c r="T463" s="22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>
      <c r="A464" s="3"/>
      <c r="B464" s="3"/>
      <c r="C464" s="31"/>
      <c r="D464" s="3"/>
      <c r="E464" s="3"/>
      <c r="F464" s="3"/>
      <c r="G464" s="3"/>
      <c r="H464" s="3"/>
      <c r="I464" s="3"/>
      <c r="J464" s="3"/>
      <c r="K464" s="221"/>
      <c r="L464" s="222"/>
      <c r="M464" s="221"/>
      <c r="N464" s="3"/>
      <c r="O464" s="3"/>
      <c r="P464" s="3"/>
      <c r="Q464" s="3"/>
      <c r="R464" s="3"/>
      <c r="S464" s="3"/>
      <c r="T464" s="22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A465" s="3"/>
      <c r="B465" s="3"/>
      <c r="C465" s="31"/>
      <c r="D465" s="3"/>
      <c r="E465" s="3"/>
      <c r="F465" s="3"/>
      <c r="G465" s="3"/>
      <c r="H465" s="3"/>
      <c r="I465" s="3"/>
      <c r="J465" s="3"/>
      <c r="K465" s="221"/>
      <c r="L465" s="222"/>
      <c r="M465" s="221"/>
      <c r="N465" s="3"/>
      <c r="O465" s="3"/>
      <c r="P465" s="3"/>
      <c r="Q465" s="3"/>
      <c r="R465" s="3"/>
      <c r="S465" s="3"/>
      <c r="T465" s="22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A466" s="3"/>
      <c r="B466" s="3"/>
      <c r="C466" s="31"/>
      <c r="D466" s="3"/>
      <c r="E466" s="3"/>
      <c r="F466" s="3"/>
      <c r="G466" s="3"/>
      <c r="H466" s="3"/>
      <c r="I466" s="3"/>
      <c r="J466" s="3"/>
      <c r="K466" s="221"/>
      <c r="L466" s="222"/>
      <c r="M466" s="221"/>
      <c r="N466" s="3"/>
      <c r="O466" s="3"/>
      <c r="P466" s="3"/>
      <c r="Q466" s="3"/>
      <c r="R466" s="3"/>
      <c r="S466" s="3"/>
      <c r="T466" s="22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A467" s="3"/>
      <c r="B467" s="3"/>
      <c r="C467" s="31"/>
      <c r="D467" s="3"/>
      <c r="E467" s="3"/>
      <c r="F467" s="3"/>
      <c r="G467" s="3"/>
      <c r="H467" s="3"/>
      <c r="I467" s="3"/>
      <c r="J467" s="3"/>
      <c r="K467" s="221"/>
      <c r="L467" s="222"/>
      <c r="M467" s="221"/>
      <c r="N467" s="3"/>
      <c r="O467" s="3"/>
      <c r="P467" s="3"/>
      <c r="Q467" s="3"/>
      <c r="R467" s="3"/>
      <c r="S467" s="3"/>
      <c r="T467" s="22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A468" s="3"/>
      <c r="B468" s="3"/>
      <c r="C468" s="31"/>
      <c r="D468" s="3"/>
      <c r="E468" s="3"/>
      <c r="F468" s="3"/>
      <c r="G468" s="3"/>
      <c r="H468" s="3"/>
      <c r="I468" s="3"/>
      <c r="J468" s="3"/>
      <c r="K468" s="221"/>
      <c r="L468" s="222"/>
      <c r="M468" s="221"/>
      <c r="N468" s="3"/>
      <c r="O468" s="3"/>
      <c r="P468" s="3"/>
      <c r="Q468" s="3"/>
      <c r="R468" s="3"/>
      <c r="S468" s="3"/>
      <c r="T468" s="22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A469" s="3"/>
      <c r="B469" s="3"/>
      <c r="C469" s="31"/>
      <c r="D469" s="3"/>
      <c r="E469" s="3"/>
      <c r="F469" s="3"/>
      <c r="G469" s="3"/>
      <c r="H469" s="3"/>
      <c r="I469" s="3"/>
      <c r="J469" s="3"/>
      <c r="K469" s="221"/>
      <c r="L469" s="222"/>
      <c r="M469" s="221"/>
      <c r="N469" s="3"/>
      <c r="O469" s="3"/>
      <c r="P469" s="3"/>
      <c r="Q469" s="3"/>
      <c r="R469" s="3"/>
      <c r="S469" s="3"/>
      <c r="T469" s="22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A470" s="3"/>
      <c r="B470" s="3"/>
      <c r="C470" s="31"/>
      <c r="D470" s="3"/>
      <c r="E470" s="3"/>
      <c r="F470" s="3"/>
      <c r="G470" s="3"/>
      <c r="H470" s="3"/>
      <c r="I470" s="3"/>
      <c r="J470" s="3"/>
      <c r="K470" s="221"/>
      <c r="L470" s="222"/>
      <c r="M470" s="221"/>
      <c r="N470" s="3"/>
      <c r="O470" s="3"/>
      <c r="P470" s="3"/>
      <c r="Q470" s="3"/>
      <c r="R470" s="3"/>
      <c r="S470" s="3"/>
      <c r="T470" s="22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A471" s="3"/>
      <c r="B471" s="3"/>
      <c r="C471" s="31"/>
      <c r="D471" s="3"/>
      <c r="E471" s="3"/>
      <c r="F471" s="3"/>
      <c r="G471" s="3"/>
      <c r="H471" s="3"/>
      <c r="I471" s="3"/>
      <c r="J471" s="3"/>
      <c r="K471" s="221"/>
      <c r="L471" s="222"/>
      <c r="M471" s="221"/>
      <c r="N471" s="3"/>
      <c r="O471" s="3"/>
      <c r="P471" s="3"/>
      <c r="Q471" s="3"/>
      <c r="R471" s="3"/>
      <c r="S471" s="3"/>
      <c r="T471" s="22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A472" s="3"/>
      <c r="B472" s="3"/>
      <c r="C472" s="31"/>
      <c r="D472" s="3"/>
      <c r="E472" s="3"/>
      <c r="F472" s="3"/>
      <c r="G472" s="3"/>
      <c r="H472" s="3"/>
      <c r="I472" s="3"/>
      <c r="J472" s="3"/>
      <c r="K472" s="221"/>
      <c r="L472" s="222"/>
      <c r="M472" s="221"/>
      <c r="N472" s="3"/>
      <c r="O472" s="3"/>
      <c r="P472" s="3"/>
      <c r="Q472" s="3"/>
      <c r="R472" s="3"/>
      <c r="S472" s="3"/>
      <c r="T472" s="22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A473" s="3"/>
      <c r="B473" s="3"/>
      <c r="C473" s="31"/>
      <c r="D473" s="3"/>
      <c r="E473" s="3"/>
      <c r="F473" s="3"/>
      <c r="G473" s="3"/>
      <c r="H473" s="3"/>
      <c r="I473" s="3"/>
      <c r="J473" s="3"/>
      <c r="K473" s="221"/>
      <c r="L473" s="222"/>
      <c r="M473" s="221"/>
      <c r="N473" s="3"/>
      <c r="O473" s="3"/>
      <c r="P473" s="3"/>
      <c r="Q473" s="3"/>
      <c r="R473" s="3"/>
      <c r="S473" s="3"/>
      <c r="T473" s="22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A474" s="3"/>
      <c r="B474" s="3"/>
      <c r="C474" s="31"/>
      <c r="D474" s="3"/>
      <c r="E474" s="3"/>
      <c r="F474" s="3"/>
      <c r="G474" s="3"/>
      <c r="H474" s="3"/>
      <c r="I474" s="3"/>
      <c r="J474" s="3"/>
      <c r="K474" s="221"/>
      <c r="L474" s="222"/>
      <c r="M474" s="221"/>
      <c r="N474" s="3"/>
      <c r="O474" s="3"/>
      <c r="P474" s="3"/>
      <c r="Q474" s="3"/>
      <c r="R474" s="3"/>
      <c r="S474" s="3"/>
      <c r="T474" s="22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A475" s="3"/>
      <c r="B475" s="3"/>
      <c r="C475" s="31"/>
      <c r="D475" s="3"/>
      <c r="E475" s="3"/>
      <c r="F475" s="3"/>
      <c r="G475" s="3"/>
      <c r="H475" s="3"/>
      <c r="I475" s="3"/>
      <c r="J475" s="3"/>
      <c r="K475" s="221"/>
      <c r="L475" s="222"/>
      <c r="M475" s="221"/>
      <c r="N475" s="3"/>
      <c r="O475" s="3"/>
      <c r="P475" s="3"/>
      <c r="Q475" s="3"/>
      <c r="R475" s="3"/>
      <c r="S475" s="3"/>
      <c r="T475" s="22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A476" s="3"/>
      <c r="B476" s="3"/>
      <c r="C476" s="31"/>
      <c r="D476" s="3"/>
      <c r="E476" s="3"/>
      <c r="F476" s="3"/>
      <c r="G476" s="3"/>
      <c r="H476" s="3"/>
      <c r="I476" s="3"/>
      <c r="J476" s="3"/>
      <c r="K476" s="221"/>
      <c r="L476" s="222"/>
      <c r="M476" s="221"/>
      <c r="N476" s="3"/>
      <c r="O476" s="3"/>
      <c r="P476" s="3"/>
      <c r="Q476" s="3"/>
      <c r="R476" s="3"/>
      <c r="S476" s="3"/>
      <c r="T476" s="22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A477" s="3"/>
      <c r="B477" s="3"/>
      <c r="C477" s="31"/>
      <c r="D477" s="3"/>
      <c r="E477" s="3"/>
      <c r="F477" s="3"/>
      <c r="G477" s="3"/>
      <c r="H477" s="3"/>
      <c r="I477" s="3"/>
      <c r="J477" s="3"/>
      <c r="K477" s="221"/>
      <c r="L477" s="222"/>
      <c r="M477" s="221"/>
      <c r="N477" s="3"/>
      <c r="O477" s="3"/>
      <c r="P477" s="3"/>
      <c r="Q477" s="3"/>
      <c r="R477" s="3"/>
      <c r="S477" s="3"/>
      <c r="T477" s="22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A478" s="3"/>
      <c r="B478" s="3"/>
      <c r="C478" s="31"/>
      <c r="D478" s="3"/>
      <c r="E478" s="3"/>
      <c r="F478" s="3"/>
      <c r="G478" s="3"/>
      <c r="H478" s="3"/>
      <c r="I478" s="3"/>
      <c r="J478" s="3"/>
      <c r="K478" s="221"/>
      <c r="L478" s="222"/>
      <c r="M478" s="221"/>
      <c r="N478" s="3"/>
      <c r="O478" s="3"/>
      <c r="P478" s="3"/>
      <c r="Q478" s="3"/>
      <c r="R478" s="3"/>
      <c r="S478" s="3"/>
      <c r="T478" s="22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A479" s="3"/>
      <c r="B479" s="3"/>
      <c r="C479" s="31"/>
      <c r="D479" s="3"/>
      <c r="E479" s="3"/>
      <c r="F479" s="3"/>
      <c r="G479" s="3"/>
      <c r="H479" s="3"/>
      <c r="I479" s="3"/>
      <c r="J479" s="3"/>
      <c r="K479" s="221"/>
      <c r="L479" s="222"/>
      <c r="M479" s="221"/>
      <c r="N479" s="3"/>
      <c r="O479" s="3"/>
      <c r="P479" s="3"/>
      <c r="Q479" s="3"/>
      <c r="R479" s="3"/>
      <c r="S479" s="3"/>
      <c r="T479" s="22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A480" s="3"/>
      <c r="B480" s="3"/>
      <c r="C480" s="31"/>
      <c r="D480" s="3"/>
      <c r="E480" s="3"/>
      <c r="F480" s="3"/>
      <c r="G480" s="3"/>
      <c r="H480" s="3"/>
      <c r="I480" s="3"/>
      <c r="J480" s="3"/>
      <c r="K480" s="221"/>
      <c r="L480" s="222"/>
      <c r="M480" s="221"/>
      <c r="N480" s="3"/>
      <c r="O480" s="3"/>
      <c r="P480" s="3"/>
      <c r="Q480" s="3"/>
      <c r="R480" s="3"/>
      <c r="S480" s="3"/>
      <c r="T480" s="22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A481" s="3"/>
      <c r="B481" s="3"/>
      <c r="C481" s="31"/>
      <c r="D481" s="3"/>
      <c r="E481" s="3"/>
      <c r="F481" s="3"/>
      <c r="G481" s="3"/>
      <c r="H481" s="3"/>
      <c r="I481" s="3"/>
      <c r="J481" s="3"/>
      <c r="K481" s="221"/>
      <c r="L481" s="222"/>
      <c r="M481" s="221"/>
      <c r="N481" s="3"/>
      <c r="O481" s="3"/>
      <c r="P481" s="3"/>
      <c r="Q481" s="3"/>
      <c r="R481" s="3"/>
      <c r="S481" s="3"/>
      <c r="T481" s="22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A482" s="3"/>
      <c r="B482" s="3"/>
      <c r="C482" s="31"/>
      <c r="D482" s="3"/>
      <c r="E482" s="3"/>
      <c r="F482" s="3"/>
      <c r="G482" s="3"/>
      <c r="H482" s="3"/>
      <c r="I482" s="3"/>
      <c r="J482" s="3"/>
      <c r="K482" s="221"/>
      <c r="L482" s="222"/>
      <c r="M482" s="221"/>
      <c r="N482" s="3"/>
      <c r="O482" s="3"/>
      <c r="P482" s="3"/>
      <c r="Q482" s="3"/>
      <c r="R482" s="3"/>
      <c r="S482" s="3"/>
      <c r="T482" s="22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A483" s="3"/>
      <c r="B483" s="3"/>
      <c r="C483" s="31"/>
      <c r="D483" s="3"/>
      <c r="E483" s="3"/>
      <c r="F483" s="3"/>
      <c r="G483" s="3"/>
      <c r="H483" s="3"/>
      <c r="I483" s="3"/>
      <c r="J483" s="3"/>
      <c r="K483" s="221"/>
      <c r="L483" s="222"/>
      <c r="M483" s="221"/>
      <c r="N483" s="3"/>
      <c r="O483" s="3"/>
      <c r="P483" s="3"/>
      <c r="Q483" s="3"/>
      <c r="R483" s="3"/>
      <c r="S483" s="3"/>
      <c r="T483" s="22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A484" s="3"/>
      <c r="B484" s="3"/>
      <c r="C484" s="31"/>
      <c r="D484" s="3"/>
      <c r="E484" s="3"/>
      <c r="F484" s="3"/>
      <c r="G484" s="3"/>
      <c r="H484" s="3"/>
      <c r="I484" s="3"/>
      <c r="J484" s="3"/>
      <c r="K484" s="221"/>
      <c r="L484" s="222"/>
      <c r="M484" s="221"/>
      <c r="N484" s="3"/>
      <c r="O484" s="3"/>
      <c r="P484" s="3"/>
      <c r="Q484" s="3"/>
      <c r="R484" s="3"/>
      <c r="S484" s="3"/>
      <c r="T484" s="22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A485" s="3"/>
      <c r="B485" s="3"/>
      <c r="C485" s="31"/>
      <c r="D485" s="3"/>
      <c r="E485" s="3"/>
      <c r="F485" s="3"/>
      <c r="G485" s="3"/>
      <c r="H485" s="3"/>
      <c r="I485" s="3"/>
      <c r="J485" s="3"/>
      <c r="K485" s="221"/>
      <c r="L485" s="222"/>
      <c r="M485" s="221"/>
      <c r="N485" s="3"/>
      <c r="O485" s="3"/>
      <c r="P485" s="3"/>
      <c r="Q485" s="3"/>
      <c r="R485" s="3"/>
      <c r="S485" s="3"/>
      <c r="T485" s="22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A486" s="3"/>
      <c r="B486" s="3"/>
      <c r="C486" s="31"/>
      <c r="D486" s="3"/>
      <c r="E486" s="3"/>
      <c r="F486" s="3"/>
      <c r="G486" s="3"/>
      <c r="H486" s="3"/>
      <c r="I486" s="3"/>
      <c r="J486" s="3"/>
      <c r="K486" s="221"/>
      <c r="L486" s="222"/>
      <c r="M486" s="221"/>
      <c r="N486" s="3"/>
      <c r="O486" s="3"/>
      <c r="P486" s="3"/>
      <c r="Q486" s="3"/>
      <c r="R486" s="3"/>
      <c r="S486" s="3"/>
      <c r="T486" s="22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A487" s="3"/>
      <c r="B487" s="3"/>
      <c r="C487" s="31"/>
      <c r="D487" s="3"/>
      <c r="E487" s="3"/>
      <c r="F487" s="3"/>
      <c r="G487" s="3"/>
      <c r="H487" s="3"/>
      <c r="I487" s="3"/>
      <c r="J487" s="3"/>
      <c r="K487" s="221"/>
      <c r="L487" s="222"/>
      <c r="M487" s="221"/>
      <c r="N487" s="3"/>
      <c r="O487" s="3"/>
      <c r="P487" s="3"/>
      <c r="Q487" s="3"/>
      <c r="R487" s="3"/>
      <c r="S487" s="3"/>
      <c r="T487" s="22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A488" s="3"/>
      <c r="B488" s="3"/>
      <c r="C488" s="31"/>
      <c r="D488" s="3"/>
      <c r="E488" s="3"/>
      <c r="F488" s="3"/>
      <c r="G488" s="3"/>
      <c r="H488" s="3"/>
      <c r="I488" s="3"/>
      <c r="J488" s="3"/>
      <c r="K488" s="221"/>
      <c r="L488" s="222"/>
      <c r="M488" s="221"/>
      <c r="N488" s="3"/>
      <c r="O488" s="3"/>
      <c r="P488" s="3"/>
      <c r="Q488" s="3"/>
      <c r="R488" s="3"/>
      <c r="S488" s="3"/>
      <c r="T488" s="22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A489" s="3"/>
      <c r="B489" s="3"/>
      <c r="C489" s="31"/>
      <c r="D489" s="3"/>
      <c r="E489" s="3"/>
      <c r="F489" s="3"/>
      <c r="G489" s="3"/>
      <c r="H489" s="3"/>
      <c r="I489" s="3"/>
      <c r="J489" s="3"/>
      <c r="K489" s="221"/>
      <c r="L489" s="222"/>
      <c r="M489" s="221"/>
      <c r="N489" s="3"/>
      <c r="O489" s="3"/>
      <c r="P489" s="3"/>
      <c r="Q489" s="3"/>
      <c r="R489" s="3"/>
      <c r="S489" s="3"/>
      <c r="T489" s="22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A490" s="3"/>
      <c r="B490" s="3"/>
      <c r="C490" s="31"/>
      <c r="D490" s="3"/>
      <c r="E490" s="3"/>
      <c r="F490" s="3"/>
      <c r="G490" s="3"/>
      <c r="H490" s="3"/>
      <c r="I490" s="3"/>
      <c r="J490" s="3"/>
      <c r="K490" s="221"/>
      <c r="L490" s="222"/>
      <c r="M490" s="221"/>
      <c r="N490" s="3"/>
      <c r="O490" s="3"/>
      <c r="P490" s="3"/>
      <c r="Q490" s="3"/>
      <c r="R490" s="3"/>
      <c r="S490" s="3"/>
      <c r="T490" s="22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A491" s="3"/>
      <c r="B491" s="3"/>
      <c r="C491" s="31"/>
      <c r="D491" s="3"/>
      <c r="E491" s="3"/>
      <c r="F491" s="3"/>
      <c r="G491" s="3"/>
      <c r="H491" s="3"/>
      <c r="I491" s="3"/>
      <c r="J491" s="3"/>
      <c r="K491" s="221"/>
      <c r="L491" s="222"/>
      <c r="M491" s="221"/>
      <c r="N491" s="3"/>
      <c r="O491" s="3"/>
      <c r="P491" s="3"/>
      <c r="Q491" s="3"/>
      <c r="R491" s="3"/>
      <c r="S491" s="3"/>
      <c r="T491" s="22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A492" s="3"/>
      <c r="B492" s="3"/>
      <c r="C492" s="31"/>
      <c r="D492" s="3"/>
      <c r="E492" s="3"/>
      <c r="F492" s="3"/>
      <c r="G492" s="3"/>
      <c r="H492" s="3"/>
      <c r="I492" s="3"/>
      <c r="J492" s="3"/>
      <c r="K492" s="221"/>
      <c r="L492" s="222"/>
      <c r="M492" s="221"/>
      <c r="N492" s="3"/>
      <c r="O492" s="3"/>
      <c r="P492" s="3"/>
      <c r="Q492" s="3"/>
      <c r="R492" s="3"/>
      <c r="S492" s="3"/>
      <c r="T492" s="22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A493" s="3"/>
      <c r="B493" s="3"/>
      <c r="C493" s="31"/>
      <c r="D493" s="3"/>
      <c r="E493" s="3"/>
      <c r="F493" s="3"/>
      <c r="G493" s="3"/>
      <c r="H493" s="3"/>
      <c r="I493" s="3"/>
      <c r="J493" s="3"/>
      <c r="K493" s="221"/>
      <c r="L493" s="222"/>
      <c r="M493" s="221"/>
      <c r="N493" s="3"/>
      <c r="O493" s="3"/>
      <c r="P493" s="3"/>
      <c r="Q493" s="3"/>
      <c r="R493" s="3"/>
      <c r="S493" s="3"/>
      <c r="T493" s="22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A494" s="3"/>
      <c r="B494" s="3"/>
      <c r="C494" s="31"/>
      <c r="D494" s="3"/>
      <c r="E494" s="3"/>
      <c r="F494" s="3"/>
      <c r="G494" s="3"/>
      <c r="H494" s="3"/>
      <c r="I494" s="3"/>
      <c r="J494" s="3"/>
      <c r="K494" s="221"/>
      <c r="L494" s="222"/>
      <c r="M494" s="221"/>
      <c r="N494" s="3"/>
      <c r="O494" s="3"/>
      <c r="P494" s="3"/>
      <c r="Q494" s="3"/>
      <c r="R494" s="3"/>
      <c r="S494" s="3"/>
      <c r="T494" s="22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A495" s="3"/>
      <c r="B495" s="3"/>
      <c r="C495" s="31"/>
      <c r="D495" s="3"/>
      <c r="E495" s="3"/>
      <c r="F495" s="3"/>
      <c r="G495" s="3"/>
      <c r="H495" s="3"/>
      <c r="I495" s="3"/>
      <c r="J495" s="3"/>
      <c r="K495" s="221"/>
      <c r="L495" s="222"/>
      <c r="M495" s="221"/>
      <c r="N495" s="3"/>
      <c r="O495" s="3"/>
      <c r="P495" s="3"/>
      <c r="Q495" s="3"/>
      <c r="R495" s="3"/>
      <c r="S495" s="3"/>
      <c r="T495" s="22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A496" s="3"/>
      <c r="B496" s="3"/>
      <c r="C496" s="31"/>
      <c r="D496" s="3"/>
      <c r="E496" s="3"/>
      <c r="F496" s="3"/>
      <c r="G496" s="3"/>
      <c r="H496" s="3"/>
      <c r="I496" s="3"/>
      <c r="J496" s="3"/>
      <c r="K496" s="221"/>
      <c r="L496" s="222"/>
      <c r="M496" s="221"/>
      <c r="N496" s="3"/>
      <c r="O496" s="3"/>
      <c r="P496" s="3"/>
      <c r="Q496" s="3"/>
      <c r="R496" s="3"/>
      <c r="S496" s="3"/>
      <c r="T496" s="22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A497" s="3"/>
      <c r="B497" s="3"/>
      <c r="C497" s="31"/>
      <c r="D497" s="3"/>
      <c r="E497" s="3"/>
      <c r="F497" s="3"/>
      <c r="G497" s="3"/>
      <c r="H497" s="3"/>
      <c r="I497" s="3"/>
      <c r="J497" s="3"/>
      <c r="K497" s="221"/>
      <c r="L497" s="222"/>
      <c r="M497" s="221"/>
      <c r="N497" s="3"/>
      <c r="O497" s="3"/>
      <c r="P497" s="3"/>
      <c r="Q497" s="3"/>
      <c r="R497" s="3"/>
      <c r="S497" s="3"/>
      <c r="T497" s="22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A498" s="3"/>
      <c r="B498" s="3"/>
      <c r="C498" s="31"/>
      <c r="D498" s="3"/>
      <c r="E498" s="3"/>
      <c r="F498" s="3"/>
      <c r="G498" s="3"/>
      <c r="H498" s="3"/>
      <c r="I498" s="3"/>
      <c r="J498" s="3"/>
      <c r="K498" s="221"/>
      <c r="L498" s="222"/>
      <c r="M498" s="221"/>
      <c r="N498" s="3"/>
      <c r="O498" s="3"/>
      <c r="P498" s="3"/>
      <c r="Q498" s="3"/>
      <c r="R498" s="3"/>
      <c r="S498" s="3"/>
      <c r="T498" s="22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A499" s="3"/>
      <c r="B499" s="3"/>
      <c r="C499" s="31"/>
      <c r="D499" s="3"/>
      <c r="E499" s="3"/>
      <c r="F499" s="3"/>
      <c r="G499" s="3"/>
      <c r="H499" s="3"/>
      <c r="I499" s="3"/>
      <c r="J499" s="3"/>
      <c r="K499" s="221"/>
      <c r="L499" s="222"/>
      <c r="M499" s="221"/>
      <c r="N499" s="3"/>
      <c r="O499" s="3"/>
      <c r="P499" s="3"/>
      <c r="Q499" s="3"/>
      <c r="R499" s="3"/>
      <c r="S499" s="3"/>
      <c r="T499" s="22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A500" s="3"/>
      <c r="B500" s="3"/>
      <c r="C500" s="31"/>
      <c r="D500" s="3"/>
      <c r="E500" s="3"/>
      <c r="F500" s="3"/>
      <c r="G500" s="3"/>
      <c r="H500" s="3"/>
      <c r="I500" s="3"/>
      <c r="J500" s="3"/>
      <c r="K500" s="221"/>
      <c r="L500" s="222"/>
      <c r="M500" s="221"/>
      <c r="N500" s="3"/>
      <c r="O500" s="3"/>
      <c r="P500" s="3"/>
      <c r="Q500" s="3"/>
      <c r="R500" s="3"/>
      <c r="S500" s="3"/>
      <c r="T500" s="22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A501" s="3"/>
      <c r="B501" s="3"/>
      <c r="C501" s="31"/>
      <c r="D501" s="3"/>
      <c r="E501" s="3"/>
      <c r="F501" s="3"/>
      <c r="G501" s="3"/>
      <c r="H501" s="3"/>
      <c r="I501" s="3"/>
      <c r="J501" s="3"/>
      <c r="K501" s="221"/>
      <c r="L501" s="222"/>
      <c r="M501" s="221"/>
      <c r="N501" s="3"/>
      <c r="O501" s="3"/>
      <c r="P501" s="3"/>
      <c r="Q501" s="3"/>
      <c r="R501" s="3"/>
      <c r="S501" s="3"/>
      <c r="T501" s="22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>
      <c r="A502" s="3"/>
      <c r="B502" s="3"/>
      <c r="C502" s="31"/>
      <c r="D502" s="3"/>
      <c r="E502" s="3"/>
      <c r="F502" s="3"/>
      <c r="G502" s="3"/>
      <c r="H502" s="3"/>
      <c r="I502" s="3"/>
      <c r="J502" s="3"/>
      <c r="K502" s="221"/>
      <c r="L502" s="222"/>
      <c r="M502" s="221"/>
      <c r="N502" s="3"/>
      <c r="O502" s="3"/>
      <c r="P502" s="3"/>
      <c r="Q502" s="3"/>
      <c r="R502" s="3"/>
      <c r="S502" s="3"/>
      <c r="T502" s="22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>
      <c r="A503" s="3"/>
      <c r="B503" s="3"/>
      <c r="C503" s="31"/>
      <c r="D503" s="3"/>
      <c r="E503" s="3"/>
      <c r="F503" s="3"/>
      <c r="G503" s="3"/>
      <c r="H503" s="3"/>
      <c r="I503" s="3"/>
      <c r="J503" s="3"/>
      <c r="K503" s="221"/>
      <c r="L503" s="222"/>
      <c r="M503" s="221"/>
      <c r="N503" s="3"/>
      <c r="O503" s="3"/>
      <c r="P503" s="3"/>
      <c r="Q503" s="3"/>
      <c r="R503" s="3"/>
      <c r="S503" s="3"/>
      <c r="T503" s="22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>
      <c r="A504" s="3"/>
      <c r="B504" s="3"/>
      <c r="C504" s="31"/>
      <c r="D504" s="3"/>
      <c r="E504" s="3"/>
      <c r="F504" s="3"/>
      <c r="G504" s="3"/>
      <c r="H504" s="3"/>
      <c r="I504" s="3"/>
      <c r="J504" s="3"/>
      <c r="K504" s="221"/>
      <c r="L504" s="222"/>
      <c r="M504" s="221"/>
      <c r="N504" s="3"/>
      <c r="O504" s="3"/>
      <c r="P504" s="3"/>
      <c r="Q504" s="3"/>
      <c r="R504" s="3"/>
      <c r="S504" s="3"/>
      <c r="T504" s="22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>
      <c r="A505" s="3"/>
      <c r="B505" s="3"/>
      <c r="C505" s="31"/>
      <c r="D505" s="3"/>
      <c r="E505" s="3"/>
      <c r="F505" s="3"/>
      <c r="G505" s="3"/>
      <c r="H505" s="3"/>
      <c r="I505" s="3"/>
      <c r="J505" s="3"/>
      <c r="K505" s="221"/>
      <c r="L505" s="222"/>
      <c r="M505" s="221"/>
      <c r="N505" s="3"/>
      <c r="O505" s="3"/>
      <c r="P505" s="3"/>
      <c r="Q505" s="3"/>
      <c r="R505" s="3"/>
      <c r="S505" s="3"/>
      <c r="T505" s="22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>
      <c r="A506" s="3"/>
      <c r="B506" s="3"/>
      <c r="C506" s="31"/>
      <c r="D506" s="3"/>
      <c r="E506" s="3"/>
      <c r="F506" s="3"/>
      <c r="G506" s="3"/>
      <c r="H506" s="3"/>
      <c r="I506" s="3"/>
      <c r="J506" s="3"/>
      <c r="K506" s="221"/>
      <c r="L506" s="222"/>
      <c r="M506" s="221"/>
      <c r="N506" s="3"/>
      <c r="O506" s="3"/>
      <c r="P506" s="3"/>
      <c r="Q506" s="3"/>
      <c r="R506" s="3"/>
      <c r="S506" s="3"/>
      <c r="T506" s="22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A507" s="3"/>
      <c r="B507" s="3"/>
      <c r="C507" s="31"/>
      <c r="D507" s="3"/>
      <c r="E507" s="3"/>
      <c r="F507" s="3"/>
      <c r="G507" s="3"/>
      <c r="H507" s="3"/>
      <c r="I507" s="3"/>
      <c r="J507" s="3"/>
      <c r="K507" s="221"/>
      <c r="L507" s="222"/>
      <c r="M507" s="221"/>
      <c r="N507" s="3"/>
      <c r="O507" s="3"/>
      <c r="P507" s="3"/>
      <c r="Q507" s="3"/>
      <c r="R507" s="3"/>
      <c r="S507" s="3"/>
      <c r="T507" s="22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A508" s="3"/>
      <c r="B508" s="3"/>
      <c r="C508" s="31"/>
      <c r="D508" s="3"/>
      <c r="E508" s="3"/>
      <c r="F508" s="3"/>
      <c r="G508" s="3"/>
      <c r="H508" s="3"/>
      <c r="I508" s="3"/>
      <c r="J508" s="3"/>
      <c r="K508" s="221"/>
      <c r="L508" s="222"/>
      <c r="M508" s="221"/>
      <c r="N508" s="3"/>
      <c r="O508" s="3"/>
      <c r="P508" s="3"/>
      <c r="Q508" s="3"/>
      <c r="R508" s="3"/>
      <c r="S508" s="3"/>
      <c r="T508" s="22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A509" s="3"/>
      <c r="B509" s="3"/>
      <c r="C509" s="31"/>
      <c r="D509" s="3"/>
      <c r="E509" s="3"/>
      <c r="F509" s="3"/>
      <c r="G509" s="3"/>
      <c r="H509" s="3"/>
      <c r="I509" s="3"/>
      <c r="J509" s="3"/>
      <c r="K509" s="221"/>
      <c r="L509" s="222"/>
      <c r="M509" s="221"/>
      <c r="N509" s="3"/>
      <c r="O509" s="3"/>
      <c r="P509" s="3"/>
      <c r="Q509" s="3"/>
      <c r="R509" s="3"/>
      <c r="S509" s="3"/>
      <c r="T509" s="22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A510" s="3"/>
      <c r="B510" s="3"/>
      <c r="C510" s="31"/>
      <c r="D510" s="3"/>
      <c r="E510" s="3"/>
      <c r="F510" s="3"/>
      <c r="G510" s="3"/>
      <c r="H510" s="3"/>
      <c r="I510" s="3"/>
      <c r="J510" s="3"/>
      <c r="K510" s="221"/>
      <c r="L510" s="222"/>
      <c r="M510" s="221"/>
      <c r="N510" s="3"/>
      <c r="O510" s="3"/>
      <c r="P510" s="3"/>
      <c r="Q510" s="3"/>
      <c r="R510" s="3"/>
      <c r="S510" s="3"/>
      <c r="T510" s="22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A511" s="3"/>
      <c r="B511" s="3"/>
      <c r="C511" s="31"/>
      <c r="D511" s="3"/>
      <c r="E511" s="3"/>
      <c r="F511" s="3"/>
      <c r="G511" s="3"/>
      <c r="H511" s="3"/>
      <c r="I511" s="3"/>
      <c r="J511" s="3"/>
      <c r="K511" s="221"/>
      <c r="L511" s="222"/>
      <c r="M511" s="221"/>
      <c r="N511" s="3"/>
      <c r="O511" s="3"/>
      <c r="P511" s="3"/>
      <c r="Q511" s="3"/>
      <c r="R511" s="3"/>
      <c r="S511" s="3"/>
      <c r="T511" s="22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A512" s="3"/>
      <c r="B512" s="3"/>
      <c r="C512" s="31"/>
      <c r="D512" s="3"/>
      <c r="E512" s="3"/>
      <c r="F512" s="3"/>
      <c r="G512" s="3"/>
      <c r="H512" s="3"/>
      <c r="I512" s="3"/>
      <c r="J512" s="3"/>
      <c r="K512" s="221"/>
      <c r="L512" s="222"/>
      <c r="M512" s="221"/>
      <c r="N512" s="3"/>
      <c r="O512" s="3"/>
      <c r="P512" s="3"/>
      <c r="Q512" s="3"/>
      <c r="R512" s="3"/>
      <c r="S512" s="3"/>
      <c r="T512" s="22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A513" s="3"/>
      <c r="B513" s="3"/>
      <c r="C513" s="31"/>
      <c r="D513" s="3"/>
      <c r="E513" s="3"/>
      <c r="F513" s="3"/>
      <c r="G513" s="3"/>
      <c r="H513" s="3"/>
      <c r="I513" s="3"/>
      <c r="J513" s="3"/>
      <c r="K513" s="221"/>
      <c r="L513" s="222"/>
      <c r="M513" s="221"/>
      <c r="N513" s="3"/>
      <c r="O513" s="3"/>
      <c r="P513" s="3"/>
      <c r="Q513" s="3"/>
      <c r="R513" s="3"/>
      <c r="S513" s="3"/>
      <c r="T513" s="22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A514" s="3"/>
      <c r="B514" s="3"/>
      <c r="C514" s="31"/>
      <c r="D514" s="3"/>
      <c r="E514" s="3"/>
      <c r="F514" s="3"/>
      <c r="G514" s="3"/>
      <c r="H514" s="3"/>
      <c r="I514" s="3"/>
      <c r="J514" s="3"/>
      <c r="K514" s="221"/>
      <c r="L514" s="222"/>
      <c r="M514" s="221"/>
      <c r="N514" s="3"/>
      <c r="O514" s="3"/>
      <c r="P514" s="3"/>
      <c r="Q514" s="3"/>
      <c r="R514" s="3"/>
      <c r="S514" s="3"/>
      <c r="T514" s="22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A515" s="3"/>
      <c r="B515" s="3"/>
      <c r="C515" s="31"/>
      <c r="D515" s="3"/>
      <c r="E515" s="3"/>
      <c r="F515" s="3"/>
      <c r="G515" s="3"/>
      <c r="H515" s="3"/>
      <c r="I515" s="3"/>
      <c r="J515" s="3"/>
      <c r="K515" s="221"/>
      <c r="L515" s="222"/>
      <c r="M515" s="221"/>
      <c r="N515" s="3"/>
      <c r="O515" s="3"/>
      <c r="P515" s="3"/>
      <c r="Q515" s="3"/>
      <c r="R515" s="3"/>
      <c r="S515" s="3"/>
      <c r="T515" s="22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A516" s="3"/>
      <c r="B516" s="3"/>
      <c r="C516" s="31"/>
      <c r="D516" s="3"/>
      <c r="E516" s="3"/>
      <c r="F516" s="3"/>
      <c r="G516" s="3"/>
      <c r="H516" s="3"/>
      <c r="I516" s="3"/>
      <c r="J516" s="3"/>
      <c r="K516" s="221"/>
      <c r="L516" s="222"/>
      <c r="M516" s="221"/>
      <c r="N516" s="3"/>
      <c r="O516" s="3"/>
      <c r="P516" s="3"/>
      <c r="Q516" s="3"/>
      <c r="R516" s="3"/>
      <c r="S516" s="3"/>
      <c r="T516" s="22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A517" s="3"/>
      <c r="B517" s="3"/>
      <c r="C517" s="31"/>
      <c r="D517" s="3"/>
      <c r="E517" s="3"/>
      <c r="F517" s="3"/>
      <c r="G517" s="3"/>
      <c r="H517" s="3"/>
      <c r="I517" s="3"/>
      <c r="J517" s="3"/>
      <c r="K517" s="221"/>
      <c r="L517" s="222"/>
      <c r="M517" s="221"/>
      <c r="N517" s="3"/>
      <c r="O517" s="3"/>
      <c r="P517" s="3"/>
      <c r="Q517" s="3"/>
      <c r="R517" s="3"/>
      <c r="S517" s="3"/>
      <c r="T517" s="22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A518" s="3"/>
      <c r="B518" s="3"/>
      <c r="C518" s="31"/>
      <c r="D518" s="3"/>
      <c r="E518" s="3"/>
      <c r="F518" s="3"/>
      <c r="G518" s="3"/>
      <c r="H518" s="3"/>
      <c r="I518" s="3"/>
      <c r="J518" s="3"/>
      <c r="K518" s="221"/>
      <c r="L518" s="222"/>
      <c r="M518" s="221"/>
      <c r="N518" s="3"/>
      <c r="O518" s="3"/>
      <c r="P518" s="3"/>
      <c r="Q518" s="3"/>
      <c r="R518" s="3"/>
      <c r="S518" s="3"/>
      <c r="T518" s="22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A519" s="3"/>
      <c r="B519" s="3"/>
      <c r="C519" s="31"/>
      <c r="D519" s="3"/>
      <c r="E519" s="3"/>
      <c r="F519" s="3"/>
      <c r="G519" s="3"/>
      <c r="H519" s="3"/>
      <c r="I519" s="3"/>
      <c r="J519" s="3"/>
      <c r="K519" s="221"/>
      <c r="L519" s="222"/>
      <c r="M519" s="221"/>
      <c r="N519" s="3"/>
      <c r="O519" s="3"/>
      <c r="P519" s="3"/>
      <c r="Q519" s="3"/>
      <c r="R519" s="3"/>
      <c r="S519" s="3"/>
      <c r="T519" s="22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A520" s="3"/>
      <c r="B520" s="3"/>
      <c r="C520" s="31"/>
      <c r="D520" s="3"/>
      <c r="E520" s="3"/>
      <c r="F520" s="3"/>
      <c r="G520" s="3"/>
      <c r="H520" s="3"/>
      <c r="I520" s="3"/>
      <c r="J520" s="3"/>
      <c r="K520" s="221"/>
      <c r="L520" s="222"/>
      <c r="M520" s="221"/>
      <c r="N520" s="3"/>
      <c r="O520" s="3"/>
      <c r="P520" s="3"/>
      <c r="Q520" s="3"/>
      <c r="R520" s="3"/>
      <c r="S520" s="3"/>
      <c r="T520" s="22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A521" s="3"/>
      <c r="B521" s="3"/>
      <c r="C521" s="31"/>
      <c r="D521" s="3"/>
      <c r="E521" s="3"/>
      <c r="F521" s="3"/>
      <c r="G521" s="3"/>
      <c r="H521" s="3"/>
      <c r="I521" s="3"/>
      <c r="J521" s="3"/>
      <c r="K521" s="221"/>
      <c r="L521" s="222"/>
      <c r="M521" s="221"/>
      <c r="N521" s="3"/>
      <c r="O521" s="3"/>
      <c r="P521" s="3"/>
      <c r="Q521" s="3"/>
      <c r="R521" s="3"/>
      <c r="S521" s="3"/>
      <c r="T521" s="22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A522" s="3"/>
      <c r="B522" s="3"/>
      <c r="C522" s="31"/>
      <c r="D522" s="3"/>
      <c r="E522" s="3"/>
      <c r="F522" s="3"/>
      <c r="G522" s="3"/>
      <c r="H522" s="3"/>
      <c r="I522" s="3"/>
      <c r="J522" s="3"/>
      <c r="K522" s="221"/>
      <c r="L522" s="222"/>
      <c r="M522" s="221"/>
      <c r="N522" s="3"/>
      <c r="O522" s="3"/>
      <c r="P522" s="3"/>
      <c r="Q522" s="3"/>
      <c r="R522" s="3"/>
      <c r="S522" s="3"/>
      <c r="T522" s="22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A523" s="3"/>
      <c r="B523" s="3"/>
      <c r="C523" s="31"/>
      <c r="D523" s="3"/>
      <c r="E523" s="3"/>
      <c r="F523" s="3"/>
      <c r="G523" s="3"/>
      <c r="H523" s="3"/>
      <c r="I523" s="3"/>
      <c r="J523" s="3"/>
      <c r="K523" s="221"/>
      <c r="L523" s="222"/>
      <c r="M523" s="221"/>
      <c r="N523" s="3"/>
      <c r="O523" s="3"/>
      <c r="P523" s="3"/>
      <c r="Q523" s="3"/>
      <c r="R523" s="3"/>
      <c r="S523" s="3"/>
      <c r="T523" s="22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A524" s="3"/>
      <c r="B524" s="3"/>
      <c r="C524" s="31"/>
      <c r="D524" s="3"/>
      <c r="E524" s="3"/>
      <c r="F524" s="3"/>
      <c r="G524" s="3"/>
      <c r="H524" s="3"/>
      <c r="I524" s="3"/>
      <c r="J524" s="3"/>
      <c r="K524" s="221"/>
      <c r="L524" s="222"/>
      <c r="M524" s="221"/>
      <c r="N524" s="3"/>
      <c r="O524" s="3"/>
      <c r="P524" s="3"/>
      <c r="Q524" s="3"/>
      <c r="R524" s="3"/>
      <c r="S524" s="3"/>
      <c r="T524" s="22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A525" s="3"/>
      <c r="B525" s="3"/>
      <c r="C525" s="31"/>
      <c r="D525" s="3"/>
      <c r="E525" s="3"/>
      <c r="F525" s="3"/>
      <c r="G525" s="3"/>
      <c r="H525" s="3"/>
      <c r="I525" s="3"/>
      <c r="J525" s="3"/>
      <c r="K525" s="221"/>
      <c r="L525" s="222"/>
      <c r="M525" s="221"/>
      <c r="N525" s="3"/>
      <c r="O525" s="3"/>
      <c r="P525" s="3"/>
      <c r="Q525" s="3"/>
      <c r="R525" s="3"/>
      <c r="S525" s="3"/>
      <c r="T525" s="22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A526" s="3"/>
      <c r="B526" s="3"/>
      <c r="C526" s="31"/>
      <c r="D526" s="3"/>
      <c r="E526" s="3"/>
      <c r="F526" s="3"/>
      <c r="G526" s="3"/>
      <c r="H526" s="3"/>
      <c r="I526" s="3"/>
      <c r="J526" s="3"/>
      <c r="K526" s="221"/>
      <c r="L526" s="222"/>
      <c r="M526" s="221"/>
      <c r="N526" s="3"/>
      <c r="O526" s="3"/>
      <c r="P526" s="3"/>
      <c r="Q526" s="3"/>
      <c r="R526" s="3"/>
      <c r="S526" s="3"/>
      <c r="T526" s="22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A527" s="3"/>
      <c r="B527" s="3"/>
      <c r="C527" s="31"/>
      <c r="D527" s="3"/>
      <c r="E527" s="3"/>
      <c r="F527" s="3"/>
      <c r="G527" s="3"/>
      <c r="H527" s="3"/>
      <c r="I527" s="3"/>
      <c r="J527" s="3"/>
      <c r="K527" s="221"/>
      <c r="L527" s="222"/>
      <c r="M527" s="221"/>
      <c r="N527" s="3"/>
      <c r="O527" s="3"/>
      <c r="P527" s="3"/>
      <c r="Q527" s="3"/>
      <c r="R527" s="3"/>
      <c r="S527" s="3"/>
      <c r="T527" s="22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A528" s="3"/>
      <c r="B528" s="3"/>
      <c r="C528" s="31"/>
      <c r="D528" s="3"/>
      <c r="E528" s="3"/>
      <c r="F528" s="3"/>
      <c r="G528" s="3"/>
      <c r="H528" s="3"/>
      <c r="I528" s="3"/>
      <c r="J528" s="3"/>
      <c r="K528" s="221"/>
      <c r="L528" s="222"/>
      <c r="M528" s="221"/>
      <c r="N528" s="3"/>
      <c r="O528" s="3"/>
      <c r="P528" s="3"/>
      <c r="Q528" s="3"/>
      <c r="R528" s="3"/>
      <c r="S528" s="3"/>
      <c r="T528" s="22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A529" s="3"/>
      <c r="B529" s="3"/>
      <c r="C529" s="31"/>
      <c r="D529" s="3"/>
      <c r="E529" s="3"/>
      <c r="F529" s="3"/>
      <c r="G529" s="3"/>
      <c r="H529" s="3"/>
      <c r="I529" s="3"/>
      <c r="J529" s="3"/>
      <c r="K529" s="221"/>
      <c r="L529" s="222"/>
      <c r="M529" s="221"/>
      <c r="N529" s="3"/>
      <c r="O529" s="3"/>
      <c r="P529" s="3"/>
      <c r="Q529" s="3"/>
      <c r="R529" s="3"/>
      <c r="S529" s="3"/>
      <c r="T529" s="22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A530" s="3"/>
      <c r="B530" s="3"/>
      <c r="C530" s="31"/>
      <c r="D530" s="3"/>
      <c r="E530" s="3"/>
      <c r="F530" s="3"/>
      <c r="G530" s="3"/>
      <c r="H530" s="3"/>
      <c r="I530" s="3"/>
      <c r="J530" s="3"/>
      <c r="K530" s="221"/>
      <c r="L530" s="222"/>
      <c r="M530" s="221"/>
      <c r="N530" s="3"/>
      <c r="O530" s="3"/>
      <c r="P530" s="3"/>
      <c r="Q530" s="3"/>
      <c r="R530" s="3"/>
      <c r="S530" s="3"/>
      <c r="T530" s="22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A531" s="3"/>
      <c r="B531" s="3"/>
      <c r="C531" s="31"/>
      <c r="D531" s="3"/>
      <c r="E531" s="3"/>
      <c r="F531" s="3"/>
      <c r="G531" s="3"/>
      <c r="H531" s="3"/>
      <c r="I531" s="3"/>
      <c r="J531" s="3"/>
      <c r="K531" s="221"/>
      <c r="L531" s="222"/>
      <c r="M531" s="221"/>
      <c r="N531" s="3"/>
      <c r="O531" s="3"/>
      <c r="P531" s="3"/>
      <c r="Q531" s="3"/>
      <c r="R531" s="3"/>
      <c r="S531" s="3"/>
      <c r="T531" s="22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A532" s="3"/>
      <c r="B532" s="3"/>
      <c r="C532" s="31"/>
      <c r="D532" s="3"/>
      <c r="E532" s="3"/>
      <c r="F532" s="3"/>
      <c r="G532" s="3"/>
      <c r="H532" s="3"/>
      <c r="I532" s="3"/>
      <c r="J532" s="3"/>
      <c r="K532" s="221"/>
      <c r="L532" s="222"/>
      <c r="M532" s="221"/>
      <c r="N532" s="3"/>
      <c r="O532" s="3"/>
      <c r="P532" s="3"/>
      <c r="Q532" s="3"/>
      <c r="R532" s="3"/>
      <c r="S532" s="3"/>
      <c r="T532" s="22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A533" s="3"/>
      <c r="B533" s="3"/>
      <c r="C533" s="31"/>
      <c r="D533" s="3"/>
      <c r="E533" s="3"/>
      <c r="F533" s="3"/>
      <c r="G533" s="3"/>
      <c r="H533" s="3"/>
      <c r="I533" s="3"/>
      <c r="J533" s="3"/>
      <c r="K533" s="221"/>
      <c r="L533" s="222"/>
      <c r="M533" s="221"/>
      <c r="N533" s="3"/>
      <c r="O533" s="3"/>
      <c r="P533" s="3"/>
      <c r="Q533" s="3"/>
      <c r="R533" s="3"/>
      <c r="S533" s="3"/>
      <c r="T533" s="22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A534" s="3"/>
      <c r="B534" s="3"/>
      <c r="C534" s="31"/>
      <c r="D534" s="3"/>
      <c r="E534" s="3"/>
      <c r="F534" s="3"/>
      <c r="G534" s="3"/>
      <c r="H534" s="3"/>
      <c r="I534" s="3"/>
      <c r="J534" s="3"/>
      <c r="K534" s="221"/>
      <c r="L534" s="222"/>
      <c r="M534" s="221"/>
      <c r="N534" s="3"/>
      <c r="O534" s="3"/>
      <c r="P534" s="3"/>
      <c r="Q534" s="3"/>
      <c r="R534" s="3"/>
      <c r="S534" s="3"/>
      <c r="T534" s="22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A535" s="3"/>
      <c r="B535" s="3"/>
      <c r="C535" s="31"/>
      <c r="D535" s="3"/>
      <c r="E535" s="3"/>
      <c r="F535" s="3"/>
      <c r="G535" s="3"/>
      <c r="H535" s="3"/>
      <c r="I535" s="3"/>
      <c r="J535" s="3"/>
      <c r="K535" s="221"/>
      <c r="L535" s="222"/>
      <c r="M535" s="221"/>
      <c r="N535" s="3"/>
      <c r="O535" s="3"/>
      <c r="P535" s="3"/>
      <c r="Q535" s="3"/>
      <c r="R535" s="3"/>
      <c r="S535" s="3"/>
      <c r="T535" s="22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A536" s="3"/>
      <c r="B536" s="3"/>
      <c r="C536" s="31"/>
      <c r="D536" s="3"/>
      <c r="E536" s="3"/>
      <c r="F536" s="3"/>
      <c r="G536" s="3"/>
      <c r="H536" s="3"/>
      <c r="I536" s="3"/>
      <c r="J536" s="3"/>
      <c r="K536" s="221"/>
      <c r="L536" s="222"/>
      <c r="M536" s="221"/>
      <c r="N536" s="3"/>
      <c r="O536" s="3"/>
      <c r="P536" s="3"/>
      <c r="Q536" s="3"/>
      <c r="R536" s="3"/>
      <c r="S536" s="3"/>
      <c r="T536" s="22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A537" s="3"/>
      <c r="B537" s="3"/>
      <c r="C537" s="31"/>
      <c r="D537" s="3"/>
      <c r="E537" s="3"/>
      <c r="F537" s="3"/>
      <c r="G537" s="3"/>
      <c r="H537" s="3"/>
      <c r="I537" s="3"/>
      <c r="J537" s="3"/>
      <c r="K537" s="221"/>
      <c r="L537" s="222"/>
      <c r="M537" s="221"/>
      <c r="N537" s="3"/>
      <c r="O537" s="3"/>
      <c r="P537" s="3"/>
      <c r="Q537" s="3"/>
      <c r="R537" s="3"/>
      <c r="S537" s="3"/>
      <c r="T537" s="22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A538" s="3"/>
      <c r="B538" s="3"/>
      <c r="C538" s="31"/>
      <c r="D538" s="3"/>
      <c r="E538" s="3"/>
      <c r="F538" s="3"/>
      <c r="G538" s="3"/>
      <c r="H538" s="3"/>
      <c r="I538" s="3"/>
      <c r="J538" s="3"/>
      <c r="K538" s="221"/>
      <c r="L538" s="222"/>
      <c r="M538" s="221"/>
      <c r="N538" s="3"/>
      <c r="O538" s="3"/>
      <c r="P538" s="3"/>
      <c r="Q538" s="3"/>
      <c r="R538" s="3"/>
      <c r="S538" s="3"/>
      <c r="T538" s="22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A539" s="3"/>
      <c r="B539" s="3"/>
      <c r="C539" s="31"/>
      <c r="D539" s="3"/>
      <c r="E539" s="3"/>
      <c r="F539" s="3"/>
      <c r="G539" s="3"/>
      <c r="H539" s="3"/>
      <c r="I539" s="3"/>
      <c r="J539" s="3"/>
      <c r="K539" s="221"/>
      <c r="L539" s="222"/>
      <c r="M539" s="221"/>
      <c r="N539" s="3"/>
      <c r="O539" s="3"/>
      <c r="P539" s="3"/>
      <c r="Q539" s="3"/>
      <c r="R539" s="3"/>
      <c r="S539" s="3"/>
      <c r="T539" s="22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A540" s="3"/>
      <c r="B540" s="3"/>
      <c r="C540" s="31"/>
      <c r="D540" s="3"/>
      <c r="E540" s="3"/>
      <c r="F540" s="3"/>
      <c r="G540" s="3"/>
      <c r="H540" s="3"/>
      <c r="I540" s="3"/>
      <c r="J540" s="3"/>
      <c r="K540" s="221"/>
      <c r="L540" s="222"/>
      <c r="M540" s="221"/>
      <c r="N540" s="3"/>
      <c r="O540" s="3"/>
      <c r="P540" s="3"/>
      <c r="Q540" s="3"/>
      <c r="R540" s="3"/>
      <c r="S540" s="3"/>
      <c r="T540" s="22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A541" s="3"/>
      <c r="B541" s="3"/>
      <c r="C541" s="31"/>
      <c r="D541" s="3"/>
      <c r="E541" s="3"/>
      <c r="F541" s="3"/>
      <c r="G541" s="3"/>
      <c r="H541" s="3"/>
      <c r="I541" s="3"/>
      <c r="J541" s="3"/>
      <c r="K541" s="221"/>
      <c r="L541" s="222"/>
      <c r="M541" s="221"/>
      <c r="N541" s="3"/>
      <c r="O541" s="3"/>
      <c r="P541" s="3"/>
      <c r="Q541" s="3"/>
      <c r="R541" s="3"/>
      <c r="S541" s="3"/>
      <c r="T541" s="22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A542" s="3"/>
      <c r="B542" s="3"/>
      <c r="C542" s="31"/>
      <c r="D542" s="3"/>
      <c r="E542" s="3"/>
      <c r="F542" s="3"/>
      <c r="G542" s="3"/>
      <c r="H542" s="3"/>
      <c r="I542" s="3"/>
      <c r="J542" s="3"/>
      <c r="K542" s="221"/>
      <c r="L542" s="222"/>
      <c r="M542" s="221"/>
      <c r="N542" s="3"/>
      <c r="O542" s="3"/>
      <c r="P542" s="3"/>
      <c r="Q542" s="3"/>
      <c r="R542" s="3"/>
      <c r="S542" s="3"/>
      <c r="T542" s="22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>
      <c r="A543" s="3"/>
      <c r="B543" s="3"/>
      <c r="C543" s="31"/>
      <c r="D543" s="3"/>
      <c r="E543" s="3"/>
      <c r="F543" s="3"/>
      <c r="G543" s="3"/>
      <c r="H543" s="3"/>
      <c r="I543" s="3"/>
      <c r="J543" s="3"/>
      <c r="K543" s="221"/>
      <c r="L543" s="222"/>
      <c r="M543" s="221"/>
      <c r="N543" s="3"/>
      <c r="O543" s="3"/>
      <c r="P543" s="3"/>
      <c r="Q543" s="3"/>
      <c r="R543" s="3"/>
      <c r="S543" s="3"/>
      <c r="T543" s="22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>
      <c r="A544" s="3"/>
      <c r="B544" s="3"/>
      <c r="C544" s="31"/>
      <c r="D544" s="3"/>
      <c r="E544" s="3"/>
      <c r="F544" s="3"/>
      <c r="G544" s="3"/>
      <c r="H544" s="3"/>
      <c r="I544" s="3"/>
      <c r="J544" s="3"/>
      <c r="K544" s="221"/>
      <c r="L544" s="222"/>
      <c r="M544" s="221"/>
      <c r="N544" s="3"/>
      <c r="O544" s="3"/>
      <c r="P544" s="3"/>
      <c r="Q544" s="3"/>
      <c r="R544" s="3"/>
      <c r="S544" s="3"/>
      <c r="T544" s="22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>
      <c r="A545" s="3"/>
      <c r="B545" s="3"/>
      <c r="C545" s="31"/>
      <c r="D545" s="3"/>
      <c r="E545" s="3"/>
      <c r="F545" s="3"/>
      <c r="G545" s="3"/>
      <c r="H545" s="3"/>
      <c r="I545" s="3"/>
      <c r="J545" s="3"/>
      <c r="K545" s="221"/>
      <c r="L545" s="222"/>
      <c r="M545" s="221"/>
      <c r="N545" s="3"/>
      <c r="O545" s="3"/>
      <c r="P545" s="3"/>
      <c r="Q545" s="3"/>
      <c r="R545" s="3"/>
      <c r="S545" s="3"/>
      <c r="T545" s="22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>
      <c r="A546" s="3"/>
      <c r="B546" s="3"/>
      <c r="C546" s="31"/>
      <c r="D546" s="3"/>
      <c r="E546" s="3"/>
      <c r="F546" s="3"/>
      <c r="G546" s="3"/>
      <c r="H546" s="3"/>
      <c r="I546" s="3"/>
      <c r="J546" s="3"/>
      <c r="K546" s="221"/>
      <c r="L546" s="222"/>
      <c r="M546" s="221"/>
      <c r="N546" s="3"/>
      <c r="O546" s="3"/>
      <c r="P546" s="3"/>
      <c r="Q546" s="3"/>
      <c r="R546" s="3"/>
      <c r="S546" s="3"/>
      <c r="T546" s="22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>
      <c r="A547" s="3"/>
      <c r="B547" s="3"/>
      <c r="C547" s="31"/>
      <c r="D547" s="3"/>
      <c r="E547" s="3"/>
      <c r="F547" s="3"/>
      <c r="G547" s="3"/>
      <c r="H547" s="3"/>
      <c r="I547" s="3"/>
      <c r="J547" s="3"/>
      <c r="K547" s="221"/>
      <c r="L547" s="222"/>
      <c r="M547" s="221"/>
      <c r="N547" s="3"/>
      <c r="O547" s="3"/>
      <c r="P547" s="3"/>
      <c r="Q547" s="3"/>
      <c r="R547" s="3"/>
      <c r="S547" s="3"/>
      <c r="T547" s="22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>
      <c r="A548" s="3"/>
      <c r="B548" s="3"/>
      <c r="C548" s="31"/>
      <c r="D548" s="3"/>
      <c r="E548" s="3"/>
      <c r="F548" s="3"/>
      <c r="G548" s="3"/>
      <c r="H548" s="3"/>
      <c r="I548" s="3"/>
      <c r="J548" s="3"/>
      <c r="K548" s="221"/>
      <c r="L548" s="222"/>
      <c r="M548" s="221"/>
      <c r="N548" s="3"/>
      <c r="O548" s="3"/>
      <c r="P548" s="3"/>
      <c r="Q548" s="3"/>
      <c r="R548" s="3"/>
      <c r="S548" s="3"/>
      <c r="T548" s="22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A549" s="3"/>
      <c r="B549" s="3"/>
      <c r="C549" s="31"/>
      <c r="D549" s="3"/>
      <c r="E549" s="3"/>
      <c r="F549" s="3"/>
      <c r="G549" s="3"/>
      <c r="H549" s="3"/>
      <c r="I549" s="3"/>
      <c r="J549" s="3"/>
      <c r="K549" s="221"/>
      <c r="L549" s="222"/>
      <c r="M549" s="221"/>
      <c r="N549" s="3"/>
      <c r="O549" s="3"/>
      <c r="P549" s="3"/>
      <c r="Q549" s="3"/>
      <c r="R549" s="3"/>
      <c r="S549" s="3"/>
      <c r="T549" s="22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A550" s="3"/>
      <c r="B550" s="3"/>
      <c r="C550" s="31"/>
      <c r="D550" s="3"/>
      <c r="E550" s="3"/>
      <c r="F550" s="3"/>
      <c r="G550" s="3"/>
      <c r="H550" s="3"/>
      <c r="I550" s="3"/>
      <c r="J550" s="3"/>
      <c r="K550" s="221"/>
      <c r="L550" s="222"/>
      <c r="M550" s="221"/>
      <c r="N550" s="3"/>
      <c r="O550" s="3"/>
      <c r="P550" s="3"/>
      <c r="Q550" s="3"/>
      <c r="R550" s="3"/>
      <c r="S550" s="3"/>
      <c r="T550" s="22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A551" s="3"/>
      <c r="B551" s="3"/>
      <c r="C551" s="31"/>
      <c r="D551" s="3"/>
      <c r="E551" s="3"/>
      <c r="F551" s="3"/>
      <c r="G551" s="3"/>
      <c r="H551" s="3"/>
      <c r="I551" s="3"/>
      <c r="J551" s="3"/>
      <c r="K551" s="221"/>
      <c r="L551" s="222"/>
      <c r="M551" s="221"/>
      <c r="N551" s="3"/>
      <c r="O551" s="3"/>
      <c r="P551" s="3"/>
      <c r="Q551" s="3"/>
      <c r="R551" s="3"/>
      <c r="S551" s="3"/>
      <c r="T551" s="22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A552" s="3"/>
      <c r="B552" s="3"/>
      <c r="C552" s="31"/>
      <c r="D552" s="3"/>
      <c r="E552" s="3"/>
      <c r="F552" s="3"/>
      <c r="G552" s="3"/>
      <c r="H552" s="3"/>
      <c r="I552" s="3"/>
      <c r="J552" s="3"/>
      <c r="K552" s="221"/>
      <c r="L552" s="222"/>
      <c r="M552" s="221"/>
      <c r="N552" s="3"/>
      <c r="O552" s="3"/>
      <c r="P552" s="3"/>
      <c r="Q552" s="3"/>
      <c r="R552" s="3"/>
      <c r="S552" s="3"/>
      <c r="T552" s="22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A553" s="3"/>
      <c r="B553" s="3"/>
      <c r="C553" s="31"/>
      <c r="D553" s="3"/>
      <c r="E553" s="3"/>
      <c r="F553" s="3"/>
      <c r="G553" s="3"/>
      <c r="H553" s="3"/>
      <c r="I553" s="3"/>
      <c r="J553" s="3"/>
      <c r="K553" s="221"/>
      <c r="L553" s="222"/>
      <c r="M553" s="221"/>
      <c r="N553" s="3"/>
      <c r="O553" s="3"/>
      <c r="P553" s="3"/>
      <c r="Q553" s="3"/>
      <c r="R553" s="3"/>
      <c r="S553" s="3"/>
      <c r="T553" s="22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A554" s="3"/>
      <c r="B554" s="3"/>
      <c r="C554" s="31"/>
      <c r="D554" s="3"/>
      <c r="E554" s="3"/>
      <c r="F554" s="3"/>
      <c r="G554" s="3"/>
      <c r="H554" s="3"/>
      <c r="I554" s="3"/>
      <c r="J554" s="3"/>
      <c r="K554" s="221"/>
      <c r="L554" s="222"/>
      <c r="M554" s="221"/>
      <c r="N554" s="3"/>
      <c r="O554" s="3"/>
      <c r="P554" s="3"/>
      <c r="Q554" s="3"/>
      <c r="R554" s="3"/>
      <c r="S554" s="3"/>
      <c r="T554" s="22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A555" s="3"/>
      <c r="B555" s="3"/>
      <c r="C555" s="31"/>
      <c r="D555" s="3"/>
      <c r="E555" s="3"/>
      <c r="F555" s="3"/>
      <c r="G555" s="3"/>
      <c r="H555" s="3"/>
      <c r="I555" s="3"/>
      <c r="J555" s="3"/>
      <c r="K555" s="221"/>
      <c r="L555" s="222"/>
      <c r="M555" s="221"/>
      <c r="N555" s="3"/>
      <c r="O555" s="3"/>
      <c r="P555" s="3"/>
      <c r="Q555" s="3"/>
      <c r="R555" s="3"/>
      <c r="S555" s="3"/>
      <c r="T555" s="22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A556" s="3"/>
      <c r="B556" s="3"/>
      <c r="C556" s="31"/>
      <c r="D556" s="3"/>
      <c r="E556" s="3"/>
      <c r="F556" s="3"/>
      <c r="G556" s="3"/>
      <c r="H556" s="3"/>
      <c r="I556" s="3"/>
      <c r="J556" s="3"/>
      <c r="K556" s="221"/>
      <c r="L556" s="222"/>
      <c r="M556" s="221"/>
      <c r="N556" s="3"/>
      <c r="O556" s="3"/>
      <c r="P556" s="3"/>
      <c r="Q556" s="3"/>
      <c r="R556" s="3"/>
      <c r="S556" s="3"/>
      <c r="T556" s="22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A557" s="3"/>
      <c r="B557" s="3"/>
      <c r="C557" s="31"/>
      <c r="D557" s="3"/>
      <c r="E557" s="3"/>
      <c r="F557" s="3"/>
      <c r="G557" s="3"/>
      <c r="H557" s="3"/>
      <c r="I557" s="3"/>
      <c r="J557" s="3"/>
      <c r="K557" s="221"/>
      <c r="L557" s="222"/>
      <c r="M557" s="221"/>
      <c r="N557" s="3"/>
      <c r="O557" s="3"/>
      <c r="P557" s="3"/>
      <c r="Q557" s="3"/>
      <c r="R557" s="3"/>
      <c r="S557" s="3"/>
      <c r="T557" s="22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A558" s="3"/>
      <c r="B558" s="3"/>
      <c r="C558" s="31"/>
      <c r="D558" s="3"/>
      <c r="E558" s="3"/>
      <c r="F558" s="3"/>
      <c r="G558" s="3"/>
      <c r="H558" s="3"/>
      <c r="I558" s="3"/>
      <c r="J558" s="3"/>
      <c r="K558" s="221"/>
      <c r="L558" s="222"/>
      <c r="M558" s="221"/>
      <c r="N558" s="3"/>
      <c r="O558" s="3"/>
      <c r="P558" s="3"/>
      <c r="Q558" s="3"/>
      <c r="R558" s="3"/>
      <c r="S558" s="3"/>
      <c r="T558" s="22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A559" s="3"/>
      <c r="B559" s="3"/>
      <c r="C559" s="31"/>
      <c r="D559" s="3"/>
      <c r="E559" s="3"/>
      <c r="F559" s="3"/>
      <c r="G559" s="3"/>
      <c r="H559" s="3"/>
      <c r="I559" s="3"/>
      <c r="J559" s="3"/>
      <c r="K559" s="221"/>
      <c r="L559" s="222"/>
      <c r="M559" s="221"/>
      <c r="N559" s="3"/>
      <c r="O559" s="3"/>
      <c r="P559" s="3"/>
      <c r="Q559" s="3"/>
      <c r="R559" s="3"/>
      <c r="S559" s="3"/>
      <c r="T559" s="22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A560" s="3"/>
      <c r="B560" s="3"/>
      <c r="C560" s="31"/>
      <c r="D560" s="3"/>
      <c r="E560" s="3"/>
      <c r="F560" s="3"/>
      <c r="G560" s="3"/>
      <c r="H560" s="3"/>
      <c r="I560" s="3"/>
      <c r="J560" s="3"/>
      <c r="K560" s="221"/>
      <c r="L560" s="222"/>
      <c r="M560" s="221"/>
      <c r="N560" s="3"/>
      <c r="O560" s="3"/>
      <c r="P560" s="3"/>
      <c r="Q560" s="3"/>
      <c r="R560" s="3"/>
      <c r="S560" s="3"/>
      <c r="T560" s="22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A561" s="3"/>
      <c r="B561" s="3"/>
      <c r="C561" s="31"/>
      <c r="D561" s="3"/>
      <c r="E561" s="3"/>
      <c r="F561" s="3"/>
      <c r="G561" s="3"/>
      <c r="H561" s="3"/>
      <c r="I561" s="3"/>
      <c r="J561" s="3"/>
      <c r="K561" s="221"/>
      <c r="L561" s="222"/>
      <c r="M561" s="221"/>
      <c r="N561" s="3"/>
      <c r="O561" s="3"/>
      <c r="P561" s="3"/>
      <c r="Q561" s="3"/>
      <c r="R561" s="3"/>
      <c r="S561" s="3"/>
      <c r="T561" s="22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A562" s="3"/>
      <c r="B562" s="3"/>
      <c r="C562" s="31"/>
      <c r="D562" s="3"/>
      <c r="E562" s="3"/>
      <c r="F562" s="3"/>
      <c r="G562" s="3"/>
      <c r="H562" s="3"/>
      <c r="I562" s="3"/>
      <c r="J562" s="3"/>
      <c r="K562" s="221"/>
      <c r="L562" s="222"/>
      <c r="M562" s="221"/>
      <c r="N562" s="3"/>
      <c r="O562" s="3"/>
      <c r="P562" s="3"/>
      <c r="Q562" s="3"/>
      <c r="R562" s="3"/>
      <c r="S562" s="3"/>
      <c r="T562" s="22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A563" s="3"/>
      <c r="B563" s="3"/>
      <c r="C563" s="31"/>
      <c r="D563" s="3"/>
      <c r="E563" s="3"/>
      <c r="F563" s="3"/>
      <c r="G563" s="3"/>
      <c r="H563" s="3"/>
      <c r="I563" s="3"/>
      <c r="J563" s="3"/>
      <c r="K563" s="221"/>
      <c r="L563" s="222"/>
      <c r="M563" s="221"/>
      <c r="N563" s="3"/>
      <c r="O563" s="3"/>
      <c r="P563" s="3"/>
      <c r="Q563" s="3"/>
      <c r="R563" s="3"/>
      <c r="S563" s="3"/>
      <c r="T563" s="22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A564" s="3"/>
      <c r="B564" s="3"/>
      <c r="C564" s="31"/>
      <c r="D564" s="3"/>
      <c r="E564" s="3"/>
      <c r="F564" s="3"/>
      <c r="G564" s="3"/>
      <c r="H564" s="3"/>
      <c r="I564" s="3"/>
      <c r="J564" s="3"/>
      <c r="K564" s="221"/>
      <c r="L564" s="222"/>
      <c r="M564" s="221"/>
      <c r="N564" s="3"/>
      <c r="O564" s="3"/>
      <c r="P564" s="3"/>
      <c r="Q564" s="3"/>
      <c r="R564" s="3"/>
      <c r="S564" s="3"/>
      <c r="T564" s="22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A565" s="3"/>
      <c r="B565" s="3"/>
      <c r="C565" s="31"/>
      <c r="D565" s="3"/>
      <c r="E565" s="3"/>
      <c r="F565" s="3"/>
      <c r="G565" s="3"/>
      <c r="H565" s="3"/>
      <c r="I565" s="3"/>
      <c r="J565" s="3"/>
      <c r="K565" s="221"/>
      <c r="L565" s="222"/>
      <c r="M565" s="221"/>
      <c r="N565" s="3"/>
      <c r="O565" s="3"/>
      <c r="P565" s="3"/>
      <c r="Q565" s="3"/>
      <c r="R565" s="3"/>
      <c r="S565" s="3"/>
      <c r="T565" s="22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A566" s="3"/>
      <c r="B566" s="3"/>
      <c r="C566" s="31"/>
      <c r="D566" s="3"/>
      <c r="E566" s="3"/>
      <c r="F566" s="3"/>
      <c r="G566" s="3"/>
      <c r="H566" s="3"/>
      <c r="I566" s="3"/>
      <c r="J566" s="3"/>
      <c r="K566" s="221"/>
      <c r="L566" s="222"/>
      <c r="M566" s="221"/>
      <c r="N566" s="3"/>
      <c r="O566" s="3"/>
      <c r="P566" s="3"/>
      <c r="Q566" s="3"/>
      <c r="R566" s="3"/>
      <c r="S566" s="3"/>
      <c r="T566" s="22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A567" s="3"/>
      <c r="B567" s="3"/>
      <c r="C567" s="31"/>
      <c r="D567" s="3"/>
      <c r="E567" s="3"/>
      <c r="F567" s="3"/>
      <c r="G567" s="3"/>
      <c r="H567" s="3"/>
      <c r="I567" s="3"/>
      <c r="J567" s="3"/>
      <c r="K567" s="221"/>
      <c r="L567" s="222"/>
      <c r="M567" s="221"/>
      <c r="N567" s="3"/>
      <c r="O567" s="3"/>
      <c r="P567" s="3"/>
      <c r="Q567" s="3"/>
      <c r="R567" s="3"/>
      <c r="S567" s="3"/>
      <c r="T567" s="22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A568" s="3"/>
      <c r="B568" s="3"/>
      <c r="C568" s="31"/>
      <c r="D568" s="3"/>
      <c r="E568" s="3"/>
      <c r="F568" s="3"/>
      <c r="G568" s="3"/>
      <c r="H568" s="3"/>
      <c r="I568" s="3"/>
      <c r="J568" s="3"/>
      <c r="K568" s="221"/>
      <c r="L568" s="222"/>
      <c r="M568" s="221"/>
      <c r="N568" s="3"/>
      <c r="O568" s="3"/>
      <c r="P568" s="3"/>
      <c r="Q568" s="3"/>
      <c r="R568" s="3"/>
      <c r="S568" s="3"/>
      <c r="T568" s="22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A569" s="3"/>
      <c r="B569" s="3"/>
      <c r="C569" s="31"/>
      <c r="D569" s="3"/>
      <c r="E569" s="3"/>
      <c r="F569" s="3"/>
      <c r="G569" s="3"/>
      <c r="H569" s="3"/>
      <c r="I569" s="3"/>
      <c r="J569" s="3"/>
      <c r="K569" s="221"/>
      <c r="L569" s="222"/>
      <c r="M569" s="221"/>
      <c r="N569" s="3"/>
      <c r="O569" s="3"/>
      <c r="P569" s="3"/>
      <c r="Q569" s="3"/>
      <c r="R569" s="3"/>
      <c r="S569" s="3"/>
      <c r="T569" s="22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A570" s="3"/>
      <c r="B570" s="3"/>
      <c r="C570" s="31"/>
      <c r="D570" s="3"/>
      <c r="E570" s="3"/>
      <c r="F570" s="3"/>
      <c r="G570" s="3"/>
      <c r="H570" s="3"/>
      <c r="I570" s="3"/>
      <c r="J570" s="3"/>
      <c r="K570" s="221"/>
      <c r="L570" s="222"/>
      <c r="M570" s="221"/>
      <c r="N570" s="3"/>
      <c r="O570" s="3"/>
      <c r="P570" s="3"/>
      <c r="Q570" s="3"/>
      <c r="R570" s="3"/>
      <c r="S570" s="3"/>
      <c r="T570" s="22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A571" s="3"/>
      <c r="B571" s="3"/>
      <c r="C571" s="31"/>
      <c r="D571" s="3"/>
      <c r="E571" s="3"/>
      <c r="F571" s="3"/>
      <c r="G571" s="3"/>
      <c r="H571" s="3"/>
      <c r="I571" s="3"/>
      <c r="J571" s="3"/>
      <c r="K571" s="221"/>
      <c r="L571" s="222"/>
      <c r="M571" s="221"/>
      <c r="N571" s="3"/>
      <c r="O571" s="3"/>
      <c r="P571" s="3"/>
      <c r="Q571" s="3"/>
      <c r="R571" s="3"/>
      <c r="S571" s="3"/>
      <c r="T571" s="22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A572" s="3"/>
      <c r="B572" s="3"/>
      <c r="C572" s="31"/>
      <c r="D572" s="3"/>
      <c r="E572" s="3"/>
      <c r="F572" s="3"/>
      <c r="G572" s="3"/>
      <c r="H572" s="3"/>
      <c r="I572" s="3"/>
      <c r="J572" s="3"/>
      <c r="K572" s="221"/>
      <c r="L572" s="222"/>
      <c r="M572" s="221"/>
      <c r="N572" s="3"/>
      <c r="O572" s="3"/>
      <c r="P572" s="3"/>
      <c r="Q572" s="3"/>
      <c r="R572" s="3"/>
      <c r="S572" s="3"/>
      <c r="T572" s="22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A573" s="3"/>
      <c r="B573" s="3"/>
      <c r="C573" s="31"/>
      <c r="D573" s="3"/>
      <c r="E573" s="3"/>
      <c r="F573" s="3"/>
      <c r="G573" s="3"/>
      <c r="H573" s="3"/>
      <c r="I573" s="3"/>
      <c r="J573" s="3"/>
      <c r="K573" s="221"/>
      <c r="L573" s="222"/>
      <c r="M573" s="221"/>
      <c r="N573" s="3"/>
      <c r="O573" s="3"/>
      <c r="P573" s="3"/>
      <c r="Q573" s="3"/>
      <c r="R573" s="3"/>
      <c r="S573" s="3"/>
      <c r="T573" s="22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A574" s="3"/>
      <c r="B574" s="3"/>
      <c r="C574" s="31"/>
      <c r="D574" s="3"/>
      <c r="E574" s="3"/>
      <c r="F574" s="3"/>
      <c r="G574" s="3"/>
      <c r="H574" s="3"/>
      <c r="I574" s="3"/>
      <c r="J574" s="3"/>
      <c r="K574" s="221"/>
      <c r="L574" s="222"/>
      <c r="M574" s="221"/>
      <c r="N574" s="3"/>
      <c r="O574" s="3"/>
      <c r="P574" s="3"/>
      <c r="Q574" s="3"/>
      <c r="R574" s="3"/>
      <c r="S574" s="3"/>
      <c r="T574" s="22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A575" s="3"/>
      <c r="B575" s="3"/>
      <c r="C575" s="31"/>
      <c r="D575" s="3"/>
      <c r="E575" s="3"/>
      <c r="F575" s="3"/>
      <c r="G575" s="3"/>
      <c r="H575" s="3"/>
      <c r="I575" s="3"/>
      <c r="J575" s="3"/>
      <c r="K575" s="221"/>
      <c r="L575" s="222"/>
      <c r="M575" s="221"/>
      <c r="N575" s="3"/>
      <c r="O575" s="3"/>
      <c r="P575" s="3"/>
      <c r="Q575" s="3"/>
      <c r="R575" s="3"/>
      <c r="S575" s="3"/>
      <c r="T575" s="22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A576" s="3"/>
      <c r="B576" s="3"/>
      <c r="C576" s="31"/>
      <c r="D576" s="3"/>
      <c r="E576" s="3"/>
      <c r="F576" s="3"/>
      <c r="G576" s="3"/>
      <c r="H576" s="3"/>
      <c r="I576" s="3"/>
      <c r="J576" s="3"/>
      <c r="K576" s="221"/>
      <c r="L576" s="222"/>
      <c r="M576" s="221"/>
      <c r="N576" s="3"/>
      <c r="O576" s="3"/>
      <c r="P576" s="3"/>
      <c r="Q576" s="3"/>
      <c r="R576" s="3"/>
      <c r="S576" s="3"/>
      <c r="T576" s="22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A577" s="3"/>
      <c r="B577" s="3"/>
      <c r="C577" s="31"/>
      <c r="D577" s="3"/>
      <c r="E577" s="3"/>
      <c r="F577" s="3"/>
      <c r="G577" s="3"/>
      <c r="H577" s="3"/>
      <c r="I577" s="3"/>
      <c r="J577" s="3"/>
      <c r="K577" s="221"/>
      <c r="L577" s="222"/>
      <c r="M577" s="221"/>
      <c r="N577" s="3"/>
      <c r="O577" s="3"/>
      <c r="P577" s="3"/>
      <c r="Q577" s="3"/>
      <c r="R577" s="3"/>
      <c r="S577" s="3"/>
      <c r="T577" s="22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A578" s="3"/>
      <c r="B578" s="3"/>
      <c r="C578" s="31"/>
      <c r="D578" s="3"/>
      <c r="E578" s="3"/>
      <c r="F578" s="3"/>
      <c r="G578" s="3"/>
      <c r="H578" s="3"/>
      <c r="I578" s="3"/>
      <c r="J578" s="3"/>
      <c r="K578" s="221"/>
      <c r="L578" s="222"/>
      <c r="M578" s="221"/>
      <c r="N578" s="3"/>
      <c r="O578" s="3"/>
      <c r="P578" s="3"/>
      <c r="Q578" s="3"/>
      <c r="R578" s="3"/>
      <c r="S578" s="3"/>
      <c r="T578" s="22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A579" s="3"/>
      <c r="B579" s="3"/>
      <c r="C579" s="31"/>
      <c r="D579" s="3"/>
      <c r="E579" s="3"/>
      <c r="F579" s="3"/>
      <c r="G579" s="3"/>
      <c r="H579" s="3"/>
      <c r="I579" s="3"/>
      <c r="J579" s="3"/>
      <c r="K579" s="221"/>
      <c r="L579" s="222"/>
      <c r="M579" s="221"/>
      <c r="N579" s="3"/>
      <c r="O579" s="3"/>
      <c r="P579" s="3"/>
      <c r="Q579" s="3"/>
      <c r="R579" s="3"/>
      <c r="S579" s="3"/>
      <c r="T579" s="22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A580" s="3"/>
      <c r="B580" s="3"/>
      <c r="C580" s="31"/>
      <c r="D580" s="3"/>
      <c r="E580" s="3"/>
      <c r="F580" s="3"/>
      <c r="G580" s="3"/>
      <c r="H580" s="3"/>
      <c r="I580" s="3"/>
      <c r="J580" s="3"/>
      <c r="K580" s="221"/>
      <c r="L580" s="222"/>
      <c r="M580" s="221"/>
      <c r="N580" s="3"/>
      <c r="O580" s="3"/>
      <c r="P580" s="3"/>
      <c r="Q580" s="3"/>
      <c r="R580" s="3"/>
      <c r="S580" s="3"/>
      <c r="T580" s="22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A581" s="3"/>
      <c r="B581" s="3"/>
      <c r="C581" s="31"/>
      <c r="D581" s="3"/>
      <c r="E581" s="3"/>
      <c r="F581" s="3"/>
      <c r="G581" s="3"/>
      <c r="H581" s="3"/>
      <c r="I581" s="3"/>
      <c r="J581" s="3"/>
      <c r="K581" s="221"/>
      <c r="L581" s="222"/>
      <c r="M581" s="221"/>
      <c r="N581" s="3"/>
      <c r="O581" s="3"/>
      <c r="P581" s="3"/>
      <c r="Q581" s="3"/>
      <c r="R581" s="3"/>
      <c r="S581" s="3"/>
      <c r="T581" s="22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A582" s="3"/>
      <c r="B582" s="3"/>
      <c r="C582" s="31"/>
      <c r="D582" s="3"/>
      <c r="E582" s="3"/>
      <c r="F582" s="3"/>
      <c r="G582" s="3"/>
      <c r="H582" s="3"/>
      <c r="I582" s="3"/>
      <c r="J582" s="3"/>
      <c r="K582" s="221"/>
      <c r="L582" s="222"/>
      <c r="M582" s="221"/>
      <c r="N582" s="3"/>
      <c r="O582" s="3"/>
      <c r="P582" s="3"/>
      <c r="Q582" s="3"/>
      <c r="R582" s="3"/>
      <c r="S582" s="3"/>
      <c r="T582" s="22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A583" s="3"/>
      <c r="B583" s="3"/>
      <c r="C583" s="31"/>
      <c r="D583" s="3"/>
      <c r="E583" s="3"/>
      <c r="F583" s="3"/>
      <c r="G583" s="3"/>
      <c r="H583" s="3"/>
      <c r="I583" s="3"/>
      <c r="J583" s="3"/>
      <c r="K583" s="221"/>
      <c r="L583" s="222"/>
      <c r="M583" s="221"/>
      <c r="N583" s="3"/>
      <c r="O583" s="3"/>
      <c r="P583" s="3"/>
      <c r="Q583" s="3"/>
      <c r="R583" s="3"/>
      <c r="S583" s="3"/>
      <c r="T583" s="22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A584" s="3"/>
      <c r="B584" s="3"/>
      <c r="C584" s="31"/>
      <c r="D584" s="3"/>
      <c r="E584" s="3"/>
      <c r="F584" s="3"/>
      <c r="G584" s="3"/>
      <c r="H584" s="3"/>
      <c r="I584" s="3"/>
      <c r="J584" s="3"/>
      <c r="K584" s="221"/>
      <c r="L584" s="222"/>
      <c r="M584" s="221"/>
      <c r="N584" s="3"/>
      <c r="O584" s="3"/>
      <c r="P584" s="3"/>
      <c r="Q584" s="3"/>
      <c r="R584" s="3"/>
      <c r="S584" s="3"/>
      <c r="T584" s="22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>
      <c r="A585" s="3"/>
      <c r="B585" s="3"/>
      <c r="C585" s="31"/>
      <c r="D585" s="3"/>
      <c r="E585" s="3"/>
      <c r="F585" s="3"/>
      <c r="G585" s="3"/>
      <c r="H585" s="3"/>
      <c r="I585" s="3"/>
      <c r="J585" s="3"/>
      <c r="K585" s="221"/>
      <c r="L585" s="222"/>
      <c r="M585" s="221"/>
      <c r="N585" s="3"/>
      <c r="O585" s="3"/>
      <c r="P585" s="3"/>
      <c r="Q585" s="3"/>
      <c r="R585" s="3"/>
      <c r="S585" s="3"/>
      <c r="T585" s="22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>
      <c r="A586" s="3"/>
      <c r="B586" s="3"/>
      <c r="C586" s="31"/>
      <c r="D586" s="3"/>
      <c r="E586" s="3"/>
      <c r="F586" s="3"/>
      <c r="G586" s="3"/>
      <c r="H586" s="3"/>
      <c r="I586" s="3"/>
      <c r="J586" s="3"/>
      <c r="K586" s="221"/>
      <c r="L586" s="222"/>
      <c r="M586" s="221"/>
      <c r="N586" s="3"/>
      <c r="O586" s="3"/>
      <c r="P586" s="3"/>
      <c r="Q586" s="3"/>
      <c r="R586" s="3"/>
      <c r="S586" s="3"/>
      <c r="T586" s="22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>
      <c r="A587" s="3"/>
      <c r="B587" s="3"/>
      <c r="C587" s="31"/>
      <c r="D587" s="3"/>
      <c r="E587" s="3"/>
      <c r="F587" s="3"/>
      <c r="G587" s="3"/>
      <c r="H587" s="3"/>
      <c r="I587" s="3"/>
      <c r="J587" s="3"/>
      <c r="K587" s="221"/>
      <c r="L587" s="222"/>
      <c r="M587" s="221"/>
      <c r="N587" s="3"/>
      <c r="O587" s="3"/>
      <c r="P587" s="3"/>
      <c r="Q587" s="3"/>
      <c r="R587" s="3"/>
      <c r="S587" s="3"/>
      <c r="T587" s="22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>
      <c r="A588" s="3"/>
      <c r="B588" s="3"/>
      <c r="C588" s="31"/>
      <c r="D588" s="3"/>
      <c r="E588" s="3"/>
      <c r="F588" s="3"/>
      <c r="G588" s="3"/>
      <c r="H588" s="3"/>
      <c r="I588" s="3"/>
      <c r="J588" s="3"/>
      <c r="K588" s="221"/>
      <c r="L588" s="222"/>
      <c r="M588" s="221"/>
      <c r="N588" s="3"/>
      <c r="O588" s="3"/>
      <c r="P588" s="3"/>
      <c r="Q588" s="3"/>
      <c r="R588" s="3"/>
      <c r="S588" s="3"/>
      <c r="T588" s="22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>
      <c r="A589" s="3"/>
      <c r="B589" s="3"/>
      <c r="C589" s="31"/>
      <c r="D589" s="3"/>
      <c r="E589" s="3"/>
      <c r="F589" s="3"/>
      <c r="G589" s="3"/>
      <c r="H589" s="3"/>
      <c r="I589" s="3"/>
      <c r="J589" s="3"/>
      <c r="K589" s="221"/>
      <c r="L589" s="222"/>
      <c r="M589" s="221"/>
      <c r="N589" s="3"/>
      <c r="O589" s="3"/>
      <c r="P589" s="3"/>
      <c r="Q589" s="3"/>
      <c r="R589" s="3"/>
      <c r="S589" s="3"/>
      <c r="T589" s="22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>
      <c r="A590" s="3"/>
      <c r="B590" s="3"/>
      <c r="C590" s="31"/>
      <c r="D590" s="3"/>
      <c r="E590" s="3"/>
      <c r="F590" s="3"/>
      <c r="G590" s="3"/>
      <c r="H590" s="3"/>
      <c r="I590" s="3"/>
      <c r="J590" s="3"/>
      <c r="K590" s="221"/>
      <c r="L590" s="222"/>
      <c r="M590" s="221"/>
      <c r="N590" s="3"/>
      <c r="O590" s="3"/>
      <c r="P590" s="3"/>
      <c r="Q590" s="3"/>
      <c r="R590" s="3"/>
      <c r="S590" s="3"/>
      <c r="T590" s="22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A591" s="3"/>
      <c r="B591" s="3"/>
      <c r="C591" s="31"/>
      <c r="D591" s="3"/>
      <c r="E591" s="3"/>
      <c r="F591" s="3"/>
      <c r="G591" s="3"/>
      <c r="H591" s="3"/>
      <c r="I591" s="3"/>
      <c r="J591" s="3"/>
      <c r="K591" s="221"/>
      <c r="L591" s="222"/>
      <c r="M591" s="221"/>
      <c r="N591" s="3"/>
      <c r="O591" s="3"/>
      <c r="P591" s="3"/>
      <c r="Q591" s="3"/>
      <c r="R591" s="3"/>
      <c r="S591" s="3"/>
      <c r="T591" s="22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A592" s="3"/>
      <c r="B592" s="3"/>
      <c r="C592" s="31"/>
      <c r="D592" s="3"/>
      <c r="E592" s="3"/>
      <c r="F592" s="3"/>
      <c r="G592" s="3"/>
      <c r="H592" s="3"/>
      <c r="I592" s="3"/>
      <c r="J592" s="3"/>
      <c r="K592" s="221"/>
      <c r="L592" s="222"/>
      <c r="M592" s="221"/>
      <c r="N592" s="3"/>
      <c r="O592" s="3"/>
      <c r="P592" s="3"/>
      <c r="Q592" s="3"/>
      <c r="R592" s="3"/>
      <c r="S592" s="3"/>
      <c r="T592" s="22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A593" s="3"/>
      <c r="B593" s="3"/>
      <c r="C593" s="31"/>
      <c r="D593" s="3"/>
      <c r="E593" s="3"/>
      <c r="F593" s="3"/>
      <c r="G593" s="3"/>
      <c r="H593" s="3"/>
      <c r="I593" s="3"/>
      <c r="J593" s="3"/>
      <c r="K593" s="221"/>
      <c r="L593" s="222"/>
      <c r="M593" s="221"/>
      <c r="N593" s="3"/>
      <c r="O593" s="3"/>
      <c r="P593" s="3"/>
      <c r="Q593" s="3"/>
      <c r="R593" s="3"/>
      <c r="S593" s="3"/>
      <c r="T593" s="22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A594" s="3"/>
      <c r="B594" s="3"/>
      <c r="C594" s="31"/>
      <c r="D594" s="3"/>
      <c r="E594" s="3"/>
      <c r="F594" s="3"/>
      <c r="G594" s="3"/>
      <c r="H594" s="3"/>
      <c r="I594" s="3"/>
      <c r="J594" s="3"/>
      <c r="K594" s="221"/>
      <c r="L594" s="222"/>
      <c r="M594" s="221"/>
      <c r="N594" s="3"/>
      <c r="O594" s="3"/>
      <c r="P594" s="3"/>
      <c r="Q594" s="3"/>
      <c r="R594" s="3"/>
      <c r="S594" s="3"/>
      <c r="T594" s="22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A595" s="3"/>
      <c r="B595" s="3"/>
      <c r="C595" s="31"/>
      <c r="D595" s="3"/>
      <c r="E595" s="3"/>
      <c r="F595" s="3"/>
      <c r="G595" s="3"/>
      <c r="H595" s="3"/>
      <c r="I595" s="3"/>
      <c r="J595" s="3"/>
      <c r="K595" s="221"/>
      <c r="L595" s="222"/>
      <c r="M595" s="221"/>
      <c r="N595" s="3"/>
      <c r="O595" s="3"/>
      <c r="P595" s="3"/>
      <c r="Q595" s="3"/>
      <c r="R595" s="3"/>
      <c r="S595" s="3"/>
      <c r="T595" s="22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A596" s="3"/>
      <c r="B596" s="3"/>
      <c r="C596" s="31"/>
      <c r="D596" s="3"/>
      <c r="E596" s="3"/>
      <c r="F596" s="3"/>
      <c r="G596" s="3"/>
      <c r="H596" s="3"/>
      <c r="I596" s="3"/>
      <c r="J596" s="3"/>
      <c r="K596" s="221"/>
      <c r="L596" s="222"/>
      <c r="M596" s="221"/>
      <c r="N596" s="3"/>
      <c r="O596" s="3"/>
      <c r="P596" s="3"/>
      <c r="Q596" s="3"/>
      <c r="R596" s="3"/>
      <c r="S596" s="3"/>
      <c r="T596" s="22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A597" s="3"/>
      <c r="B597" s="3"/>
      <c r="C597" s="31"/>
      <c r="D597" s="3"/>
      <c r="E597" s="3"/>
      <c r="F597" s="3"/>
      <c r="G597" s="3"/>
      <c r="H597" s="3"/>
      <c r="I597" s="3"/>
      <c r="J597" s="3"/>
      <c r="K597" s="221"/>
      <c r="L597" s="222"/>
      <c r="M597" s="221"/>
      <c r="N597" s="3"/>
      <c r="O597" s="3"/>
      <c r="P597" s="3"/>
      <c r="Q597" s="3"/>
      <c r="R597" s="3"/>
      <c r="S597" s="3"/>
      <c r="T597" s="22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A598" s="3"/>
      <c r="B598" s="3"/>
      <c r="C598" s="31"/>
      <c r="D598" s="3"/>
      <c r="E598" s="3"/>
      <c r="F598" s="3"/>
      <c r="G598" s="3"/>
      <c r="H598" s="3"/>
      <c r="I598" s="3"/>
      <c r="J598" s="3"/>
      <c r="K598" s="221"/>
      <c r="L598" s="222"/>
      <c r="M598" s="221"/>
      <c r="N598" s="3"/>
      <c r="O598" s="3"/>
      <c r="P598" s="3"/>
      <c r="Q598" s="3"/>
      <c r="R598" s="3"/>
      <c r="S598" s="3"/>
      <c r="T598" s="22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A599" s="3"/>
      <c r="B599" s="3"/>
      <c r="C599" s="31"/>
      <c r="D599" s="3"/>
      <c r="E599" s="3"/>
      <c r="F599" s="3"/>
      <c r="G599" s="3"/>
      <c r="H599" s="3"/>
      <c r="I599" s="3"/>
      <c r="J599" s="3"/>
      <c r="K599" s="221"/>
      <c r="L599" s="222"/>
      <c r="M599" s="221"/>
      <c r="N599" s="3"/>
      <c r="O599" s="3"/>
      <c r="P599" s="3"/>
      <c r="Q599" s="3"/>
      <c r="R599" s="3"/>
      <c r="S599" s="3"/>
      <c r="T599" s="22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A600" s="3"/>
      <c r="B600" s="3"/>
      <c r="C600" s="31"/>
      <c r="D600" s="3"/>
      <c r="E600" s="3"/>
      <c r="F600" s="3"/>
      <c r="G600" s="3"/>
      <c r="H600" s="3"/>
      <c r="I600" s="3"/>
      <c r="J600" s="3"/>
      <c r="K600" s="221"/>
      <c r="L600" s="222"/>
      <c r="M600" s="221"/>
      <c r="N600" s="3"/>
      <c r="O600" s="3"/>
      <c r="P600" s="3"/>
      <c r="Q600" s="3"/>
      <c r="R600" s="3"/>
      <c r="S600" s="3"/>
      <c r="T600" s="22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A601" s="3"/>
      <c r="B601" s="3"/>
      <c r="C601" s="31"/>
      <c r="D601" s="3"/>
      <c r="E601" s="3"/>
      <c r="F601" s="3"/>
      <c r="G601" s="3"/>
      <c r="H601" s="3"/>
      <c r="I601" s="3"/>
      <c r="J601" s="3"/>
      <c r="K601" s="221"/>
      <c r="L601" s="222"/>
      <c r="M601" s="221"/>
      <c r="N601" s="3"/>
      <c r="O601" s="3"/>
      <c r="P601" s="3"/>
      <c r="Q601" s="3"/>
      <c r="R601" s="3"/>
      <c r="S601" s="3"/>
      <c r="T601" s="22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A602" s="3"/>
      <c r="B602" s="3"/>
      <c r="C602" s="31"/>
      <c r="D602" s="3"/>
      <c r="E602" s="3"/>
      <c r="F602" s="3"/>
      <c r="G602" s="3"/>
      <c r="H602" s="3"/>
      <c r="I602" s="3"/>
      <c r="J602" s="3"/>
      <c r="K602" s="221"/>
      <c r="L602" s="222"/>
      <c r="M602" s="221"/>
      <c r="N602" s="3"/>
      <c r="O602" s="3"/>
      <c r="P602" s="3"/>
      <c r="Q602" s="3"/>
      <c r="R602" s="3"/>
      <c r="S602" s="3"/>
      <c r="T602" s="22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A603" s="3"/>
      <c r="B603" s="3"/>
      <c r="C603" s="31"/>
      <c r="D603" s="3"/>
      <c r="E603" s="3"/>
      <c r="F603" s="3"/>
      <c r="G603" s="3"/>
      <c r="H603" s="3"/>
      <c r="I603" s="3"/>
      <c r="J603" s="3"/>
      <c r="K603" s="221"/>
      <c r="L603" s="222"/>
      <c r="M603" s="221"/>
      <c r="N603" s="3"/>
      <c r="O603" s="3"/>
      <c r="P603" s="3"/>
      <c r="Q603" s="3"/>
      <c r="R603" s="3"/>
      <c r="S603" s="3"/>
      <c r="T603" s="22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A604" s="3"/>
      <c r="B604" s="3"/>
      <c r="C604" s="31"/>
      <c r="D604" s="3"/>
      <c r="E604" s="3"/>
      <c r="F604" s="3"/>
      <c r="G604" s="3"/>
      <c r="H604" s="3"/>
      <c r="I604" s="3"/>
      <c r="J604" s="3"/>
      <c r="K604" s="221"/>
      <c r="L604" s="222"/>
      <c r="M604" s="221"/>
      <c r="N604" s="3"/>
      <c r="O604" s="3"/>
      <c r="P604" s="3"/>
      <c r="Q604" s="3"/>
      <c r="R604" s="3"/>
      <c r="S604" s="3"/>
      <c r="T604" s="22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A605" s="3"/>
      <c r="B605" s="3"/>
      <c r="C605" s="31"/>
      <c r="D605" s="3"/>
      <c r="E605" s="3"/>
      <c r="F605" s="3"/>
      <c r="G605" s="3"/>
      <c r="H605" s="3"/>
      <c r="I605" s="3"/>
      <c r="J605" s="3"/>
      <c r="K605" s="221"/>
      <c r="L605" s="222"/>
      <c r="M605" s="221"/>
      <c r="N605" s="3"/>
      <c r="O605" s="3"/>
      <c r="P605" s="3"/>
      <c r="Q605" s="3"/>
      <c r="R605" s="3"/>
      <c r="S605" s="3"/>
      <c r="T605" s="22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A606" s="3"/>
      <c r="B606" s="3"/>
      <c r="C606" s="31"/>
      <c r="D606" s="3"/>
      <c r="E606" s="3"/>
      <c r="F606" s="3"/>
      <c r="G606" s="3"/>
      <c r="H606" s="3"/>
      <c r="I606" s="3"/>
      <c r="J606" s="3"/>
      <c r="K606" s="221"/>
      <c r="L606" s="222"/>
      <c r="M606" s="221"/>
      <c r="N606" s="3"/>
      <c r="O606" s="3"/>
      <c r="P606" s="3"/>
      <c r="Q606" s="3"/>
      <c r="R606" s="3"/>
      <c r="S606" s="3"/>
      <c r="T606" s="22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A607" s="3"/>
      <c r="B607" s="3"/>
      <c r="C607" s="31"/>
      <c r="D607" s="3"/>
      <c r="E607" s="3"/>
      <c r="F607" s="3"/>
      <c r="G607" s="3"/>
      <c r="H607" s="3"/>
      <c r="I607" s="3"/>
      <c r="J607" s="3"/>
      <c r="K607" s="221"/>
      <c r="L607" s="222"/>
      <c r="M607" s="221"/>
      <c r="N607" s="3"/>
      <c r="O607" s="3"/>
      <c r="P607" s="3"/>
      <c r="Q607" s="3"/>
      <c r="R607" s="3"/>
      <c r="S607" s="3"/>
      <c r="T607" s="22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A608" s="3"/>
      <c r="B608" s="3"/>
      <c r="C608" s="31"/>
      <c r="D608" s="3"/>
      <c r="E608" s="3"/>
      <c r="F608" s="3"/>
      <c r="G608" s="3"/>
      <c r="H608" s="3"/>
      <c r="I608" s="3"/>
      <c r="J608" s="3"/>
      <c r="K608" s="221"/>
      <c r="L608" s="222"/>
      <c r="M608" s="221"/>
      <c r="N608" s="3"/>
      <c r="O608" s="3"/>
      <c r="P608" s="3"/>
      <c r="Q608" s="3"/>
      <c r="R608" s="3"/>
      <c r="S608" s="3"/>
      <c r="T608" s="22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A609" s="3"/>
      <c r="B609" s="3"/>
      <c r="C609" s="31"/>
      <c r="D609" s="3"/>
      <c r="E609" s="3"/>
      <c r="F609" s="3"/>
      <c r="G609" s="3"/>
      <c r="H609" s="3"/>
      <c r="I609" s="3"/>
      <c r="J609" s="3"/>
      <c r="K609" s="221"/>
      <c r="L609" s="222"/>
      <c r="M609" s="221"/>
      <c r="N609" s="3"/>
      <c r="O609" s="3"/>
      <c r="P609" s="3"/>
      <c r="Q609" s="3"/>
      <c r="R609" s="3"/>
      <c r="S609" s="3"/>
      <c r="T609" s="22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A610" s="3"/>
      <c r="B610" s="3"/>
      <c r="C610" s="31"/>
      <c r="D610" s="3"/>
      <c r="E610" s="3"/>
      <c r="F610" s="3"/>
      <c r="G610" s="3"/>
      <c r="H610" s="3"/>
      <c r="I610" s="3"/>
      <c r="J610" s="3"/>
      <c r="K610" s="221"/>
      <c r="L610" s="222"/>
      <c r="M610" s="221"/>
      <c r="N610" s="3"/>
      <c r="O610" s="3"/>
      <c r="P610" s="3"/>
      <c r="Q610" s="3"/>
      <c r="R610" s="3"/>
      <c r="S610" s="3"/>
      <c r="T610" s="22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A611" s="3"/>
      <c r="B611" s="3"/>
      <c r="C611" s="31"/>
      <c r="D611" s="3"/>
      <c r="E611" s="3"/>
      <c r="F611" s="3"/>
      <c r="G611" s="3"/>
      <c r="H611" s="3"/>
      <c r="I611" s="3"/>
      <c r="J611" s="3"/>
      <c r="K611" s="221"/>
      <c r="L611" s="222"/>
      <c r="M611" s="221"/>
      <c r="N611" s="3"/>
      <c r="O611" s="3"/>
      <c r="P611" s="3"/>
      <c r="Q611" s="3"/>
      <c r="R611" s="3"/>
      <c r="S611" s="3"/>
      <c r="T611" s="22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A612" s="3"/>
      <c r="B612" s="3"/>
      <c r="C612" s="31"/>
      <c r="D612" s="3"/>
      <c r="E612" s="3"/>
      <c r="F612" s="3"/>
      <c r="G612" s="3"/>
      <c r="H612" s="3"/>
      <c r="I612" s="3"/>
      <c r="J612" s="3"/>
      <c r="K612" s="221"/>
      <c r="L612" s="222"/>
      <c r="M612" s="221"/>
      <c r="N612" s="3"/>
      <c r="O612" s="3"/>
      <c r="P612" s="3"/>
      <c r="Q612" s="3"/>
      <c r="R612" s="3"/>
      <c r="S612" s="3"/>
      <c r="T612" s="22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A613" s="3"/>
      <c r="B613" s="3"/>
      <c r="C613" s="31"/>
      <c r="D613" s="3"/>
      <c r="E613" s="3"/>
      <c r="F613" s="3"/>
      <c r="G613" s="3"/>
      <c r="H613" s="3"/>
      <c r="I613" s="3"/>
      <c r="J613" s="3"/>
      <c r="K613" s="221"/>
      <c r="L613" s="222"/>
      <c r="M613" s="221"/>
      <c r="N613" s="3"/>
      <c r="O613" s="3"/>
      <c r="P613" s="3"/>
      <c r="Q613" s="3"/>
      <c r="R613" s="3"/>
      <c r="S613" s="3"/>
      <c r="T613" s="22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A614" s="3"/>
      <c r="B614" s="3"/>
      <c r="C614" s="31"/>
      <c r="D614" s="3"/>
      <c r="E614" s="3"/>
      <c r="F614" s="3"/>
      <c r="G614" s="3"/>
      <c r="H614" s="3"/>
      <c r="I614" s="3"/>
      <c r="J614" s="3"/>
      <c r="K614" s="221"/>
      <c r="L614" s="222"/>
      <c r="M614" s="221"/>
      <c r="N614" s="3"/>
      <c r="O614" s="3"/>
      <c r="P614" s="3"/>
      <c r="Q614" s="3"/>
      <c r="R614" s="3"/>
      <c r="S614" s="3"/>
      <c r="T614" s="22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A615" s="3"/>
      <c r="B615" s="3"/>
      <c r="C615" s="31"/>
      <c r="D615" s="3"/>
      <c r="E615" s="3"/>
      <c r="F615" s="3"/>
      <c r="G615" s="3"/>
      <c r="H615" s="3"/>
      <c r="I615" s="3"/>
      <c r="J615" s="3"/>
      <c r="K615" s="221"/>
      <c r="L615" s="222"/>
      <c r="M615" s="221"/>
      <c r="N615" s="3"/>
      <c r="O615" s="3"/>
      <c r="P615" s="3"/>
      <c r="Q615" s="3"/>
      <c r="R615" s="3"/>
      <c r="S615" s="3"/>
      <c r="T615" s="22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A616" s="3"/>
      <c r="B616" s="3"/>
      <c r="C616" s="31"/>
      <c r="D616" s="3"/>
      <c r="E616" s="3"/>
      <c r="F616" s="3"/>
      <c r="G616" s="3"/>
      <c r="H616" s="3"/>
      <c r="I616" s="3"/>
      <c r="J616" s="3"/>
      <c r="K616" s="221"/>
      <c r="L616" s="222"/>
      <c r="M616" s="221"/>
      <c r="N616" s="3"/>
      <c r="O616" s="3"/>
      <c r="P616" s="3"/>
      <c r="Q616" s="3"/>
      <c r="R616" s="3"/>
      <c r="S616" s="3"/>
      <c r="T616" s="22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A617" s="3"/>
      <c r="B617" s="3"/>
      <c r="C617" s="31"/>
      <c r="D617" s="3"/>
      <c r="E617" s="3"/>
      <c r="F617" s="3"/>
      <c r="G617" s="3"/>
      <c r="H617" s="3"/>
      <c r="I617" s="3"/>
      <c r="J617" s="3"/>
      <c r="K617" s="221"/>
      <c r="L617" s="222"/>
      <c r="M617" s="221"/>
      <c r="N617" s="3"/>
      <c r="O617" s="3"/>
      <c r="P617" s="3"/>
      <c r="Q617" s="3"/>
      <c r="R617" s="3"/>
      <c r="S617" s="3"/>
      <c r="T617" s="22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A618" s="3"/>
      <c r="B618" s="3"/>
      <c r="C618" s="31"/>
      <c r="D618" s="3"/>
      <c r="E618" s="3"/>
      <c r="F618" s="3"/>
      <c r="G618" s="3"/>
      <c r="H618" s="3"/>
      <c r="I618" s="3"/>
      <c r="J618" s="3"/>
      <c r="K618" s="221"/>
      <c r="L618" s="222"/>
      <c r="M618" s="221"/>
      <c r="N618" s="3"/>
      <c r="O618" s="3"/>
      <c r="P618" s="3"/>
      <c r="Q618" s="3"/>
      <c r="R618" s="3"/>
      <c r="S618" s="3"/>
      <c r="T618" s="22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A619" s="3"/>
      <c r="B619" s="3"/>
      <c r="C619" s="31"/>
      <c r="D619" s="3"/>
      <c r="E619" s="3"/>
      <c r="F619" s="3"/>
      <c r="G619" s="3"/>
      <c r="H619" s="3"/>
      <c r="I619" s="3"/>
      <c r="J619" s="3"/>
      <c r="K619" s="221"/>
      <c r="L619" s="222"/>
      <c r="M619" s="221"/>
      <c r="N619" s="3"/>
      <c r="O619" s="3"/>
      <c r="P619" s="3"/>
      <c r="Q619" s="3"/>
      <c r="R619" s="3"/>
      <c r="S619" s="3"/>
      <c r="T619" s="22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A620" s="3"/>
      <c r="B620" s="3"/>
      <c r="C620" s="31"/>
      <c r="D620" s="3"/>
      <c r="E620" s="3"/>
      <c r="F620" s="3"/>
      <c r="G620" s="3"/>
      <c r="H620" s="3"/>
      <c r="I620" s="3"/>
      <c r="J620" s="3"/>
      <c r="K620" s="221"/>
      <c r="L620" s="222"/>
      <c r="M620" s="221"/>
      <c r="N620" s="3"/>
      <c r="O620" s="3"/>
      <c r="P620" s="3"/>
      <c r="Q620" s="3"/>
      <c r="R620" s="3"/>
      <c r="S620" s="3"/>
      <c r="T620" s="22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A621" s="3"/>
      <c r="B621" s="3"/>
      <c r="C621" s="31"/>
      <c r="D621" s="3"/>
      <c r="E621" s="3"/>
      <c r="F621" s="3"/>
      <c r="G621" s="3"/>
      <c r="H621" s="3"/>
      <c r="I621" s="3"/>
      <c r="J621" s="3"/>
      <c r="K621" s="221"/>
      <c r="L621" s="222"/>
      <c r="M621" s="221"/>
      <c r="N621" s="3"/>
      <c r="O621" s="3"/>
      <c r="P621" s="3"/>
      <c r="Q621" s="3"/>
      <c r="R621" s="3"/>
      <c r="S621" s="3"/>
      <c r="T621" s="22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A622" s="3"/>
      <c r="B622" s="3"/>
      <c r="C622" s="31"/>
      <c r="D622" s="3"/>
      <c r="E622" s="3"/>
      <c r="F622" s="3"/>
      <c r="G622" s="3"/>
      <c r="H622" s="3"/>
      <c r="I622" s="3"/>
      <c r="J622" s="3"/>
      <c r="K622" s="221"/>
      <c r="L622" s="222"/>
      <c r="M622" s="221"/>
      <c r="N622" s="3"/>
      <c r="O622" s="3"/>
      <c r="P622" s="3"/>
      <c r="Q622" s="3"/>
      <c r="R622" s="3"/>
      <c r="S622" s="3"/>
      <c r="T622" s="22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A623" s="3"/>
      <c r="B623" s="3"/>
      <c r="C623" s="31"/>
      <c r="D623" s="3"/>
      <c r="E623" s="3"/>
      <c r="F623" s="3"/>
      <c r="G623" s="3"/>
      <c r="H623" s="3"/>
      <c r="I623" s="3"/>
      <c r="J623" s="3"/>
      <c r="K623" s="221"/>
      <c r="L623" s="222"/>
      <c r="M623" s="221"/>
      <c r="N623" s="3"/>
      <c r="O623" s="3"/>
      <c r="P623" s="3"/>
      <c r="Q623" s="3"/>
      <c r="R623" s="3"/>
      <c r="S623" s="3"/>
      <c r="T623" s="22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A624" s="3"/>
      <c r="B624" s="3"/>
      <c r="C624" s="31"/>
      <c r="D624" s="3"/>
      <c r="E624" s="3"/>
      <c r="F624" s="3"/>
      <c r="G624" s="3"/>
      <c r="H624" s="3"/>
      <c r="I624" s="3"/>
      <c r="J624" s="3"/>
      <c r="K624" s="221"/>
      <c r="L624" s="222"/>
      <c r="M624" s="221"/>
      <c r="N624" s="3"/>
      <c r="O624" s="3"/>
      <c r="P624" s="3"/>
      <c r="Q624" s="3"/>
      <c r="R624" s="3"/>
      <c r="S624" s="3"/>
      <c r="T624" s="22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A625" s="3"/>
      <c r="B625" s="3"/>
      <c r="C625" s="31"/>
      <c r="D625" s="3"/>
      <c r="E625" s="3"/>
      <c r="F625" s="3"/>
      <c r="G625" s="3"/>
      <c r="H625" s="3"/>
      <c r="I625" s="3"/>
      <c r="J625" s="3"/>
      <c r="K625" s="221"/>
      <c r="L625" s="222"/>
      <c r="M625" s="221"/>
      <c r="N625" s="3"/>
      <c r="O625" s="3"/>
      <c r="P625" s="3"/>
      <c r="Q625" s="3"/>
      <c r="R625" s="3"/>
      <c r="S625" s="3"/>
      <c r="T625" s="22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A626" s="3"/>
      <c r="B626" s="3"/>
      <c r="C626" s="31"/>
      <c r="D626" s="3"/>
      <c r="E626" s="3"/>
      <c r="F626" s="3"/>
      <c r="G626" s="3"/>
      <c r="H626" s="3"/>
      <c r="I626" s="3"/>
      <c r="J626" s="3"/>
      <c r="K626" s="221"/>
      <c r="L626" s="222"/>
      <c r="M626" s="221"/>
      <c r="N626" s="3"/>
      <c r="O626" s="3"/>
      <c r="P626" s="3"/>
      <c r="Q626" s="3"/>
      <c r="R626" s="3"/>
      <c r="S626" s="3"/>
      <c r="T626" s="22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>
      <c r="A627" s="3"/>
      <c r="B627" s="3"/>
      <c r="C627" s="31"/>
      <c r="D627" s="3"/>
      <c r="E627" s="3"/>
      <c r="F627" s="3"/>
      <c r="G627" s="3"/>
      <c r="H627" s="3"/>
      <c r="I627" s="3"/>
      <c r="J627" s="3"/>
      <c r="K627" s="221"/>
      <c r="L627" s="222"/>
      <c r="M627" s="221"/>
      <c r="N627" s="3"/>
      <c r="O627" s="3"/>
      <c r="P627" s="3"/>
      <c r="Q627" s="3"/>
      <c r="R627" s="3"/>
      <c r="S627" s="3"/>
      <c r="T627" s="22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>
      <c r="A628" s="3"/>
      <c r="B628" s="3"/>
      <c r="C628" s="31"/>
      <c r="D628" s="3"/>
      <c r="E628" s="3"/>
      <c r="F628" s="3"/>
      <c r="G628" s="3"/>
      <c r="H628" s="3"/>
      <c r="I628" s="3"/>
      <c r="J628" s="3"/>
      <c r="K628" s="221"/>
      <c r="L628" s="222"/>
      <c r="M628" s="221"/>
      <c r="N628" s="3"/>
      <c r="O628" s="3"/>
      <c r="P628" s="3"/>
      <c r="Q628" s="3"/>
      <c r="R628" s="3"/>
      <c r="S628" s="3"/>
      <c r="T628" s="22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>
      <c r="A629" s="3"/>
      <c r="B629" s="3"/>
      <c r="C629" s="31"/>
      <c r="D629" s="3"/>
      <c r="E629" s="3"/>
      <c r="F629" s="3"/>
      <c r="G629" s="3"/>
      <c r="H629" s="3"/>
      <c r="I629" s="3"/>
      <c r="J629" s="3"/>
      <c r="K629" s="221"/>
      <c r="L629" s="222"/>
      <c r="M629" s="221"/>
      <c r="N629" s="3"/>
      <c r="O629" s="3"/>
      <c r="P629" s="3"/>
      <c r="Q629" s="3"/>
      <c r="R629" s="3"/>
      <c r="S629" s="3"/>
      <c r="T629" s="22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>
      <c r="A630" s="3"/>
      <c r="B630" s="3"/>
      <c r="C630" s="31"/>
      <c r="D630" s="3"/>
      <c r="E630" s="3"/>
      <c r="F630" s="3"/>
      <c r="G630" s="3"/>
      <c r="H630" s="3"/>
      <c r="I630" s="3"/>
      <c r="J630" s="3"/>
      <c r="K630" s="221"/>
      <c r="L630" s="222"/>
      <c r="M630" s="221"/>
      <c r="N630" s="3"/>
      <c r="O630" s="3"/>
      <c r="P630" s="3"/>
      <c r="Q630" s="3"/>
      <c r="R630" s="3"/>
      <c r="S630" s="3"/>
      <c r="T630" s="22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>
      <c r="A631" s="3"/>
      <c r="B631" s="3"/>
      <c r="C631" s="31"/>
      <c r="D631" s="3"/>
      <c r="E631" s="3"/>
      <c r="F631" s="3"/>
      <c r="G631" s="3"/>
      <c r="H631" s="3"/>
      <c r="I631" s="3"/>
      <c r="J631" s="3"/>
      <c r="K631" s="221"/>
      <c r="L631" s="222"/>
      <c r="M631" s="221"/>
      <c r="N631" s="3"/>
      <c r="O631" s="3"/>
      <c r="P631" s="3"/>
      <c r="Q631" s="3"/>
      <c r="R631" s="3"/>
      <c r="S631" s="3"/>
      <c r="T631" s="22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>
      <c r="A632" s="3"/>
      <c r="B632" s="3"/>
      <c r="C632" s="31"/>
      <c r="D632" s="3"/>
      <c r="E632" s="3"/>
      <c r="F632" s="3"/>
      <c r="G632" s="3"/>
      <c r="H632" s="3"/>
      <c r="I632" s="3"/>
      <c r="J632" s="3"/>
      <c r="K632" s="221"/>
      <c r="L632" s="222"/>
      <c r="M632" s="221"/>
      <c r="N632" s="3"/>
      <c r="O632" s="3"/>
      <c r="P632" s="3"/>
      <c r="Q632" s="3"/>
      <c r="R632" s="3"/>
      <c r="S632" s="3"/>
      <c r="T632" s="22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>
      <c r="A633" s="3"/>
      <c r="B633" s="3"/>
      <c r="C633" s="31"/>
      <c r="D633" s="3"/>
      <c r="E633" s="3"/>
      <c r="F633" s="3"/>
      <c r="G633" s="3"/>
      <c r="H633" s="3"/>
      <c r="I633" s="3"/>
      <c r="J633" s="3"/>
      <c r="K633" s="221"/>
      <c r="L633" s="222"/>
      <c r="M633" s="221"/>
      <c r="N633" s="3"/>
      <c r="O633" s="3"/>
      <c r="P633" s="3"/>
      <c r="Q633" s="3"/>
      <c r="R633" s="3"/>
      <c r="S633" s="3"/>
      <c r="T633" s="22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>
      <c r="A634" s="3"/>
      <c r="B634" s="3"/>
      <c r="C634" s="31"/>
      <c r="D634" s="3"/>
      <c r="E634" s="3"/>
      <c r="F634" s="3"/>
      <c r="G634" s="3"/>
      <c r="H634" s="3"/>
      <c r="I634" s="3"/>
      <c r="J634" s="3"/>
      <c r="K634" s="221"/>
      <c r="L634" s="222"/>
      <c r="M634" s="221"/>
      <c r="N634" s="3"/>
      <c r="O634" s="3"/>
      <c r="P634" s="3"/>
      <c r="Q634" s="3"/>
      <c r="R634" s="3"/>
      <c r="S634" s="3"/>
      <c r="T634" s="22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>
      <c r="A635" s="3"/>
      <c r="B635" s="3"/>
      <c r="C635" s="31"/>
      <c r="D635" s="3"/>
      <c r="E635" s="3"/>
      <c r="F635" s="3"/>
      <c r="G635" s="3"/>
      <c r="H635" s="3"/>
      <c r="I635" s="3"/>
      <c r="J635" s="3"/>
      <c r="K635" s="221"/>
      <c r="L635" s="222"/>
      <c r="M635" s="221"/>
      <c r="N635" s="3"/>
      <c r="O635" s="3"/>
      <c r="P635" s="3"/>
      <c r="Q635" s="3"/>
      <c r="R635" s="3"/>
      <c r="S635" s="3"/>
      <c r="T635" s="22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>
      <c r="A636" s="3"/>
      <c r="B636" s="3"/>
      <c r="C636" s="31"/>
      <c r="D636" s="3"/>
      <c r="E636" s="3"/>
      <c r="F636" s="3"/>
      <c r="G636" s="3"/>
      <c r="H636" s="3"/>
      <c r="I636" s="3"/>
      <c r="J636" s="3"/>
      <c r="K636" s="221"/>
      <c r="L636" s="222"/>
      <c r="M636" s="221"/>
      <c r="N636" s="3"/>
      <c r="O636" s="3"/>
      <c r="P636" s="3"/>
      <c r="Q636" s="3"/>
      <c r="R636" s="3"/>
      <c r="S636" s="3"/>
      <c r="T636" s="22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>
      <c r="A637" s="3"/>
      <c r="B637" s="3"/>
      <c r="C637" s="31"/>
      <c r="D637" s="3"/>
      <c r="E637" s="3"/>
      <c r="F637" s="3"/>
      <c r="G637" s="3"/>
      <c r="H637" s="3"/>
      <c r="I637" s="3"/>
      <c r="J637" s="3"/>
      <c r="K637" s="221"/>
      <c r="L637" s="222"/>
      <c r="M637" s="221"/>
      <c r="N637" s="3"/>
      <c r="O637" s="3"/>
      <c r="P637" s="3"/>
      <c r="Q637" s="3"/>
      <c r="R637" s="3"/>
      <c r="S637" s="3"/>
      <c r="T637" s="22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>
      <c r="A638" s="3"/>
      <c r="B638" s="3"/>
      <c r="C638" s="31"/>
      <c r="D638" s="3"/>
      <c r="E638" s="3"/>
      <c r="F638" s="3"/>
      <c r="G638" s="3"/>
      <c r="H638" s="3"/>
      <c r="I638" s="3"/>
      <c r="J638" s="3"/>
      <c r="K638" s="221"/>
      <c r="L638" s="222"/>
      <c r="M638" s="221"/>
      <c r="N638" s="3"/>
      <c r="O638" s="3"/>
      <c r="P638" s="3"/>
      <c r="Q638" s="3"/>
      <c r="R638" s="3"/>
      <c r="S638" s="3"/>
      <c r="T638" s="22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>
      <c r="A639" s="3"/>
      <c r="B639" s="3"/>
      <c r="C639" s="31"/>
      <c r="D639" s="3"/>
      <c r="E639" s="3"/>
      <c r="F639" s="3"/>
      <c r="G639" s="3"/>
      <c r="H639" s="3"/>
      <c r="I639" s="3"/>
      <c r="J639" s="3"/>
      <c r="K639" s="221"/>
      <c r="L639" s="222"/>
      <c r="M639" s="221"/>
      <c r="N639" s="3"/>
      <c r="O639" s="3"/>
      <c r="P639" s="3"/>
      <c r="Q639" s="3"/>
      <c r="R639" s="3"/>
      <c r="S639" s="3"/>
      <c r="T639" s="22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>
      <c r="A640" s="3"/>
      <c r="B640" s="3"/>
      <c r="C640" s="31"/>
      <c r="D640" s="3"/>
      <c r="E640" s="3"/>
      <c r="F640" s="3"/>
      <c r="G640" s="3"/>
      <c r="H640" s="3"/>
      <c r="I640" s="3"/>
      <c r="J640" s="3"/>
      <c r="K640" s="221"/>
      <c r="L640" s="222"/>
      <c r="M640" s="221"/>
      <c r="N640" s="3"/>
      <c r="O640" s="3"/>
      <c r="P640" s="3"/>
      <c r="Q640" s="3"/>
      <c r="R640" s="3"/>
      <c r="S640" s="3"/>
      <c r="T640" s="22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>
      <c r="A641" s="3"/>
      <c r="B641" s="3"/>
      <c r="C641" s="31"/>
      <c r="D641" s="3"/>
      <c r="E641" s="3"/>
      <c r="F641" s="3"/>
      <c r="G641" s="3"/>
      <c r="H641" s="3"/>
      <c r="I641" s="3"/>
      <c r="J641" s="3"/>
      <c r="K641" s="221"/>
      <c r="L641" s="222"/>
      <c r="M641" s="221"/>
      <c r="N641" s="3"/>
      <c r="O641" s="3"/>
      <c r="P641" s="3"/>
      <c r="Q641" s="3"/>
      <c r="R641" s="3"/>
      <c r="S641" s="3"/>
      <c r="T641" s="22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>
      <c r="A642" s="3"/>
      <c r="B642" s="3"/>
      <c r="C642" s="31"/>
      <c r="D642" s="3"/>
      <c r="E642" s="3"/>
      <c r="F642" s="3"/>
      <c r="G642" s="3"/>
      <c r="H642" s="3"/>
      <c r="I642" s="3"/>
      <c r="J642" s="3"/>
      <c r="K642" s="221"/>
      <c r="L642" s="222"/>
      <c r="M642" s="221"/>
      <c r="N642" s="3"/>
      <c r="O642" s="3"/>
      <c r="P642" s="3"/>
      <c r="Q642" s="3"/>
      <c r="R642" s="3"/>
      <c r="S642" s="3"/>
      <c r="T642" s="22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>
      <c r="A643" s="3"/>
      <c r="B643" s="3"/>
      <c r="C643" s="31"/>
      <c r="D643" s="3"/>
      <c r="E643" s="3"/>
      <c r="F643" s="3"/>
      <c r="G643" s="3"/>
      <c r="H643" s="3"/>
      <c r="I643" s="3"/>
      <c r="J643" s="3"/>
      <c r="K643" s="221"/>
      <c r="L643" s="222"/>
      <c r="M643" s="221"/>
      <c r="N643" s="3"/>
      <c r="O643" s="3"/>
      <c r="P643" s="3"/>
      <c r="Q643" s="3"/>
      <c r="R643" s="3"/>
      <c r="S643" s="3"/>
      <c r="T643" s="22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>
      <c r="A644" s="3"/>
      <c r="B644" s="3"/>
      <c r="C644" s="31"/>
      <c r="D644" s="3"/>
      <c r="E644" s="3"/>
      <c r="F644" s="3"/>
      <c r="G644" s="3"/>
      <c r="H644" s="3"/>
      <c r="I644" s="3"/>
      <c r="J644" s="3"/>
      <c r="K644" s="221"/>
      <c r="L644" s="222"/>
      <c r="M644" s="221"/>
      <c r="N644" s="3"/>
      <c r="O644" s="3"/>
      <c r="P644" s="3"/>
      <c r="Q644" s="3"/>
      <c r="R644" s="3"/>
      <c r="S644" s="3"/>
      <c r="T644" s="22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>
      <c r="A645" s="3"/>
      <c r="B645" s="3"/>
      <c r="C645" s="31"/>
      <c r="D645" s="3"/>
      <c r="E645" s="3"/>
      <c r="F645" s="3"/>
      <c r="G645" s="3"/>
      <c r="H645" s="3"/>
      <c r="I645" s="3"/>
      <c r="J645" s="3"/>
      <c r="K645" s="221"/>
      <c r="L645" s="222"/>
      <c r="M645" s="221"/>
      <c r="N645" s="3"/>
      <c r="O645" s="3"/>
      <c r="P645" s="3"/>
      <c r="Q645" s="3"/>
      <c r="R645" s="3"/>
      <c r="S645" s="3"/>
      <c r="T645" s="22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>
      <c r="A646" s="3"/>
      <c r="B646" s="3"/>
      <c r="C646" s="31"/>
      <c r="D646" s="3"/>
      <c r="E646" s="3"/>
      <c r="F646" s="3"/>
      <c r="G646" s="3"/>
      <c r="H646" s="3"/>
      <c r="I646" s="3"/>
      <c r="J646" s="3"/>
      <c r="K646" s="221"/>
      <c r="L646" s="222"/>
      <c r="M646" s="221"/>
      <c r="N646" s="3"/>
      <c r="O646" s="3"/>
      <c r="P646" s="3"/>
      <c r="Q646" s="3"/>
      <c r="R646" s="3"/>
      <c r="S646" s="3"/>
      <c r="T646" s="22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>
      <c r="A647" s="3"/>
      <c r="B647" s="3"/>
      <c r="C647" s="31"/>
      <c r="D647" s="3"/>
      <c r="E647" s="3"/>
      <c r="F647" s="3"/>
      <c r="G647" s="3"/>
      <c r="H647" s="3"/>
      <c r="I647" s="3"/>
      <c r="J647" s="3"/>
      <c r="K647" s="221"/>
      <c r="L647" s="222"/>
      <c r="M647" s="221"/>
      <c r="N647" s="3"/>
      <c r="O647" s="3"/>
      <c r="P647" s="3"/>
      <c r="Q647" s="3"/>
      <c r="R647" s="3"/>
      <c r="S647" s="3"/>
      <c r="T647" s="22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>
      <c r="A648" s="3"/>
      <c r="B648" s="3"/>
      <c r="C648" s="31"/>
      <c r="D648" s="3"/>
      <c r="E648" s="3"/>
      <c r="F648" s="3"/>
      <c r="G648" s="3"/>
      <c r="H648" s="3"/>
      <c r="I648" s="3"/>
      <c r="J648" s="3"/>
      <c r="K648" s="221"/>
      <c r="L648" s="222"/>
      <c r="M648" s="221"/>
      <c r="N648" s="3"/>
      <c r="O648" s="3"/>
      <c r="P648" s="3"/>
      <c r="Q648" s="3"/>
      <c r="R648" s="3"/>
      <c r="S648" s="3"/>
      <c r="T648" s="22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>
      <c r="A649" s="3"/>
      <c r="B649" s="3"/>
      <c r="C649" s="31"/>
      <c r="D649" s="3"/>
      <c r="E649" s="3"/>
      <c r="F649" s="3"/>
      <c r="G649" s="3"/>
      <c r="H649" s="3"/>
      <c r="I649" s="3"/>
      <c r="J649" s="3"/>
      <c r="K649" s="221"/>
      <c r="L649" s="222"/>
      <c r="M649" s="221"/>
      <c r="N649" s="3"/>
      <c r="O649" s="3"/>
      <c r="P649" s="3"/>
      <c r="Q649" s="3"/>
      <c r="R649" s="3"/>
      <c r="S649" s="3"/>
      <c r="T649" s="22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>
      <c r="A650" s="3"/>
      <c r="B650" s="3"/>
      <c r="C650" s="31"/>
      <c r="D650" s="3"/>
      <c r="E650" s="3"/>
      <c r="F650" s="3"/>
      <c r="G650" s="3"/>
      <c r="H650" s="3"/>
      <c r="I650" s="3"/>
      <c r="J650" s="3"/>
      <c r="K650" s="221"/>
      <c r="L650" s="222"/>
      <c r="M650" s="221"/>
      <c r="N650" s="3"/>
      <c r="O650" s="3"/>
      <c r="P650" s="3"/>
      <c r="Q650" s="3"/>
      <c r="R650" s="3"/>
      <c r="S650" s="3"/>
      <c r="T650" s="22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>
      <c r="A651" s="3"/>
      <c r="B651" s="3"/>
      <c r="C651" s="31"/>
      <c r="D651" s="3"/>
      <c r="E651" s="3"/>
      <c r="F651" s="3"/>
      <c r="G651" s="3"/>
      <c r="H651" s="3"/>
      <c r="I651" s="3"/>
      <c r="J651" s="3"/>
      <c r="K651" s="221"/>
      <c r="L651" s="222"/>
      <c r="M651" s="221"/>
      <c r="N651" s="3"/>
      <c r="O651" s="3"/>
      <c r="P651" s="3"/>
      <c r="Q651" s="3"/>
      <c r="R651" s="3"/>
      <c r="S651" s="3"/>
      <c r="T651" s="22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>
      <c r="A652" s="3"/>
      <c r="B652" s="3"/>
      <c r="C652" s="31"/>
      <c r="D652" s="3"/>
      <c r="E652" s="3"/>
      <c r="F652" s="3"/>
      <c r="G652" s="3"/>
      <c r="H652" s="3"/>
      <c r="I652" s="3"/>
      <c r="J652" s="3"/>
      <c r="K652" s="221"/>
      <c r="L652" s="222"/>
      <c r="M652" s="221"/>
      <c r="N652" s="3"/>
      <c r="O652" s="3"/>
      <c r="P652" s="3"/>
      <c r="Q652" s="3"/>
      <c r="R652" s="3"/>
      <c r="S652" s="3"/>
      <c r="T652" s="22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>
      <c r="A653" s="3"/>
      <c r="B653" s="3"/>
      <c r="C653" s="31"/>
      <c r="D653" s="3"/>
      <c r="E653" s="3"/>
      <c r="F653" s="3"/>
      <c r="G653" s="3"/>
      <c r="H653" s="3"/>
      <c r="I653" s="3"/>
      <c r="J653" s="3"/>
      <c r="K653" s="221"/>
      <c r="L653" s="222"/>
      <c r="M653" s="221"/>
      <c r="N653" s="3"/>
      <c r="O653" s="3"/>
      <c r="P653" s="3"/>
      <c r="Q653" s="3"/>
      <c r="R653" s="3"/>
      <c r="S653" s="3"/>
      <c r="T653" s="22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>
      <c r="A654" s="3"/>
      <c r="B654" s="3"/>
      <c r="C654" s="31"/>
      <c r="D654" s="3"/>
      <c r="E654" s="3"/>
      <c r="F654" s="3"/>
      <c r="G654" s="3"/>
      <c r="H654" s="3"/>
      <c r="I654" s="3"/>
      <c r="J654" s="3"/>
      <c r="K654" s="221"/>
      <c r="L654" s="222"/>
      <c r="M654" s="221"/>
      <c r="N654" s="3"/>
      <c r="O654" s="3"/>
      <c r="P654" s="3"/>
      <c r="Q654" s="3"/>
      <c r="R654" s="3"/>
      <c r="S654" s="3"/>
      <c r="T654" s="22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>
      <c r="A655" s="3"/>
      <c r="B655" s="3"/>
      <c r="C655" s="31"/>
      <c r="D655" s="3"/>
      <c r="E655" s="3"/>
      <c r="F655" s="3"/>
      <c r="G655" s="3"/>
      <c r="H655" s="3"/>
      <c r="I655" s="3"/>
      <c r="J655" s="3"/>
      <c r="K655" s="221"/>
      <c r="L655" s="222"/>
      <c r="M655" s="221"/>
      <c r="N655" s="3"/>
      <c r="O655" s="3"/>
      <c r="P655" s="3"/>
      <c r="Q655" s="3"/>
      <c r="R655" s="3"/>
      <c r="S655" s="3"/>
      <c r="T655" s="22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>
      <c r="A656" s="3"/>
      <c r="B656" s="3"/>
      <c r="C656" s="31"/>
      <c r="D656" s="3"/>
      <c r="E656" s="3"/>
      <c r="F656" s="3"/>
      <c r="G656" s="3"/>
      <c r="H656" s="3"/>
      <c r="I656" s="3"/>
      <c r="J656" s="3"/>
      <c r="K656" s="221"/>
      <c r="L656" s="222"/>
      <c r="M656" s="221"/>
      <c r="N656" s="3"/>
      <c r="O656" s="3"/>
      <c r="P656" s="3"/>
      <c r="Q656" s="3"/>
      <c r="R656" s="3"/>
      <c r="S656" s="3"/>
      <c r="T656" s="22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>
      <c r="A657" s="3"/>
      <c r="B657" s="3"/>
      <c r="C657" s="31"/>
      <c r="D657" s="3"/>
      <c r="E657" s="3"/>
      <c r="F657" s="3"/>
      <c r="G657" s="3"/>
      <c r="H657" s="3"/>
      <c r="I657" s="3"/>
      <c r="J657" s="3"/>
      <c r="K657" s="221"/>
      <c r="L657" s="222"/>
      <c r="M657" s="221"/>
      <c r="N657" s="3"/>
      <c r="O657" s="3"/>
      <c r="P657" s="3"/>
      <c r="Q657" s="3"/>
      <c r="R657" s="3"/>
      <c r="S657" s="3"/>
      <c r="T657" s="22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>
      <c r="A658" s="3"/>
      <c r="B658" s="3"/>
      <c r="C658" s="31"/>
      <c r="D658" s="3"/>
      <c r="E658" s="3"/>
      <c r="F658" s="3"/>
      <c r="G658" s="3"/>
      <c r="H658" s="3"/>
      <c r="I658" s="3"/>
      <c r="J658" s="3"/>
      <c r="K658" s="221"/>
      <c r="L658" s="222"/>
      <c r="M658" s="221"/>
      <c r="N658" s="3"/>
      <c r="O658" s="3"/>
      <c r="P658" s="3"/>
      <c r="Q658" s="3"/>
      <c r="R658" s="3"/>
      <c r="S658" s="3"/>
      <c r="T658" s="22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>
      <c r="A659" s="3"/>
      <c r="B659" s="3"/>
      <c r="C659" s="31"/>
      <c r="D659" s="3"/>
      <c r="E659" s="3"/>
      <c r="F659" s="3"/>
      <c r="G659" s="3"/>
      <c r="H659" s="3"/>
      <c r="I659" s="3"/>
      <c r="J659" s="3"/>
      <c r="K659" s="221"/>
      <c r="L659" s="222"/>
      <c r="M659" s="221"/>
      <c r="N659" s="3"/>
      <c r="O659" s="3"/>
      <c r="P659" s="3"/>
      <c r="Q659" s="3"/>
      <c r="R659" s="3"/>
      <c r="S659" s="3"/>
      <c r="T659" s="22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>
      <c r="A660" s="3"/>
      <c r="B660" s="3"/>
      <c r="C660" s="31"/>
      <c r="D660" s="3"/>
      <c r="E660" s="3"/>
      <c r="F660" s="3"/>
      <c r="G660" s="3"/>
      <c r="H660" s="3"/>
      <c r="I660" s="3"/>
      <c r="J660" s="3"/>
      <c r="K660" s="221"/>
      <c r="L660" s="222"/>
      <c r="M660" s="221"/>
      <c r="N660" s="3"/>
      <c r="O660" s="3"/>
      <c r="P660" s="3"/>
      <c r="Q660" s="3"/>
      <c r="R660" s="3"/>
      <c r="S660" s="3"/>
      <c r="T660" s="22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>
      <c r="A661" s="3"/>
      <c r="B661" s="3"/>
      <c r="C661" s="31"/>
      <c r="D661" s="3"/>
      <c r="E661" s="3"/>
      <c r="F661" s="3"/>
      <c r="G661" s="3"/>
      <c r="H661" s="3"/>
      <c r="I661" s="3"/>
      <c r="J661" s="3"/>
      <c r="K661" s="221"/>
      <c r="L661" s="222"/>
      <c r="M661" s="221"/>
      <c r="N661" s="3"/>
      <c r="O661" s="3"/>
      <c r="P661" s="3"/>
      <c r="Q661" s="3"/>
      <c r="R661" s="3"/>
      <c r="S661" s="3"/>
      <c r="T661" s="22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>
      <c r="A662" s="3"/>
      <c r="B662" s="3"/>
      <c r="C662" s="31"/>
      <c r="D662" s="3"/>
      <c r="E662" s="3"/>
      <c r="F662" s="3"/>
      <c r="G662" s="3"/>
      <c r="H662" s="3"/>
      <c r="I662" s="3"/>
      <c r="J662" s="3"/>
      <c r="K662" s="221"/>
      <c r="L662" s="222"/>
      <c r="M662" s="221"/>
      <c r="N662" s="3"/>
      <c r="O662" s="3"/>
      <c r="P662" s="3"/>
      <c r="Q662" s="3"/>
      <c r="R662" s="3"/>
      <c r="S662" s="3"/>
      <c r="T662" s="22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>
      <c r="A663" s="3"/>
      <c r="B663" s="3"/>
      <c r="C663" s="31"/>
      <c r="D663" s="3"/>
      <c r="E663" s="3"/>
      <c r="F663" s="3"/>
      <c r="G663" s="3"/>
      <c r="H663" s="3"/>
      <c r="I663" s="3"/>
      <c r="J663" s="3"/>
      <c r="K663" s="221"/>
      <c r="L663" s="222"/>
      <c r="M663" s="221"/>
      <c r="N663" s="3"/>
      <c r="O663" s="3"/>
      <c r="P663" s="3"/>
      <c r="Q663" s="3"/>
      <c r="R663" s="3"/>
      <c r="S663" s="3"/>
      <c r="T663" s="22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>
      <c r="A664" s="3"/>
      <c r="B664" s="3"/>
      <c r="C664" s="31"/>
      <c r="D664" s="3"/>
      <c r="E664" s="3"/>
      <c r="F664" s="3"/>
      <c r="G664" s="3"/>
      <c r="H664" s="3"/>
      <c r="I664" s="3"/>
      <c r="J664" s="3"/>
      <c r="K664" s="221"/>
      <c r="L664" s="222"/>
      <c r="M664" s="221"/>
      <c r="N664" s="3"/>
      <c r="O664" s="3"/>
      <c r="P664" s="3"/>
      <c r="Q664" s="3"/>
      <c r="R664" s="3"/>
      <c r="S664" s="3"/>
      <c r="T664" s="22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>
      <c r="A665" s="3"/>
      <c r="B665" s="3"/>
      <c r="C665" s="31"/>
      <c r="D665" s="3"/>
      <c r="E665" s="3"/>
      <c r="F665" s="3"/>
      <c r="G665" s="3"/>
      <c r="H665" s="3"/>
      <c r="I665" s="3"/>
      <c r="J665" s="3"/>
      <c r="K665" s="221"/>
      <c r="L665" s="222"/>
      <c r="M665" s="221"/>
      <c r="N665" s="3"/>
      <c r="O665" s="3"/>
      <c r="P665" s="3"/>
      <c r="Q665" s="3"/>
      <c r="R665" s="3"/>
      <c r="S665" s="3"/>
      <c r="T665" s="22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>
      <c r="A666" s="3"/>
      <c r="B666" s="3"/>
      <c r="C666" s="31"/>
      <c r="D666" s="3"/>
      <c r="E666" s="3"/>
      <c r="F666" s="3"/>
      <c r="G666" s="3"/>
      <c r="H666" s="3"/>
      <c r="I666" s="3"/>
      <c r="J666" s="3"/>
      <c r="K666" s="221"/>
      <c r="L666" s="222"/>
      <c r="M666" s="221"/>
      <c r="N666" s="3"/>
      <c r="O666" s="3"/>
      <c r="P666" s="3"/>
      <c r="Q666" s="3"/>
      <c r="R666" s="3"/>
      <c r="S666" s="3"/>
      <c r="T666" s="22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>
      <c r="A667" s="3"/>
      <c r="B667" s="3"/>
      <c r="C667" s="31"/>
      <c r="D667" s="3"/>
      <c r="E667" s="3"/>
      <c r="F667" s="3"/>
      <c r="G667" s="3"/>
      <c r="H667" s="3"/>
      <c r="I667" s="3"/>
      <c r="J667" s="3"/>
      <c r="K667" s="221"/>
      <c r="L667" s="222"/>
      <c r="M667" s="221"/>
      <c r="N667" s="3"/>
      <c r="O667" s="3"/>
      <c r="P667" s="3"/>
      <c r="Q667" s="3"/>
      <c r="R667" s="3"/>
      <c r="S667" s="3"/>
      <c r="T667" s="22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>
      <c r="A668" s="3"/>
      <c r="B668" s="3"/>
      <c r="C668" s="31"/>
      <c r="D668" s="3"/>
      <c r="E668" s="3"/>
      <c r="F668" s="3"/>
      <c r="G668" s="3"/>
      <c r="H668" s="3"/>
      <c r="I668" s="3"/>
      <c r="J668" s="3"/>
      <c r="K668" s="221"/>
      <c r="L668" s="222"/>
      <c r="M668" s="221"/>
      <c r="N668" s="3"/>
      <c r="O668" s="3"/>
      <c r="P668" s="3"/>
      <c r="Q668" s="3"/>
      <c r="R668" s="3"/>
      <c r="S668" s="3"/>
      <c r="T668" s="22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>
      <c r="A669" s="3"/>
      <c r="B669" s="3"/>
      <c r="C669" s="31"/>
      <c r="D669" s="3"/>
      <c r="E669" s="3"/>
      <c r="F669" s="3"/>
      <c r="G669" s="3"/>
      <c r="H669" s="3"/>
      <c r="I669" s="3"/>
      <c r="J669" s="3"/>
      <c r="K669" s="221"/>
      <c r="L669" s="222"/>
      <c r="M669" s="221"/>
      <c r="N669" s="3"/>
      <c r="O669" s="3"/>
      <c r="P669" s="3"/>
      <c r="Q669" s="3"/>
      <c r="R669" s="3"/>
      <c r="S669" s="3"/>
      <c r="T669" s="22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>
      <c r="A670" s="3"/>
      <c r="B670" s="3"/>
      <c r="C670" s="31"/>
      <c r="D670" s="3"/>
      <c r="E670" s="3"/>
      <c r="F670" s="3"/>
      <c r="G670" s="3"/>
      <c r="H670" s="3"/>
      <c r="I670" s="3"/>
      <c r="J670" s="3"/>
      <c r="K670" s="221"/>
      <c r="L670" s="222"/>
      <c r="M670" s="221"/>
      <c r="N670" s="3"/>
      <c r="O670" s="3"/>
      <c r="P670" s="3"/>
      <c r="Q670" s="3"/>
      <c r="R670" s="3"/>
      <c r="S670" s="3"/>
      <c r="T670" s="22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>
      <c r="A671" s="3"/>
      <c r="B671" s="3"/>
      <c r="C671" s="31"/>
      <c r="D671" s="3"/>
      <c r="E671" s="3"/>
      <c r="F671" s="3"/>
      <c r="G671" s="3"/>
      <c r="H671" s="3"/>
      <c r="I671" s="3"/>
      <c r="J671" s="3"/>
      <c r="K671" s="221"/>
      <c r="L671" s="222"/>
      <c r="M671" s="221"/>
      <c r="N671" s="3"/>
      <c r="O671" s="3"/>
      <c r="P671" s="3"/>
      <c r="Q671" s="3"/>
      <c r="R671" s="3"/>
      <c r="S671" s="3"/>
      <c r="T671" s="22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>
      <c r="A672" s="3"/>
      <c r="B672" s="3"/>
      <c r="C672" s="31"/>
      <c r="D672" s="3"/>
      <c r="E672" s="3"/>
      <c r="F672" s="3"/>
      <c r="G672" s="3"/>
      <c r="H672" s="3"/>
      <c r="I672" s="3"/>
      <c r="J672" s="3"/>
      <c r="K672" s="221"/>
      <c r="L672" s="222"/>
      <c r="M672" s="221"/>
      <c r="N672" s="3"/>
      <c r="O672" s="3"/>
      <c r="P672" s="3"/>
      <c r="Q672" s="3"/>
      <c r="R672" s="3"/>
      <c r="S672" s="3"/>
      <c r="T672" s="22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>
      <c r="A673" s="3"/>
      <c r="B673" s="3"/>
      <c r="C673" s="31"/>
      <c r="D673" s="3"/>
      <c r="E673" s="3"/>
      <c r="F673" s="3"/>
      <c r="G673" s="3"/>
      <c r="H673" s="3"/>
      <c r="I673" s="3"/>
      <c r="J673" s="3"/>
      <c r="K673" s="221"/>
      <c r="L673" s="222"/>
      <c r="M673" s="221"/>
      <c r="N673" s="3"/>
      <c r="O673" s="3"/>
      <c r="P673" s="3"/>
      <c r="Q673" s="3"/>
      <c r="R673" s="3"/>
      <c r="S673" s="3"/>
      <c r="T673" s="22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>
      <c r="A674" s="3"/>
      <c r="B674" s="3"/>
      <c r="C674" s="31"/>
      <c r="D674" s="3"/>
      <c r="E674" s="3"/>
      <c r="F674" s="3"/>
      <c r="G674" s="3"/>
      <c r="H674" s="3"/>
      <c r="I674" s="3"/>
      <c r="J674" s="3"/>
      <c r="K674" s="221"/>
      <c r="L674" s="222"/>
      <c r="M674" s="221"/>
      <c r="N674" s="3"/>
      <c r="O674" s="3"/>
      <c r="P674" s="3"/>
      <c r="Q674" s="3"/>
      <c r="R674" s="3"/>
      <c r="S674" s="3"/>
      <c r="T674" s="22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>
      <c r="A675" s="3"/>
      <c r="B675" s="3"/>
      <c r="C675" s="31"/>
      <c r="D675" s="3"/>
      <c r="E675" s="3"/>
      <c r="F675" s="3"/>
      <c r="G675" s="3"/>
      <c r="H675" s="3"/>
      <c r="I675" s="3"/>
      <c r="J675" s="3"/>
      <c r="K675" s="221"/>
      <c r="L675" s="222"/>
      <c r="M675" s="221"/>
      <c r="N675" s="3"/>
      <c r="O675" s="3"/>
      <c r="P675" s="3"/>
      <c r="Q675" s="3"/>
      <c r="R675" s="3"/>
      <c r="S675" s="3"/>
      <c r="T675" s="22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>
      <c r="A676" s="3"/>
      <c r="B676" s="3"/>
      <c r="C676" s="31"/>
      <c r="D676" s="3"/>
      <c r="E676" s="3"/>
      <c r="F676" s="3"/>
      <c r="G676" s="3"/>
      <c r="H676" s="3"/>
      <c r="I676" s="3"/>
      <c r="J676" s="3"/>
      <c r="K676" s="221"/>
      <c r="L676" s="222"/>
      <c r="M676" s="221"/>
      <c r="N676" s="3"/>
      <c r="O676" s="3"/>
      <c r="P676" s="3"/>
      <c r="Q676" s="3"/>
      <c r="R676" s="3"/>
      <c r="S676" s="3"/>
      <c r="T676" s="22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>
      <c r="A677" s="3"/>
      <c r="B677" s="3"/>
      <c r="C677" s="31"/>
      <c r="D677" s="3"/>
      <c r="E677" s="3"/>
      <c r="F677" s="3"/>
      <c r="G677" s="3"/>
      <c r="H677" s="3"/>
      <c r="I677" s="3"/>
      <c r="J677" s="3"/>
      <c r="K677" s="221"/>
      <c r="L677" s="222"/>
      <c r="M677" s="221"/>
      <c r="N677" s="3"/>
      <c r="O677" s="3"/>
      <c r="P677" s="3"/>
      <c r="Q677" s="3"/>
      <c r="R677" s="3"/>
      <c r="S677" s="3"/>
      <c r="T677" s="22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>
      <c r="A678" s="3"/>
      <c r="B678" s="3"/>
      <c r="C678" s="31"/>
      <c r="D678" s="3"/>
      <c r="E678" s="3"/>
      <c r="F678" s="3"/>
      <c r="G678" s="3"/>
      <c r="H678" s="3"/>
      <c r="I678" s="3"/>
      <c r="J678" s="3"/>
      <c r="K678" s="221"/>
      <c r="L678" s="222"/>
      <c r="M678" s="221"/>
      <c r="N678" s="3"/>
      <c r="O678" s="3"/>
      <c r="P678" s="3"/>
      <c r="Q678" s="3"/>
      <c r="R678" s="3"/>
      <c r="S678" s="3"/>
      <c r="T678" s="22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>
      <c r="A679" s="3"/>
      <c r="B679" s="3"/>
      <c r="C679" s="31"/>
      <c r="D679" s="3"/>
      <c r="E679" s="3"/>
      <c r="F679" s="3"/>
      <c r="G679" s="3"/>
      <c r="H679" s="3"/>
      <c r="I679" s="3"/>
      <c r="J679" s="3"/>
      <c r="K679" s="221"/>
      <c r="L679" s="222"/>
      <c r="M679" s="221"/>
      <c r="N679" s="3"/>
      <c r="O679" s="3"/>
      <c r="P679" s="3"/>
      <c r="Q679" s="3"/>
      <c r="R679" s="3"/>
      <c r="S679" s="3"/>
      <c r="T679" s="22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>
      <c r="A680" s="3"/>
      <c r="B680" s="3"/>
      <c r="C680" s="31"/>
      <c r="D680" s="3"/>
      <c r="E680" s="3"/>
      <c r="F680" s="3"/>
      <c r="G680" s="3"/>
      <c r="H680" s="3"/>
      <c r="I680" s="3"/>
      <c r="J680" s="3"/>
      <c r="K680" s="221"/>
      <c r="L680" s="222"/>
      <c r="M680" s="221"/>
      <c r="N680" s="3"/>
      <c r="O680" s="3"/>
      <c r="P680" s="3"/>
      <c r="Q680" s="3"/>
      <c r="R680" s="3"/>
      <c r="S680" s="3"/>
      <c r="T680" s="22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>
      <c r="A681" s="3"/>
      <c r="B681" s="3"/>
      <c r="C681" s="31"/>
      <c r="D681" s="3"/>
      <c r="E681" s="3"/>
      <c r="F681" s="3"/>
      <c r="G681" s="3"/>
      <c r="H681" s="3"/>
      <c r="I681" s="3"/>
      <c r="J681" s="3"/>
      <c r="K681" s="221"/>
      <c r="L681" s="222"/>
      <c r="M681" s="221"/>
      <c r="N681" s="3"/>
      <c r="O681" s="3"/>
      <c r="P681" s="3"/>
      <c r="Q681" s="3"/>
      <c r="R681" s="3"/>
      <c r="S681" s="3"/>
      <c r="T681" s="22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>
      <c r="A682" s="3"/>
      <c r="B682" s="3"/>
      <c r="C682" s="31"/>
      <c r="D682" s="3"/>
      <c r="E682" s="3"/>
      <c r="F682" s="3"/>
      <c r="G682" s="3"/>
      <c r="H682" s="3"/>
      <c r="I682" s="3"/>
      <c r="J682" s="3"/>
      <c r="K682" s="221"/>
      <c r="L682" s="222"/>
      <c r="M682" s="221"/>
      <c r="N682" s="3"/>
      <c r="O682" s="3"/>
      <c r="P682" s="3"/>
      <c r="Q682" s="3"/>
      <c r="R682" s="3"/>
      <c r="S682" s="3"/>
      <c r="T682" s="22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>
      <c r="A683" s="3"/>
      <c r="B683" s="3"/>
      <c r="C683" s="31"/>
      <c r="D683" s="3"/>
      <c r="E683" s="3"/>
      <c r="F683" s="3"/>
      <c r="G683" s="3"/>
      <c r="H683" s="3"/>
      <c r="I683" s="3"/>
      <c r="J683" s="3"/>
      <c r="K683" s="221"/>
      <c r="L683" s="222"/>
      <c r="M683" s="221"/>
      <c r="N683" s="3"/>
      <c r="O683" s="3"/>
      <c r="P683" s="3"/>
      <c r="Q683" s="3"/>
      <c r="R683" s="3"/>
      <c r="S683" s="3"/>
      <c r="T683" s="22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>
      <c r="A684" s="3"/>
      <c r="B684" s="3"/>
      <c r="C684" s="31"/>
      <c r="D684" s="3"/>
      <c r="E684" s="3"/>
      <c r="F684" s="3"/>
      <c r="G684" s="3"/>
      <c r="H684" s="3"/>
      <c r="I684" s="3"/>
      <c r="J684" s="3"/>
      <c r="K684" s="221"/>
      <c r="L684" s="222"/>
      <c r="M684" s="221"/>
      <c r="N684" s="3"/>
      <c r="O684" s="3"/>
      <c r="P684" s="3"/>
      <c r="Q684" s="3"/>
      <c r="R684" s="3"/>
      <c r="S684" s="3"/>
      <c r="T684" s="22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>
      <c r="A685" s="3"/>
      <c r="B685" s="3"/>
      <c r="C685" s="31"/>
      <c r="D685" s="3"/>
      <c r="E685" s="3"/>
      <c r="F685" s="3"/>
      <c r="G685" s="3"/>
      <c r="H685" s="3"/>
      <c r="I685" s="3"/>
      <c r="J685" s="3"/>
      <c r="K685" s="221"/>
      <c r="L685" s="222"/>
      <c r="M685" s="221"/>
      <c r="N685" s="3"/>
      <c r="O685" s="3"/>
      <c r="P685" s="3"/>
      <c r="Q685" s="3"/>
      <c r="R685" s="3"/>
      <c r="S685" s="3"/>
      <c r="T685" s="22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>
      <c r="A686" s="3"/>
      <c r="B686" s="3"/>
      <c r="C686" s="31"/>
      <c r="D686" s="3"/>
      <c r="E686" s="3"/>
      <c r="F686" s="3"/>
      <c r="G686" s="3"/>
      <c r="H686" s="3"/>
      <c r="I686" s="3"/>
      <c r="J686" s="3"/>
      <c r="K686" s="221"/>
      <c r="L686" s="222"/>
      <c r="M686" s="221"/>
      <c r="N686" s="3"/>
      <c r="O686" s="3"/>
      <c r="P686" s="3"/>
      <c r="Q686" s="3"/>
      <c r="R686" s="3"/>
      <c r="S686" s="3"/>
      <c r="T686" s="22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>
      <c r="A687" s="3"/>
      <c r="B687" s="3"/>
      <c r="C687" s="31"/>
      <c r="D687" s="3"/>
      <c r="E687" s="3"/>
      <c r="F687" s="3"/>
      <c r="G687" s="3"/>
      <c r="H687" s="3"/>
      <c r="I687" s="3"/>
      <c r="J687" s="3"/>
      <c r="K687" s="221"/>
      <c r="L687" s="222"/>
      <c r="M687" s="221"/>
      <c r="N687" s="3"/>
      <c r="O687" s="3"/>
      <c r="P687" s="3"/>
      <c r="Q687" s="3"/>
      <c r="R687" s="3"/>
      <c r="S687" s="3"/>
      <c r="T687" s="22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>
      <c r="A688" s="3"/>
      <c r="B688" s="3"/>
      <c r="C688" s="31"/>
      <c r="D688" s="3"/>
      <c r="E688" s="3"/>
      <c r="F688" s="3"/>
      <c r="G688" s="3"/>
      <c r="H688" s="3"/>
      <c r="I688" s="3"/>
      <c r="J688" s="3"/>
      <c r="K688" s="221"/>
      <c r="L688" s="222"/>
      <c r="M688" s="221"/>
      <c r="N688" s="3"/>
      <c r="O688" s="3"/>
      <c r="P688" s="3"/>
      <c r="Q688" s="3"/>
      <c r="R688" s="3"/>
      <c r="S688" s="3"/>
      <c r="T688" s="22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>
      <c r="A689" s="3"/>
      <c r="B689" s="3"/>
      <c r="C689" s="31"/>
      <c r="D689" s="3"/>
      <c r="E689" s="3"/>
      <c r="F689" s="3"/>
      <c r="G689" s="3"/>
      <c r="H689" s="3"/>
      <c r="I689" s="3"/>
      <c r="J689" s="3"/>
      <c r="K689" s="221"/>
      <c r="L689" s="222"/>
      <c r="M689" s="221"/>
      <c r="N689" s="3"/>
      <c r="O689" s="3"/>
      <c r="P689" s="3"/>
      <c r="Q689" s="3"/>
      <c r="R689" s="3"/>
      <c r="S689" s="3"/>
      <c r="T689" s="22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>
      <c r="A690" s="3"/>
      <c r="B690" s="3"/>
      <c r="C690" s="31"/>
      <c r="D690" s="3"/>
      <c r="E690" s="3"/>
      <c r="F690" s="3"/>
      <c r="G690" s="3"/>
      <c r="H690" s="3"/>
      <c r="I690" s="3"/>
      <c r="J690" s="3"/>
      <c r="K690" s="221"/>
      <c r="L690" s="222"/>
      <c r="M690" s="221"/>
      <c r="N690" s="3"/>
      <c r="O690" s="3"/>
      <c r="P690" s="3"/>
      <c r="Q690" s="3"/>
      <c r="R690" s="3"/>
      <c r="S690" s="3"/>
      <c r="T690" s="22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>
      <c r="A691" s="3"/>
      <c r="B691" s="3"/>
      <c r="C691" s="31"/>
      <c r="D691" s="3"/>
      <c r="E691" s="3"/>
      <c r="F691" s="3"/>
      <c r="G691" s="3"/>
      <c r="H691" s="3"/>
      <c r="I691" s="3"/>
      <c r="J691" s="3"/>
      <c r="K691" s="221"/>
      <c r="L691" s="222"/>
      <c r="M691" s="221"/>
      <c r="N691" s="3"/>
      <c r="O691" s="3"/>
      <c r="P691" s="3"/>
      <c r="Q691" s="3"/>
      <c r="R691" s="3"/>
      <c r="S691" s="3"/>
      <c r="T691" s="22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>
      <c r="A692" s="3"/>
      <c r="B692" s="3"/>
      <c r="C692" s="31"/>
      <c r="D692" s="3"/>
      <c r="E692" s="3"/>
      <c r="F692" s="3"/>
      <c r="G692" s="3"/>
      <c r="H692" s="3"/>
      <c r="I692" s="3"/>
      <c r="J692" s="3"/>
      <c r="K692" s="221"/>
      <c r="L692" s="222"/>
      <c r="M692" s="221"/>
      <c r="N692" s="3"/>
      <c r="O692" s="3"/>
      <c r="P692" s="3"/>
      <c r="Q692" s="3"/>
      <c r="R692" s="3"/>
      <c r="S692" s="3"/>
      <c r="T692" s="22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>
      <c r="A693" s="3"/>
      <c r="B693" s="3"/>
      <c r="C693" s="31"/>
      <c r="D693" s="3"/>
      <c r="E693" s="3"/>
      <c r="F693" s="3"/>
      <c r="G693" s="3"/>
      <c r="H693" s="3"/>
      <c r="I693" s="3"/>
      <c r="J693" s="3"/>
      <c r="K693" s="221"/>
      <c r="L693" s="222"/>
      <c r="M693" s="221"/>
      <c r="N693" s="3"/>
      <c r="O693" s="3"/>
      <c r="P693" s="3"/>
      <c r="Q693" s="3"/>
      <c r="R693" s="3"/>
      <c r="S693" s="3"/>
      <c r="T693" s="22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>
      <c r="A694" s="3"/>
      <c r="B694" s="3"/>
      <c r="C694" s="31"/>
      <c r="D694" s="3"/>
      <c r="E694" s="3"/>
      <c r="F694" s="3"/>
      <c r="G694" s="3"/>
      <c r="H694" s="3"/>
      <c r="I694" s="3"/>
      <c r="J694" s="3"/>
      <c r="K694" s="221"/>
      <c r="L694" s="222"/>
      <c r="M694" s="221"/>
      <c r="N694" s="3"/>
      <c r="O694" s="3"/>
      <c r="P694" s="3"/>
      <c r="Q694" s="3"/>
      <c r="R694" s="3"/>
      <c r="S694" s="3"/>
      <c r="T694" s="22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>
      <c r="A695" s="3"/>
      <c r="B695" s="3"/>
      <c r="C695" s="31"/>
      <c r="D695" s="3"/>
      <c r="E695" s="3"/>
      <c r="F695" s="3"/>
      <c r="G695" s="3"/>
      <c r="H695" s="3"/>
      <c r="I695" s="3"/>
      <c r="J695" s="3"/>
      <c r="K695" s="221"/>
      <c r="L695" s="222"/>
      <c r="M695" s="221"/>
      <c r="N695" s="3"/>
      <c r="O695" s="3"/>
      <c r="P695" s="3"/>
      <c r="Q695" s="3"/>
      <c r="R695" s="3"/>
      <c r="S695" s="3"/>
      <c r="T695" s="22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>
      <c r="A696" s="3"/>
      <c r="B696" s="3"/>
      <c r="C696" s="31"/>
      <c r="D696" s="3"/>
      <c r="E696" s="3"/>
      <c r="F696" s="3"/>
      <c r="G696" s="3"/>
      <c r="H696" s="3"/>
      <c r="I696" s="3"/>
      <c r="J696" s="3"/>
      <c r="K696" s="221"/>
      <c r="L696" s="222"/>
      <c r="M696" s="221"/>
      <c r="N696" s="3"/>
      <c r="O696" s="3"/>
      <c r="P696" s="3"/>
      <c r="Q696" s="3"/>
      <c r="R696" s="3"/>
      <c r="S696" s="3"/>
      <c r="T696" s="22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>
      <c r="A697" s="3"/>
      <c r="B697" s="3"/>
      <c r="C697" s="31"/>
      <c r="D697" s="3"/>
      <c r="E697" s="3"/>
      <c r="F697" s="3"/>
      <c r="G697" s="3"/>
      <c r="H697" s="3"/>
      <c r="I697" s="3"/>
      <c r="J697" s="3"/>
      <c r="K697" s="221"/>
      <c r="L697" s="222"/>
      <c r="M697" s="221"/>
      <c r="N697" s="3"/>
      <c r="O697" s="3"/>
      <c r="P697" s="3"/>
      <c r="Q697" s="3"/>
      <c r="R697" s="3"/>
      <c r="S697" s="3"/>
      <c r="T697" s="22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>
      <c r="A698" s="3"/>
      <c r="B698" s="3"/>
      <c r="C698" s="31"/>
      <c r="D698" s="3"/>
      <c r="E698" s="3"/>
      <c r="F698" s="3"/>
      <c r="G698" s="3"/>
      <c r="H698" s="3"/>
      <c r="I698" s="3"/>
      <c r="J698" s="3"/>
      <c r="K698" s="221"/>
      <c r="L698" s="222"/>
      <c r="M698" s="221"/>
      <c r="N698" s="3"/>
      <c r="O698" s="3"/>
      <c r="P698" s="3"/>
      <c r="Q698" s="3"/>
      <c r="R698" s="3"/>
      <c r="S698" s="3"/>
      <c r="T698" s="22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>
      <c r="A699" s="3"/>
      <c r="B699" s="3"/>
      <c r="C699" s="31"/>
      <c r="D699" s="3"/>
      <c r="E699" s="3"/>
      <c r="F699" s="3"/>
      <c r="G699" s="3"/>
      <c r="H699" s="3"/>
      <c r="I699" s="3"/>
      <c r="J699" s="3"/>
      <c r="K699" s="221"/>
      <c r="L699" s="222"/>
      <c r="M699" s="221"/>
      <c r="N699" s="3"/>
      <c r="O699" s="3"/>
      <c r="P699" s="3"/>
      <c r="Q699" s="3"/>
      <c r="R699" s="3"/>
      <c r="S699" s="3"/>
      <c r="T699" s="22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>
      <c r="A700" s="3"/>
      <c r="B700" s="3"/>
      <c r="C700" s="31"/>
      <c r="D700" s="3"/>
      <c r="E700" s="3"/>
      <c r="F700" s="3"/>
      <c r="G700" s="3"/>
      <c r="H700" s="3"/>
      <c r="I700" s="3"/>
      <c r="J700" s="3"/>
      <c r="K700" s="221"/>
      <c r="L700" s="222"/>
      <c r="M700" s="221"/>
      <c r="N700" s="3"/>
      <c r="O700" s="3"/>
      <c r="P700" s="3"/>
      <c r="Q700" s="3"/>
      <c r="R700" s="3"/>
      <c r="S700" s="3"/>
      <c r="T700" s="22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>
      <c r="A701" s="3"/>
      <c r="B701" s="3"/>
      <c r="C701" s="31"/>
      <c r="D701" s="3"/>
      <c r="E701" s="3"/>
      <c r="F701" s="3"/>
      <c r="G701" s="3"/>
      <c r="H701" s="3"/>
      <c r="I701" s="3"/>
      <c r="J701" s="3"/>
      <c r="K701" s="221"/>
      <c r="L701" s="222"/>
      <c r="M701" s="221"/>
      <c r="N701" s="3"/>
      <c r="O701" s="3"/>
      <c r="P701" s="3"/>
      <c r="Q701" s="3"/>
      <c r="R701" s="3"/>
      <c r="S701" s="3"/>
      <c r="T701" s="22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>
      <c r="A702" s="3"/>
      <c r="B702" s="3"/>
      <c r="C702" s="31"/>
      <c r="D702" s="3"/>
      <c r="E702" s="3"/>
      <c r="F702" s="3"/>
      <c r="G702" s="3"/>
      <c r="H702" s="3"/>
      <c r="I702" s="3"/>
      <c r="J702" s="3"/>
      <c r="K702" s="221"/>
      <c r="L702" s="222"/>
      <c r="M702" s="221"/>
      <c r="N702" s="3"/>
      <c r="O702" s="3"/>
      <c r="P702" s="3"/>
      <c r="Q702" s="3"/>
      <c r="R702" s="3"/>
      <c r="S702" s="3"/>
      <c r="T702" s="22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>
      <c r="A703" s="3"/>
      <c r="B703" s="3"/>
      <c r="C703" s="31"/>
      <c r="D703" s="3"/>
      <c r="E703" s="3"/>
      <c r="F703" s="3"/>
      <c r="G703" s="3"/>
      <c r="H703" s="3"/>
      <c r="I703" s="3"/>
      <c r="J703" s="3"/>
      <c r="K703" s="221"/>
      <c r="L703" s="222"/>
      <c r="M703" s="221"/>
      <c r="N703" s="3"/>
      <c r="O703" s="3"/>
      <c r="P703" s="3"/>
      <c r="Q703" s="3"/>
      <c r="R703" s="3"/>
      <c r="S703" s="3"/>
      <c r="T703" s="22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>
      <c r="A704" s="3"/>
      <c r="B704" s="3"/>
      <c r="C704" s="31"/>
      <c r="D704" s="3"/>
      <c r="E704" s="3"/>
      <c r="F704" s="3"/>
      <c r="G704" s="3"/>
      <c r="H704" s="3"/>
      <c r="I704" s="3"/>
      <c r="J704" s="3"/>
      <c r="K704" s="221"/>
      <c r="L704" s="222"/>
      <c r="M704" s="221"/>
      <c r="N704" s="3"/>
      <c r="O704" s="3"/>
      <c r="P704" s="3"/>
      <c r="Q704" s="3"/>
      <c r="R704" s="3"/>
      <c r="S704" s="3"/>
      <c r="T704" s="22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>
      <c r="A705" s="3"/>
      <c r="B705" s="3"/>
      <c r="C705" s="31"/>
      <c r="D705" s="3"/>
      <c r="E705" s="3"/>
      <c r="F705" s="3"/>
      <c r="G705" s="3"/>
      <c r="H705" s="3"/>
      <c r="I705" s="3"/>
      <c r="J705" s="3"/>
      <c r="K705" s="221"/>
      <c r="L705" s="222"/>
      <c r="M705" s="221"/>
      <c r="N705" s="3"/>
      <c r="O705" s="3"/>
      <c r="P705" s="3"/>
      <c r="Q705" s="3"/>
      <c r="R705" s="3"/>
      <c r="S705" s="3"/>
      <c r="T705" s="22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>
      <c r="A706" s="3"/>
      <c r="B706" s="3"/>
      <c r="C706" s="31"/>
      <c r="D706" s="3"/>
      <c r="E706" s="3"/>
      <c r="F706" s="3"/>
      <c r="G706" s="3"/>
      <c r="H706" s="3"/>
      <c r="I706" s="3"/>
      <c r="J706" s="3"/>
      <c r="K706" s="221"/>
      <c r="L706" s="222"/>
      <c r="M706" s="221"/>
      <c r="N706" s="3"/>
      <c r="O706" s="3"/>
      <c r="P706" s="3"/>
      <c r="Q706" s="3"/>
      <c r="R706" s="3"/>
      <c r="S706" s="3"/>
      <c r="T706" s="22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>
      <c r="A707" s="3"/>
      <c r="B707" s="3"/>
      <c r="C707" s="31"/>
      <c r="D707" s="3"/>
      <c r="E707" s="3"/>
      <c r="F707" s="3"/>
      <c r="G707" s="3"/>
      <c r="H707" s="3"/>
      <c r="I707" s="3"/>
      <c r="J707" s="3"/>
      <c r="K707" s="221"/>
      <c r="L707" s="222"/>
      <c r="M707" s="221"/>
      <c r="N707" s="3"/>
      <c r="O707" s="3"/>
      <c r="P707" s="3"/>
      <c r="Q707" s="3"/>
      <c r="R707" s="3"/>
      <c r="S707" s="3"/>
      <c r="T707" s="22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>
      <c r="A708" s="3"/>
      <c r="B708" s="3"/>
      <c r="C708" s="31"/>
      <c r="D708" s="3"/>
      <c r="E708" s="3"/>
      <c r="F708" s="3"/>
      <c r="G708" s="3"/>
      <c r="H708" s="3"/>
      <c r="I708" s="3"/>
      <c r="J708" s="3"/>
      <c r="K708" s="221"/>
      <c r="L708" s="222"/>
      <c r="M708" s="221"/>
      <c r="N708" s="3"/>
      <c r="O708" s="3"/>
      <c r="P708" s="3"/>
      <c r="Q708" s="3"/>
      <c r="R708" s="3"/>
      <c r="S708" s="3"/>
      <c r="T708" s="22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>
      <c r="A709" s="3"/>
      <c r="B709" s="3"/>
      <c r="C709" s="31"/>
      <c r="D709" s="3"/>
      <c r="E709" s="3"/>
      <c r="F709" s="3"/>
      <c r="G709" s="3"/>
      <c r="H709" s="3"/>
      <c r="I709" s="3"/>
      <c r="J709" s="3"/>
      <c r="K709" s="221"/>
      <c r="L709" s="222"/>
      <c r="M709" s="221"/>
      <c r="N709" s="3"/>
      <c r="O709" s="3"/>
      <c r="P709" s="3"/>
      <c r="Q709" s="3"/>
      <c r="R709" s="3"/>
      <c r="S709" s="3"/>
      <c r="T709" s="22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>
      <c r="A710" s="3"/>
      <c r="B710" s="3"/>
      <c r="C710" s="31"/>
      <c r="D710" s="3"/>
      <c r="E710" s="3"/>
      <c r="F710" s="3"/>
      <c r="G710" s="3"/>
      <c r="H710" s="3"/>
      <c r="I710" s="3"/>
      <c r="J710" s="3"/>
      <c r="K710" s="221"/>
      <c r="L710" s="222"/>
      <c r="M710" s="221"/>
      <c r="N710" s="3"/>
      <c r="O710" s="3"/>
      <c r="P710" s="3"/>
      <c r="Q710" s="3"/>
      <c r="R710" s="3"/>
      <c r="S710" s="3"/>
      <c r="T710" s="22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>
      <c r="A711" s="3"/>
      <c r="B711" s="3"/>
      <c r="C711" s="31"/>
      <c r="D711" s="3"/>
      <c r="E711" s="3"/>
      <c r="F711" s="3"/>
      <c r="G711" s="3"/>
      <c r="H711" s="3"/>
      <c r="I711" s="3"/>
      <c r="J711" s="3"/>
      <c r="K711" s="221"/>
      <c r="L711" s="222"/>
      <c r="M711" s="221"/>
      <c r="N711" s="3"/>
      <c r="O711" s="3"/>
      <c r="P711" s="3"/>
      <c r="Q711" s="3"/>
      <c r="R711" s="3"/>
      <c r="S711" s="3"/>
      <c r="T711" s="22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>
      <c r="A712" s="3"/>
      <c r="B712" s="3"/>
      <c r="C712" s="31"/>
      <c r="D712" s="3"/>
      <c r="E712" s="3"/>
      <c r="F712" s="3"/>
      <c r="G712" s="3"/>
      <c r="H712" s="3"/>
      <c r="I712" s="3"/>
      <c r="J712" s="3"/>
      <c r="K712" s="221"/>
      <c r="L712" s="222"/>
      <c r="M712" s="221"/>
      <c r="N712" s="3"/>
      <c r="O712" s="3"/>
      <c r="P712" s="3"/>
      <c r="Q712" s="3"/>
      <c r="R712" s="3"/>
      <c r="S712" s="3"/>
      <c r="T712" s="22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>
      <c r="A713" s="3"/>
      <c r="B713" s="3"/>
      <c r="C713" s="31"/>
      <c r="D713" s="3"/>
      <c r="E713" s="3"/>
      <c r="F713" s="3"/>
      <c r="G713" s="3"/>
      <c r="H713" s="3"/>
      <c r="I713" s="3"/>
      <c r="J713" s="3"/>
      <c r="K713" s="221"/>
      <c r="L713" s="222"/>
      <c r="M713" s="221"/>
      <c r="N713" s="3"/>
      <c r="O713" s="3"/>
      <c r="P713" s="3"/>
      <c r="Q713" s="3"/>
      <c r="R713" s="3"/>
      <c r="S713" s="3"/>
      <c r="T713" s="22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>
      <c r="A714" s="3"/>
      <c r="B714" s="3"/>
      <c r="C714" s="31"/>
      <c r="D714" s="3"/>
      <c r="E714" s="3"/>
      <c r="F714" s="3"/>
      <c r="G714" s="3"/>
      <c r="H714" s="3"/>
      <c r="I714" s="3"/>
      <c r="J714" s="3"/>
      <c r="K714" s="221"/>
      <c r="L714" s="222"/>
      <c r="M714" s="221"/>
      <c r="N714" s="3"/>
      <c r="O714" s="3"/>
      <c r="P714" s="3"/>
      <c r="Q714" s="3"/>
      <c r="R714" s="3"/>
      <c r="S714" s="3"/>
      <c r="T714" s="22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>
      <c r="A715" s="3"/>
      <c r="B715" s="3"/>
      <c r="C715" s="31"/>
      <c r="D715" s="3"/>
      <c r="E715" s="3"/>
      <c r="F715" s="3"/>
      <c r="G715" s="3"/>
      <c r="H715" s="3"/>
      <c r="I715" s="3"/>
      <c r="J715" s="3"/>
      <c r="K715" s="221"/>
      <c r="L715" s="222"/>
      <c r="M715" s="221"/>
      <c r="N715" s="3"/>
      <c r="O715" s="3"/>
      <c r="P715" s="3"/>
      <c r="Q715" s="3"/>
      <c r="R715" s="3"/>
      <c r="S715" s="3"/>
      <c r="T715" s="22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>
      <c r="A716" s="3"/>
      <c r="B716" s="3"/>
      <c r="C716" s="31"/>
      <c r="D716" s="3"/>
      <c r="E716" s="3"/>
      <c r="F716" s="3"/>
      <c r="G716" s="3"/>
      <c r="H716" s="3"/>
      <c r="I716" s="3"/>
      <c r="J716" s="3"/>
      <c r="K716" s="221"/>
      <c r="L716" s="222"/>
      <c r="M716" s="221"/>
      <c r="N716" s="3"/>
      <c r="O716" s="3"/>
      <c r="P716" s="3"/>
      <c r="Q716" s="3"/>
      <c r="R716" s="3"/>
      <c r="S716" s="3"/>
      <c r="T716" s="22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>
      <c r="A717" s="3"/>
      <c r="B717" s="3"/>
      <c r="C717" s="31"/>
      <c r="D717" s="3"/>
      <c r="E717" s="3"/>
      <c r="F717" s="3"/>
      <c r="G717" s="3"/>
      <c r="H717" s="3"/>
      <c r="I717" s="3"/>
      <c r="J717" s="3"/>
      <c r="K717" s="221"/>
      <c r="L717" s="222"/>
      <c r="M717" s="221"/>
      <c r="N717" s="3"/>
      <c r="O717" s="3"/>
      <c r="P717" s="3"/>
      <c r="Q717" s="3"/>
      <c r="R717" s="3"/>
      <c r="S717" s="3"/>
      <c r="T717" s="22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>
      <c r="A718" s="3"/>
      <c r="B718" s="3"/>
      <c r="C718" s="31"/>
      <c r="D718" s="3"/>
      <c r="E718" s="3"/>
      <c r="F718" s="3"/>
      <c r="G718" s="3"/>
      <c r="H718" s="3"/>
      <c r="I718" s="3"/>
      <c r="J718" s="3"/>
      <c r="K718" s="221"/>
      <c r="L718" s="222"/>
      <c r="M718" s="221"/>
      <c r="N718" s="3"/>
      <c r="O718" s="3"/>
      <c r="P718" s="3"/>
      <c r="Q718" s="3"/>
      <c r="R718" s="3"/>
      <c r="S718" s="3"/>
      <c r="T718" s="22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>
      <c r="A719" s="3"/>
      <c r="B719" s="3"/>
      <c r="C719" s="31"/>
      <c r="D719" s="3"/>
      <c r="E719" s="3"/>
      <c r="F719" s="3"/>
      <c r="G719" s="3"/>
      <c r="H719" s="3"/>
      <c r="I719" s="3"/>
      <c r="J719" s="3"/>
      <c r="K719" s="221"/>
      <c r="L719" s="222"/>
      <c r="M719" s="221"/>
      <c r="N719" s="3"/>
      <c r="O719" s="3"/>
      <c r="P719" s="3"/>
      <c r="Q719" s="3"/>
      <c r="R719" s="3"/>
      <c r="S719" s="3"/>
      <c r="T719" s="22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>
      <c r="A720" s="3"/>
      <c r="B720" s="3"/>
      <c r="C720" s="31"/>
      <c r="D720" s="3"/>
      <c r="E720" s="3"/>
      <c r="F720" s="3"/>
      <c r="G720" s="3"/>
      <c r="H720" s="3"/>
      <c r="I720" s="3"/>
      <c r="J720" s="3"/>
      <c r="K720" s="221"/>
      <c r="L720" s="222"/>
      <c r="M720" s="221"/>
      <c r="N720" s="3"/>
      <c r="O720" s="3"/>
      <c r="P720" s="3"/>
      <c r="Q720" s="3"/>
      <c r="R720" s="3"/>
      <c r="S720" s="3"/>
      <c r="T720" s="22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>
      <c r="A721" s="3"/>
      <c r="B721" s="3"/>
      <c r="C721" s="31"/>
      <c r="D721" s="3"/>
      <c r="E721" s="3"/>
      <c r="F721" s="3"/>
      <c r="G721" s="3"/>
      <c r="H721" s="3"/>
      <c r="I721" s="3"/>
      <c r="J721" s="3"/>
      <c r="K721" s="221"/>
      <c r="L721" s="222"/>
      <c r="M721" s="221"/>
      <c r="N721" s="3"/>
      <c r="O721" s="3"/>
      <c r="P721" s="3"/>
      <c r="Q721" s="3"/>
      <c r="R721" s="3"/>
      <c r="S721" s="3"/>
      <c r="T721" s="22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>
      <c r="A722" s="3"/>
      <c r="B722" s="3"/>
      <c r="C722" s="31"/>
      <c r="D722" s="3"/>
      <c r="E722" s="3"/>
      <c r="F722" s="3"/>
      <c r="G722" s="3"/>
      <c r="H722" s="3"/>
      <c r="I722" s="3"/>
      <c r="J722" s="3"/>
      <c r="K722" s="221"/>
      <c r="L722" s="222"/>
      <c r="M722" s="221"/>
      <c r="N722" s="3"/>
      <c r="O722" s="3"/>
      <c r="P722" s="3"/>
      <c r="Q722" s="3"/>
      <c r="R722" s="3"/>
      <c r="S722" s="3"/>
      <c r="T722" s="22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>
      <c r="A723" s="3"/>
      <c r="B723" s="3"/>
      <c r="C723" s="31"/>
      <c r="D723" s="3"/>
      <c r="E723" s="3"/>
      <c r="F723" s="3"/>
      <c r="G723" s="3"/>
      <c r="H723" s="3"/>
      <c r="I723" s="3"/>
      <c r="J723" s="3"/>
      <c r="K723" s="221"/>
      <c r="L723" s="222"/>
      <c r="M723" s="221"/>
      <c r="N723" s="3"/>
      <c r="O723" s="3"/>
      <c r="P723" s="3"/>
      <c r="Q723" s="3"/>
      <c r="R723" s="3"/>
      <c r="S723" s="3"/>
      <c r="T723" s="22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>
      <c r="A724" s="3"/>
      <c r="B724" s="3"/>
      <c r="C724" s="31"/>
      <c r="D724" s="3"/>
      <c r="E724" s="3"/>
      <c r="F724" s="3"/>
      <c r="G724" s="3"/>
      <c r="H724" s="3"/>
      <c r="I724" s="3"/>
      <c r="J724" s="3"/>
      <c r="K724" s="221"/>
      <c r="L724" s="222"/>
      <c r="M724" s="221"/>
      <c r="N724" s="3"/>
      <c r="O724" s="3"/>
      <c r="P724" s="3"/>
      <c r="Q724" s="3"/>
      <c r="R724" s="3"/>
      <c r="S724" s="3"/>
      <c r="T724" s="22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>
      <c r="A725" s="3"/>
      <c r="B725" s="3"/>
      <c r="C725" s="31"/>
      <c r="D725" s="3"/>
      <c r="E725" s="3"/>
      <c r="F725" s="3"/>
      <c r="G725" s="3"/>
      <c r="H725" s="3"/>
      <c r="I725" s="3"/>
      <c r="J725" s="3"/>
      <c r="K725" s="221"/>
      <c r="L725" s="222"/>
      <c r="M725" s="221"/>
      <c r="N725" s="3"/>
      <c r="O725" s="3"/>
      <c r="P725" s="3"/>
      <c r="Q725" s="3"/>
      <c r="R725" s="3"/>
      <c r="S725" s="3"/>
      <c r="T725" s="22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>
      <c r="A726" s="3"/>
      <c r="B726" s="3"/>
      <c r="C726" s="31"/>
      <c r="D726" s="3"/>
      <c r="E726" s="3"/>
      <c r="F726" s="3"/>
      <c r="G726" s="3"/>
      <c r="H726" s="3"/>
      <c r="I726" s="3"/>
      <c r="J726" s="3"/>
      <c r="K726" s="221"/>
      <c r="L726" s="222"/>
      <c r="M726" s="221"/>
      <c r="N726" s="3"/>
      <c r="O726" s="3"/>
      <c r="P726" s="3"/>
      <c r="Q726" s="3"/>
      <c r="R726" s="3"/>
      <c r="S726" s="3"/>
      <c r="T726" s="22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>
      <c r="A727" s="3"/>
      <c r="B727" s="3"/>
      <c r="C727" s="31"/>
      <c r="D727" s="3"/>
      <c r="E727" s="3"/>
      <c r="F727" s="3"/>
      <c r="G727" s="3"/>
      <c r="H727" s="3"/>
      <c r="I727" s="3"/>
      <c r="J727" s="3"/>
      <c r="K727" s="221"/>
      <c r="L727" s="222"/>
      <c r="M727" s="221"/>
      <c r="N727" s="3"/>
      <c r="O727" s="3"/>
      <c r="P727" s="3"/>
      <c r="Q727" s="3"/>
      <c r="R727" s="3"/>
      <c r="S727" s="3"/>
      <c r="T727" s="22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>
      <c r="A728" s="3"/>
      <c r="B728" s="3"/>
      <c r="C728" s="31"/>
      <c r="D728" s="3"/>
      <c r="E728" s="3"/>
      <c r="F728" s="3"/>
      <c r="G728" s="3"/>
      <c r="H728" s="3"/>
      <c r="I728" s="3"/>
      <c r="J728" s="3"/>
      <c r="K728" s="221"/>
      <c r="L728" s="222"/>
      <c r="M728" s="221"/>
      <c r="N728" s="3"/>
      <c r="O728" s="3"/>
      <c r="P728" s="3"/>
      <c r="Q728" s="3"/>
      <c r="R728" s="3"/>
      <c r="S728" s="3"/>
      <c r="T728" s="22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>
      <c r="A729" s="3"/>
      <c r="B729" s="3"/>
      <c r="C729" s="31"/>
      <c r="D729" s="3"/>
      <c r="E729" s="3"/>
      <c r="F729" s="3"/>
      <c r="G729" s="3"/>
      <c r="H729" s="3"/>
      <c r="I729" s="3"/>
      <c r="J729" s="3"/>
      <c r="K729" s="221"/>
      <c r="L729" s="222"/>
      <c r="M729" s="221"/>
      <c r="N729" s="3"/>
      <c r="O729" s="3"/>
      <c r="P729" s="3"/>
      <c r="Q729" s="3"/>
      <c r="R729" s="3"/>
      <c r="S729" s="3"/>
      <c r="T729" s="22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>
      <c r="A730" s="3"/>
      <c r="B730" s="3"/>
      <c r="C730" s="31"/>
      <c r="D730" s="3"/>
      <c r="E730" s="3"/>
      <c r="F730" s="3"/>
      <c r="G730" s="3"/>
      <c r="H730" s="3"/>
      <c r="I730" s="3"/>
      <c r="J730" s="3"/>
      <c r="K730" s="221"/>
      <c r="L730" s="222"/>
      <c r="M730" s="221"/>
      <c r="N730" s="3"/>
      <c r="O730" s="3"/>
      <c r="P730" s="3"/>
      <c r="Q730" s="3"/>
      <c r="R730" s="3"/>
      <c r="S730" s="3"/>
      <c r="T730" s="22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>
      <c r="A731" s="3"/>
      <c r="B731" s="3"/>
      <c r="C731" s="31"/>
      <c r="D731" s="3"/>
      <c r="E731" s="3"/>
      <c r="F731" s="3"/>
      <c r="G731" s="3"/>
      <c r="H731" s="3"/>
      <c r="I731" s="3"/>
      <c r="J731" s="3"/>
      <c r="K731" s="221"/>
      <c r="L731" s="222"/>
      <c r="M731" s="221"/>
      <c r="N731" s="3"/>
      <c r="O731" s="3"/>
      <c r="P731" s="3"/>
      <c r="Q731" s="3"/>
      <c r="R731" s="3"/>
      <c r="S731" s="3"/>
      <c r="T731" s="22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>
      <c r="A732" s="3"/>
      <c r="B732" s="3"/>
      <c r="C732" s="31"/>
      <c r="D732" s="3"/>
      <c r="E732" s="3"/>
      <c r="F732" s="3"/>
      <c r="G732" s="3"/>
      <c r="H732" s="3"/>
      <c r="I732" s="3"/>
      <c r="J732" s="3"/>
      <c r="K732" s="221"/>
      <c r="L732" s="222"/>
      <c r="M732" s="221"/>
      <c r="N732" s="3"/>
      <c r="O732" s="3"/>
      <c r="P732" s="3"/>
      <c r="Q732" s="3"/>
      <c r="R732" s="3"/>
      <c r="S732" s="3"/>
      <c r="T732" s="22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>
      <c r="A733" s="3"/>
      <c r="B733" s="3"/>
      <c r="C733" s="31"/>
      <c r="D733" s="3"/>
      <c r="E733" s="3"/>
      <c r="F733" s="3"/>
      <c r="G733" s="3"/>
      <c r="H733" s="3"/>
      <c r="I733" s="3"/>
      <c r="J733" s="3"/>
      <c r="K733" s="221"/>
      <c r="L733" s="222"/>
      <c r="M733" s="221"/>
      <c r="N733" s="3"/>
      <c r="O733" s="3"/>
      <c r="P733" s="3"/>
      <c r="Q733" s="3"/>
      <c r="R733" s="3"/>
      <c r="S733" s="3"/>
      <c r="T733" s="22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>
      <c r="A734" s="3"/>
      <c r="B734" s="3"/>
      <c r="C734" s="31"/>
      <c r="D734" s="3"/>
      <c r="E734" s="3"/>
      <c r="F734" s="3"/>
      <c r="G734" s="3"/>
      <c r="H734" s="3"/>
      <c r="I734" s="3"/>
      <c r="J734" s="3"/>
      <c r="K734" s="221"/>
      <c r="L734" s="222"/>
      <c r="M734" s="221"/>
      <c r="N734" s="3"/>
      <c r="O734" s="3"/>
      <c r="P734" s="3"/>
      <c r="Q734" s="3"/>
      <c r="R734" s="3"/>
      <c r="S734" s="3"/>
      <c r="T734" s="22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>
      <c r="A735" s="3"/>
      <c r="B735" s="3"/>
      <c r="C735" s="31"/>
      <c r="D735" s="3"/>
      <c r="E735" s="3"/>
      <c r="F735" s="3"/>
      <c r="G735" s="3"/>
      <c r="H735" s="3"/>
      <c r="I735" s="3"/>
      <c r="J735" s="3"/>
      <c r="K735" s="221"/>
      <c r="L735" s="222"/>
      <c r="M735" s="221"/>
      <c r="N735" s="3"/>
      <c r="O735" s="3"/>
      <c r="P735" s="3"/>
      <c r="Q735" s="3"/>
      <c r="R735" s="3"/>
      <c r="S735" s="3"/>
      <c r="T735" s="22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>
      <c r="A736" s="3"/>
      <c r="B736" s="3"/>
      <c r="C736" s="31"/>
      <c r="D736" s="3"/>
      <c r="E736" s="3"/>
      <c r="F736" s="3"/>
      <c r="G736" s="3"/>
      <c r="H736" s="3"/>
      <c r="I736" s="3"/>
      <c r="J736" s="3"/>
      <c r="K736" s="221"/>
      <c r="L736" s="222"/>
      <c r="M736" s="221"/>
      <c r="N736" s="3"/>
      <c r="O736" s="3"/>
      <c r="P736" s="3"/>
      <c r="Q736" s="3"/>
      <c r="R736" s="3"/>
      <c r="S736" s="3"/>
      <c r="T736" s="22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>
      <c r="A737" s="3"/>
      <c r="B737" s="3"/>
      <c r="C737" s="31"/>
      <c r="D737" s="3"/>
      <c r="E737" s="3"/>
      <c r="F737" s="3"/>
      <c r="G737" s="3"/>
      <c r="H737" s="3"/>
      <c r="I737" s="3"/>
      <c r="J737" s="3"/>
      <c r="K737" s="221"/>
      <c r="L737" s="222"/>
      <c r="M737" s="221"/>
      <c r="N737" s="3"/>
      <c r="O737" s="3"/>
      <c r="P737" s="3"/>
      <c r="Q737" s="3"/>
      <c r="R737" s="3"/>
      <c r="S737" s="3"/>
      <c r="T737" s="22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>
      <c r="A738" s="3"/>
      <c r="B738" s="3"/>
      <c r="C738" s="31"/>
      <c r="D738" s="3"/>
      <c r="E738" s="3"/>
      <c r="F738" s="3"/>
      <c r="G738" s="3"/>
      <c r="H738" s="3"/>
      <c r="I738" s="3"/>
      <c r="J738" s="3"/>
      <c r="K738" s="221"/>
      <c r="L738" s="222"/>
      <c r="M738" s="221"/>
      <c r="N738" s="3"/>
      <c r="O738" s="3"/>
      <c r="P738" s="3"/>
      <c r="Q738" s="3"/>
      <c r="R738" s="3"/>
      <c r="S738" s="3"/>
      <c r="T738" s="22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>
      <c r="A739" s="3"/>
      <c r="B739" s="3"/>
      <c r="C739" s="31"/>
      <c r="D739" s="3"/>
      <c r="E739" s="3"/>
      <c r="F739" s="3"/>
      <c r="G739" s="3"/>
      <c r="H739" s="3"/>
      <c r="I739" s="3"/>
      <c r="J739" s="3"/>
      <c r="K739" s="221"/>
      <c r="L739" s="222"/>
      <c r="M739" s="221"/>
      <c r="N739" s="3"/>
      <c r="O739" s="3"/>
      <c r="P739" s="3"/>
      <c r="Q739" s="3"/>
      <c r="R739" s="3"/>
      <c r="S739" s="3"/>
      <c r="T739" s="22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>
      <c r="A740" s="3"/>
      <c r="B740" s="3"/>
      <c r="C740" s="31"/>
      <c r="D740" s="3"/>
      <c r="E740" s="3"/>
      <c r="F740" s="3"/>
      <c r="G740" s="3"/>
      <c r="H740" s="3"/>
      <c r="I740" s="3"/>
      <c r="J740" s="3"/>
      <c r="K740" s="221"/>
      <c r="L740" s="222"/>
      <c r="M740" s="221"/>
      <c r="N740" s="3"/>
      <c r="O740" s="3"/>
      <c r="P740" s="3"/>
      <c r="Q740" s="3"/>
      <c r="R740" s="3"/>
      <c r="S740" s="3"/>
      <c r="T740" s="22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>
      <c r="A741" s="3"/>
      <c r="B741" s="3"/>
      <c r="C741" s="31"/>
      <c r="D741" s="3"/>
      <c r="E741" s="3"/>
      <c r="F741" s="3"/>
      <c r="G741" s="3"/>
      <c r="H741" s="3"/>
      <c r="I741" s="3"/>
      <c r="J741" s="3"/>
      <c r="K741" s="221"/>
      <c r="L741" s="222"/>
      <c r="M741" s="221"/>
      <c r="N741" s="3"/>
      <c r="O741" s="3"/>
      <c r="P741" s="3"/>
      <c r="Q741" s="3"/>
      <c r="R741" s="3"/>
      <c r="S741" s="3"/>
      <c r="T741" s="22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>
      <c r="A742" s="3"/>
      <c r="B742" s="3"/>
      <c r="C742" s="31"/>
      <c r="D742" s="3"/>
      <c r="E742" s="3"/>
      <c r="F742" s="3"/>
      <c r="G742" s="3"/>
      <c r="H742" s="3"/>
      <c r="I742" s="3"/>
      <c r="J742" s="3"/>
      <c r="K742" s="221"/>
      <c r="L742" s="222"/>
      <c r="M742" s="221"/>
      <c r="N742" s="3"/>
      <c r="O742" s="3"/>
      <c r="P742" s="3"/>
      <c r="Q742" s="3"/>
      <c r="R742" s="3"/>
      <c r="S742" s="3"/>
      <c r="T742" s="22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>
      <c r="A743" s="3"/>
      <c r="B743" s="3"/>
      <c r="C743" s="31"/>
      <c r="D743" s="3"/>
      <c r="E743" s="3"/>
      <c r="F743" s="3"/>
      <c r="G743" s="3"/>
      <c r="H743" s="3"/>
      <c r="I743" s="3"/>
      <c r="J743" s="3"/>
      <c r="K743" s="221"/>
      <c r="L743" s="222"/>
      <c r="M743" s="221"/>
      <c r="N743" s="3"/>
      <c r="O743" s="3"/>
      <c r="P743" s="3"/>
      <c r="Q743" s="3"/>
      <c r="R743" s="3"/>
      <c r="S743" s="3"/>
      <c r="T743" s="22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>
      <c r="A744" s="3"/>
      <c r="B744" s="3"/>
      <c r="C744" s="31"/>
      <c r="D744" s="3"/>
      <c r="E744" s="3"/>
      <c r="F744" s="3"/>
      <c r="G744" s="3"/>
      <c r="H744" s="3"/>
      <c r="I744" s="3"/>
      <c r="J744" s="3"/>
      <c r="K744" s="221"/>
      <c r="L744" s="222"/>
      <c r="M744" s="221"/>
      <c r="N744" s="3"/>
      <c r="O744" s="3"/>
      <c r="P744" s="3"/>
      <c r="Q744" s="3"/>
      <c r="R744" s="3"/>
      <c r="S744" s="3"/>
      <c r="T744" s="22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>
      <c r="A745" s="3"/>
      <c r="B745" s="3"/>
      <c r="C745" s="31"/>
      <c r="D745" s="3"/>
      <c r="E745" s="3"/>
      <c r="F745" s="3"/>
      <c r="G745" s="3"/>
      <c r="H745" s="3"/>
      <c r="I745" s="3"/>
      <c r="J745" s="3"/>
      <c r="K745" s="221"/>
      <c r="L745" s="222"/>
      <c r="M745" s="221"/>
      <c r="N745" s="3"/>
      <c r="O745" s="3"/>
      <c r="P745" s="3"/>
      <c r="Q745" s="3"/>
      <c r="R745" s="3"/>
      <c r="S745" s="3"/>
      <c r="T745" s="22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>
      <c r="A746" s="3"/>
      <c r="B746" s="3"/>
      <c r="C746" s="31"/>
      <c r="D746" s="3"/>
      <c r="E746" s="3"/>
      <c r="F746" s="3"/>
      <c r="G746" s="3"/>
      <c r="H746" s="3"/>
      <c r="I746" s="3"/>
      <c r="J746" s="3"/>
      <c r="K746" s="221"/>
      <c r="L746" s="222"/>
      <c r="M746" s="221"/>
      <c r="N746" s="3"/>
      <c r="O746" s="3"/>
      <c r="P746" s="3"/>
      <c r="Q746" s="3"/>
      <c r="R746" s="3"/>
      <c r="S746" s="3"/>
      <c r="T746" s="22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>
      <c r="A747" s="3"/>
      <c r="B747" s="3"/>
      <c r="C747" s="31"/>
      <c r="D747" s="3"/>
      <c r="E747" s="3"/>
      <c r="F747" s="3"/>
      <c r="G747" s="3"/>
      <c r="H747" s="3"/>
      <c r="I747" s="3"/>
      <c r="J747" s="3"/>
      <c r="K747" s="221"/>
      <c r="L747" s="222"/>
      <c r="M747" s="221"/>
      <c r="N747" s="3"/>
      <c r="O747" s="3"/>
      <c r="P747" s="3"/>
      <c r="Q747" s="3"/>
      <c r="R747" s="3"/>
      <c r="S747" s="3"/>
      <c r="T747" s="22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>
      <c r="A748" s="3"/>
      <c r="B748" s="3"/>
      <c r="C748" s="31"/>
      <c r="D748" s="3"/>
      <c r="E748" s="3"/>
      <c r="F748" s="3"/>
      <c r="G748" s="3"/>
      <c r="H748" s="3"/>
      <c r="I748" s="3"/>
      <c r="J748" s="3"/>
      <c r="K748" s="221"/>
      <c r="L748" s="222"/>
      <c r="M748" s="221"/>
      <c r="N748" s="3"/>
      <c r="O748" s="3"/>
      <c r="P748" s="3"/>
      <c r="Q748" s="3"/>
      <c r="R748" s="3"/>
      <c r="S748" s="3"/>
      <c r="T748" s="22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>
      <c r="A749" s="3"/>
      <c r="B749" s="3"/>
      <c r="C749" s="31"/>
      <c r="D749" s="3"/>
      <c r="E749" s="3"/>
      <c r="F749" s="3"/>
      <c r="G749" s="3"/>
      <c r="H749" s="3"/>
      <c r="I749" s="3"/>
      <c r="J749" s="3"/>
      <c r="K749" s="221"/>
      <c r="L749" s="222"/>
      <c r="M749" s="221"/>
      <c r="N749" s="3"/>
      <c r="O749" s="3"/>
      <c r="P749" s="3"/>
      <c r="Q749" s="3"/>
      <c r="R749" s="3"/>
      <c r="S749" s="3"/>
      <c r="T749" s="22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>
      <c r="A750" s="3"/>
      <c r="B750" s="3"/>
      <c r="C750" s="31"/>
      <c r="D750" s="3"/>
      <c r="E750" s="3"/>
      <c r="F750" s="3"/>
      <c r="G750" s="3"/>
      <c r="H750" s="3"/>
      <c r="I750" s="3"/>
      <c r="J750" s="3"/>
      <c r="K750" s="221"/>
      <c r="L750" s="222"/>
      <c r="M750" s="221"/>
      <c r="N750" s="3"/>
      <c r="O750" s="3"/>
      <c r="P750" s="3"/>
      <c r="Q750" s="3"/>
      <c r="R750" s="3"/>
      <c r="S750" s="3"/>
      <c r="T750" s="22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>
      <c r="A751" s="3"/>
      <c r="B751" s="3"/>
      <c r="C751" s="31"/>
      <c r="D751" s="3"/>
      <c r="E751" s="3"/>
      <c r="F751" s="3"/>
      <c r="G751" s="3"/>
      <c r="H751" s="3"/>
      <c r="I751" s="3"/>
      <c r="J751" s="3"/>
      <c r="K751" s="221"/>
      <c r="L751" s="222"/>
      <c r="M751" s="221"/>
      <c r="N751" s="3"/>
      <c r="O751" s="3"/>
      <c r="P751" s="3"/>
      <c r="Q751" s="3"/>
      <c r="R751" s="3"/>
      <c r="S751" s="3"/>
      <c r="T751" s="22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>
      <c r="A752" s="3"/>
      <c r="B752" s="3"/>
      <c r="C752" s="31"/>
      <c r="D752" s="3"/>
      <c r="E752" s="3"/>
      <c r="F752" s="3"/>
      <c r="G752" s="3"/>
      <c r="H752" s="3"/>
      <c r="I752" s="3"/>
      <c r="J752" s="3"/>
      <c r="K752" s="221"/>
      <c r="L752" s="222"/>
      <c r="M752" s="221"/>
      <c r="N752" s="3"/>
      <c r="O752" s="3"/>
      <c r="P752" s="3"/>
      <c r="Q752" s="3"/>
      <c r="R752" s="3"/>
      <c r="S752" s="3"/>
      <c r="T752" s="22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>
      <c r="A753" s="3"/>
      <c r="B753" s="3"/>
      <c r="C753" s="31"/>
      <c r="D753" s="3"/>
      <c r="E753" s="3"/>
      <c r="F753" s="3"/>
      <c r="G753" s="3"/>
      <c r="H753" s="3"/>
      <c r="I753" s="3"/>
      <c r="J753" s="3"/>
      <c r="K753" s="221"/>
      <c r="L753" s="222"/>
      <c r="M753" s="221"/>
      <c r="N753" s="3"/>
      <c r="O753" s="3"/>
      <c r="P753" s="3"/>
      <c r="Q753" s="3"/>
      <c r="R753" s="3"/>
      <c r="S753" s="3"/>
      <c r="T753" s="22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>
      <c r="A754" s="3"/>
      <c r="B754" s="3"/>
      <c r="C754" s="31"/>
      <c r="D754" s="3"/>
      <c r="E754" s="3"/>
      <c r="F754" s="3"/>
      <c r="G754" s="3"/>
      <c r="H754" s="3"/>
      <c r="I754" s="3"/>
      <c r="J754" s="3"/>
      <c r="K754" s="221"/>
      <c r="L754" s="222"/>
      <c r="M754" s="221"/>
      <c r="N754" s="3"/>
      <c r="O754" s="3"/>
      <c r="P754" s="3"/>
      <c r="Q754" s="3"/>
      <c r="R754" s="3"/>
      <c r="S754" s="3"/>
      <c r="T754" s="22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>
      <c r="A755" s="3"/>
      <c r="B755" s="3"/>
      <c r="C755" s="31"/>
      <c r="D755" s="3"/>
      <c r="E755" s="3"/>
      <c r="F755" s="3"/>
      <c r="G755" s="3"/>
      <c r="H755" s="3"/>
      <c r="I755" s="3"/>
      <c r="J755" s="3"/>
      <c r="K755" s="221"/>
      <c r="L755" s="222"/>
      <c r="M755" s="221"/>
      <c r="N755" s="3"/>
      <c r="O755" s="3"/>
      <c r="P755" s="3"/>
      <c r="Q755" s="3"/>
      <c r="R755" s="3"/>
      <c r="S755" s="3"/>
      <c r="T755" s="22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>
      <c r="A756" s="3"/>
      <c r="B756" s="3"/>
      <c r="C756" s="31"/>
      <c r="D756" s="3"/>
      <c r="E756" s="3"/>
      <c r="F756" s="3"/>
      <c r="G756" s="3"/>
      <c r="H756" s="3"/>
      <c r="I756" s="3"/>
      <c r="J756" s="3"/>
      <c r="K756" s="221"/>
      <c r="L756" s="222"/>
      <c r="M756" s="221"/>
      <c r="N756" s="3"/>
      <c r="O756" s="3"/>
      <c r="P756" s="3"/>
      <c r="Q756" s="3"/>
      <c r="R756" s="3"/>
      <c r="S756" s="3"/>
      <c r="T756" s="22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>
      <c r="A757" s="3"/>
      <c r="B757" s="3"/>
      <c r="C757" s="31"/>
      <c r="D757" s="3"/>
      <c r="E757" s="3"/>
      <c r="F757" s="3"/>
      <c r="G757" s="3"/>
      <c r="H757" s="3"/>
      <c r="I757" s="3"/>
      <c r="J757" s="3"/>
      <c r="K757" s="221"/>
      <c r="L757" s="222"/>
      <c r="M757" s="221"/>
      <c r="N757" s="3"/>
      <c r="O757" s="3"/>
      <c r="P757" s="3"/>
      <c r="Q757" s="3"/>
      <c r="R757" s="3"/>
      <c r="S757" s="3"/>
      <c r="T757" s="22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>
      <c r="A758" s="3"/>
      <c r="B758" s="3"/>
      <c r="C758" s="31"/>
      <c r="D758" s="3"/>
      <c r="E758" s="3"/>
      <c r="F758" s="3"/>
      <c r="G758" s="3"/>
      <c r="H758" s="3"/>
      <c r="I758" s="3"/>
      <c r="J758" s="3"/>
      <c r="K758" s="221"/>
      <c r="L758" s="222"/>
      <c r="M758" s="221"/>
      <c r="N758" s="3"/>
      <c r="O758" s="3"/>
      <c r="P758" s="3"/>
      <c r="Q758" s="3"/>
      <c r="R758" s="3"/>
      <c r="S758" s="3"/>
      <c r="T758" s="22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>
      <c r="A759" s="3"/>
      <c r="B759" s="3"/>
      <c r="C759" s="31"/>
      <c r="D759" s="3"/>
      <c r="E759" s="3"/>
      <c r="F759" s="3"/>
      <c r="G759" s="3"/>
      <c r="H759" s="3"/>
      <c r="I759" s="3"/>
      <c r="J759" s="3"/>
      <c r="K759" s="221"/>
      <c r="L759" s="222"/>
      <c r="M759" s="221"/>
      <c r="N759" s="3"/>
      <c r="O759" s="3"/>
      <c r="P759" s="3"/>
      <c r="Q759" s="3"/>
      <c r="R759" s="3"/>
      <c r="S759" s="3"/>
      <c r="T759" s="22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>
      <c r="A760" s="3"/>
      <c r="B760" s="3"/>
      <c r="C760" s="31"/>
      <c r="D760" s="3"/>
      <c r="E760" s="3"/>
      <c r="F760" s="3"/>
      <c r="G760" s="3"/>
      <c r="H760" s="3"/>
      <c r="I760" s="3"/>
      <c r="J760" s="3"/>
      <c r="K760" s="221"/>
      <c r="L760" s="222"/>
      <c r="M760" s="221"/>
      <c r="N760" s="3"/>
      <c r="O760" s="3"/>
      <c r="P760" s="3"/>
      <c r="Q760" s="3"/>
      <c r="R760" s="3"/>
      <c r="S760" s="3"/>
      <c r="T760" s="22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>
      <c r="A761" s="3"/>
      <c r="B761" s="3"/>
      <c r="C761" s="31"/>
      <c r="D761" s="3"/>
      <c r="E761" s="3"/>
      <c r="F761" s="3"/>
      <c r="G761" s="3"/>
      <c r="H761" s="3"/>
      <c r="I761" s="3"/>
      <c r="J761" s="3"/>
      <c r="K761" s="221"/>
      <c r="L761" s="222"/>
      <c r="M761" s="221"/>
      <c r="N761" s="3"/>
      <c r="O761" s="3"/>
      <c r="P761" s="3"/>
      <c r="Q761" s="3"/>
      <c r="R761" s="3"/>
      <c r="S761" s="3"/>
      <c r="T761" s="22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>
      <c r="A762" s="3"/>
      <c r="B762" s="3"/>
      <c r="C762" s="31"/>
      <c r="D762" s="3"/>
      <c r="E762" s="3"/>
      <c r="F762" s="3"/>
      <c r="G762" s="3"/>
      <c r="H762" s="3"/>
      <c r="I762" s="3"/>
      <c r="J762" s="3"/>
      <c r="K762" s="221"/>
      <c r="L762" s="222"/>
      <c r="M762" s="221"/>
      <c r="N762" s="3"/>
      <c r="O762" s="3"/>
      <c r="P762" s="3"/>
      <c r="Q762" s="3"/>
      <c r="R762" s="3"/>
      <c r="S762" s="3"/>
      <c r="T762" s="22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>
      <c r="A763" s="3"/>
      <c r="B763" s="3"/>
      <c r="C763" s="31"/>
      <c r="D763" s="3"/>
      <c r="E763" s="3"/>
      <c r="F763" s="3"/>
      <c r="G763" s="3"/>
      <c r="H763" s="3"/>
      <c r="I763" s="3"/>
      <c r="J763" s="3"/>
      <c r="K763" s="221"/>
      <c r="L763" s="222"/>
      <c r="M763" s="221"/>
      <c r="N763" s="3"/>
      <c r="O763" s="3"/>
      <c r="P763" s="3"/>
      <c r="Q763" s="3"/>
      <c r="R763" s="3"/>
      <c r="S763" s="3"/>
      <c r="T763" s="22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>
      <c r="A764" s="3"/>
      <c r="B764" s="3"/>
      <c r="C764" s="31"/>
      <c r="D764" s="3"/>
      <c r="E764" s="3"/>
      <c r="F764" s="3"/>
      <c r="G764" s="3"/>
      <c r="H764" s="3"/>
      <c r="I764" s="3"/>
      <c r="J764" s="3"/>
      <c r="K764" s="221"/>
      <c r="L764" s="222"/>
      <c r="M764" s="221"/>
      <c r="N764" s="3"/>
      <c r="O764" s="3"/>
      <c r="P764" s="3"/>
      <c r="Q764" s="3"/>
      <c r="R764" s="3"/>
      <c r="S764" s="3"/>
      <c r="T764" s="22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>
      <c r="A765" s="3"/>
      <c r="B765" s="3"/>
      <c r="C765" s="31"/>
      <c r="D765" s="3"/>
      <c r="E765" s="3"/>
      <c r="F765" s="3"/>
      <c r="G765" s="3"/>
      <c r="H765" s="3"/>
      <c r="I765" s="3"/>
      <c r="J765" s="3"/>
      <c r="K765" s="221"/>
      <c r="L765" s="222"/>
      <c r="M765" s="221"/>
      <c r="N765" s="3"/>
      <c r="O765" s="3"/>
      <c r="P765" s="3"/>
      <c r="Q765" s="3"/>
      <c r="R765" s="3"/>
      <c r="S765" s="3"/>
      <c r="T765" s="22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>
      <c r="A766" s="3"/>
      <c r="B766" s="3"/>
      <c r="C766" s="31"/>
      <c r="D766" s="3"/>
      <c r="E766" s="3"/>
      <c r="F766" s="3"/>
      <c r="G766" s="3"/>
      <c r="H766" s="3"/>
      <c r="I766" s="3"/>
      <c r="J766" s="3"/>
      <c r="K766" s="221"/>
      <c r="L766" s="222"/>
      <c r="M766" s="221"/>
      <c r="N766" s="3"/>
      <c r="O766" s="3"/>
      <c r="P766" s="3"/>
      <c r="Q766" s="3"/>
      <c r="R766" s="3"/>
      <c r="S766" s="3"/>
      <c r="T766" s="22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>
      <c r="A767" s="3"/>
      <c r="B767" s="3"/>
      <c r="C767" s="31"/>
      <c r="D767" s="3"/>
      <c r="E767" s="3"/>
      <c r="F767" s="3"/>
      <c r="G767" s="3"/>
      <c r="H767" s="3"/>
      <c r="I767" s="3"/>
      <c r="J767" s="3"/>
      <c r="K767" s="221"/>
      <c r="L767" s="222"/>
      <c r="M767" s="221"/>
      <c r="N767" s="3"/>
      <c r="O767" s="3"/>
      <c r="P767" s="3"/>
      <c r="Q767" s="3"/>
      <c r="R767" s="3"/>
      <c r="S767" s="3"/>
      <c r="T767" s="22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>
      <c r="A768" s="3"/>
      <c r="B768" s="3"/>
      <c r="C768" s="31"/>
      <c r="D768" s="3"/>
      <c r="E768" s="3"/>
      <c r="F768" s="3"/>
      <c r="G768" s="3"/>
      <c r="H768" s="3"/>
      <c r="I768" s="3"/>
      <c r="J768" s="3"/>
      <c r="K768" s="221"/>
      <c r="L768" s="222"/>
      <c r="M768" s="221"/>
      <c r="N768" s="3"/>
      <c r="O768" s="3"/>
      <c r="P768" s="3"/>
      <c r="Q768" s="3"/>
      <c r="R768" s="3"/>
      <c r="S768" s="3"/>
      <c r="T768" s="22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>
      <c r="A769" s="3"/>
      <c r="B769" s="3"/>
      <c r="C769" s="31"/>
      <c r="D769" s="3"/>
      <c r="E769" s="3"/>
      <c r="F769" s="3"/>
      <c r="G769" s="3"/>
      <c r="H769" s="3"/>
      <c r="I769" s="3"/>
      <c r="J769" s="3"/>
      <c r="K769" s="221"/>
      <c r="L769" s="222"/>
      <c r="M769" s="221"/>
      <c r="N769" s="3"/>
      <c r="O769" s="3"/>
      <c r="P769" s="3"/>
      <c r="Q769" s="3"/>
      <c r="R769" s="3"/>
      <c r="S769" s="3"/>
      <c r="T769" s="22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>
      <c r="A770" s="3"/>
      <c r="B770" s="3"/>
      <c r="C770" s="31"/>
      <c r="D770" s="3"/>
      <c r="E770" s="3"/>
      <c r="F770" s="3"/>
      <c r="G770" s="3"/>
      <c r="H770" s="3"/>
      <c r="I770" s="3"/>
      <c r="J770" s="3"/>
      <c r="K770" s="221"/>
      <c r="L770" s="222"/>
      <c r="M770" s="221"/>
      <c r="N770" s="3"/>
      <c r="O770" s="3"/>
      <c r="P770" s="3"/>
      <c r="Q770" s="3"/>
      <c r="R770" s="3"/>
      <c r="S770" s="3"/>
      <c r="T770" s="22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>
      <c r="A771" s="3"/>
      <c r="B771" s="3"/>
      <c r="C771" s="31"/>
      <c r="D771" s="3"/>
      <c r="E771" s="3"/>
      <c r="F771" s="3"/>
      <c r="G771" s="3"/>
      <c r="H771" s="3"/>
      <c r="I771" s="3"/>
      <c r="J771" s="3"/>
      <c r="K771" s="221"/>
      <c r="L771" s="222"/>
      <c r="M771" s="221"/>
      <c r="N771" s="3"/>
      <c r="O771" s="3"/>
      <c r="P771" s="3"/>
      <c r="Q771" s="3"/>
      <c r="R771" s="3"/>
      <c r="S771" s="3"/>
      <c r="T771" s="22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>
      <c r="A772" s="3"/>
      <c r="B772" s="3"/>
      <c r="C772" s="31"/>
      <c r="D772" s="3"/>
      <c r="E772" s="3"/>
      <c r="F772" s="3"/>
      <c r="G772" s="3"/>
      <c r="H772" s="3"/>
      <c r="I772" s="3"/>
      <c r="J772" s="3"/>
      <c r="K772" s="221"/>
      <c r="L772" s="222"/>
      <c r="M772" s="221"/>
      <c r="N772" s="3"/>
      <c r="O772" s="3"/>
      <c r="P772" s="3"/>
      <c r="Q772" s="3"/>
      <c r="R772" s="3"/>
      <c r="S772" s="3"/>
      <c r="T772" s="22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>
      <c r="A773" s="3"/>
      <c r="B773" s="3"/>
      <c r="C773" s="31"/>
      <c r="D773" s="3"/>
      <c r="E773" s="3"/>
      <c r="F773" s="3"/>
      <c r="G773" s="3"/>
      <c r="H773" s="3"/>
      <c r="I773" s="3"/>
      <c r="J773" s="3"/>
      <c r="K773" s="221"/>
      <c r="L773" s="222"/>
      <c r="M773" s="221"/>
      <c r="N773" s="3"/>
      <c r="O773" s="3"/>
      <c r="P773" s="3"/>
      <c r="Q773" s="3"/>
      <c r="R773" s="3"/>
      <c r="S773" s="3"/>
      <c r="T773" s="22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>
      <c r="A774" s="3"/>
      <c r="B774" s="3"/>
      <c r="C774" s="31"/>
      <c r="D774" s="3"/>
      <c r="E774" s="3"/>
      <c r="F774" s="3"/>
      <c r="G774" s="3"/>
      <c r="H774" s="3"/>
      <c r="I774" s="3"/>
      <c r="J774" s="3"/>
      <c r="K774" s="221"/>
      <c r="L774" s="222"/>
      <c r="M774" s="221"/>
      <c r="N774" s="3"/>
      <c r="O774" s="3"/>
      <c r="P774" s="3"/>
      <c r="Q774" s="3"/>
      <c r="R774" s="3"/>
      <c r="S774" s="3"/>
      <c r="T774" s="22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>
      <c r="A775" s="3"/>
      <c r="B775" s="3"/>
      <c r="C775" s="31"/>
      <c r="D775" s="3"/>
      <c r="E775" s="3"/>
      <c r="F775" s="3"/>
      <c r="G775" s="3"/>
      <c r="H775" s="3"/>
      <c r="I775" s="3"/>
      <c r="J775" s="3"/>
      <c r="K775" s="221"/>
      <c r="L775" s="222"/>
      <c r="M775" s="221"/>
      <c r="N775" s="3"/>
      <c r="O775" s="3"/>
      <c r="P775" s="3"/>
      <c r="Q775" s="3"/>
      <c r="R775" s="3"/>
      <c r="S775" s="3"/>
      <c r="T775" s="22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>
      <c r="A776" s="3"/>
      <c r="B776" s="3"/>
      <c r="C776" s="31"/>
      <c r="D776" s="3"/>
      <c r="E776" s="3"/>
      <c r="F776" s="3"/>
      <c r="G776" s="3"/>
      <c r="H776" s="3"/>
      <c r="I776" s="3"/>
      <c r="J776" s="3"/>
      <c r="K776" s="221"/>
      <c r="L776" s="222"/>
      <c r="M776" s="221"/>
      <c r="N776" s="3"/>
      <c r="O776" s="3"/>
      <c r="P776" s="3"/>
      <c r="Q776" s="3"/>
      <c r="R776" s="3"/>
      <c r="S776" s="3"/>
      <c r="T776" s="22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>
      <c r="A777" s="3"/>
      <c r="B777" s="3"/>
      <c r="C777" s="31"/>
      <c r="D777" s="3"/>
      <c r="E777" s="3"/>
      <c r="F777" s="3"/>
      <c r="G777" s="3"/>
      <c r="H777" s="3"/>
      <c r="I777" s="3"/>
      <c r="J777" s="3"/>
      <c r="K777" s="221"/>
      <c r="L777" s="222"/>
      <c r="M777" s="221"/>
      <c r="N777" s="3"/>
      <c r="O777" s="3"/>
      <c r="P777" s="3"/>
      <c r="Q777" s="3"/>
      <c r="R777" s="3"/>
      <c r="S777" s="3"/>
      <c r="T777" s="22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>
      <c r="A778" s="3"/>
      <c r="B778" s="3"/>
      <c r="C778" s="31"/>
      <c r="D778" s="3"/>
      <c r="E778" s="3"/>
      <c r="F778" s="3"/>
      <c r="G778" s="3"/>
      <c r="H778" s="3"/>
      <c r="I778" s="3"/>
      <c r="J778" s="3"/>
      <c r="K778" s="221"/>
      <c r="L778" s="222"/>
      <c r="M778" s="221"/>
      <c r="N778" s="3"/>
      <c r="O778" s="3"/>
      <c r="P778" s="3"/>
      <c r="Q778" s="3"/>
      <c r="R778" s="3"/>
      <c r="S778" s="3"/>
      <c r="T778" s="22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>
      <c r="A779" s="3"/>
      <c r="B779" s="3"/>
      <c r="C779" s="31"/>
      <c r="D779" s="3"/>
      <c r="E779" s="3"/>
      <c r="F779" s="3"/>
      <c r="G779" s="3"/>
      <c r="H779" s="3"/>
      <c r="I779" s="3"/>
      <c r="J779" s="3"/>
      <c r="K779" s="221"/>
      <c r="L779" s="222"/>
      <c r="M779" s="221"/>
      <c r="N779" s="3"/>
      <c r="O779" s="3"/>
      <c r="P779" s="3"/>
      <c r="Q779" s="3"/>
      <c r="R779" s="3"/>
      <c r="S779" s="3"/>
      <c r="T779" s="22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>
      <c r="A780" s="3"/>
      <c r="B780" s="3"/>
      <c r="C780" s="31"/>
      <c r="D780" s="3"/>
      <c r="E780" s="3"/>
      <c r="F780" s="3"/>
      <c r="G780" s="3"/>
      <c r="H780" s="3"/>
      <c r="I780" s="3"/>
      <c r="J780" s="3"/>
      <c r="K780" s="221"/>
      <c r="L780" s="222"/>
      <c r="M780" s="221"/>
      <c r="N780" s="3"/>
      <c r="O780" s="3"/>
      <c r="P780" s="3"/>
      <c r="Q780" s="3"/>
      <c r="R780" s="3"/>
      <c r="S780" s="3"/>
      <c r="T780" s="22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>
      <c r="A781" s="3"/>
      <c r="B781" s="3"/>
      <c r="C781" s="31"/>
      <c r="D781" s="3"/>
      <c r="E781" s="3"/>
      <c r="F781" s="3"/>
      <c r="G781" s="3"/>
      <c r="H781" s="3"/>
      <c r="I781" s="3"/>
      <c r="J781" s="3"/>
      <c r="K781" s="221"/>
      <c r="L781" s="222"/>
      <c r="M781" s="221"/>
      <c r="N781" s="3"/>
      <c r="O781" s="3"/>
      <c r="P781" s="3"/>
      <c r="Q781" s="3"/>
      <c r="R781" s="3"/>
      <c r="S781" s="3"/>
      <c r="T781" s="22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>
      <c r="A782" s="3"/>
      <c r="B782" s="3"/>
      <c r="C782" s="31"/>
      <c r="D782" s="3"/>
      <c r="E782" s="3"/>
      <c r="F782" s="3"/>
      <c r="G782" s="3"/>
      <c r="H782" s="3"/>
      <c r="I782" s="3"/>
      <c r="J782" s="3"/>
      <c r="K782" s="221"/>
      <c r="L782" s="222"/>
      <c r="M782" s="221"/>
      <c r="N782" s="3"/>
      <c r="O782" s="3"/>
      <c r="P782" s="3"/>
      <c r="Q782" s="3"/>
      <c r="R782" s="3"/>
      <c r="S782" s="3"/>
      <c r="T782" s="22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>
      <c r="A783" s="3"/>
      <c r="B783" s="3"/>
      <c r="C783" s="31"/>
      <c r="D783" s="3"/>
      <c r="E783" s="3"/>
      <c r="F783" s="3"/>
      <c r="G783" s="3"/>
      <c r="H783" s="3"/>
      <c r="I783" s="3"/>
      <c r="J783" s="3"/>
      <c r="K783" s="221"/>
      <c r="L783" s="222"/>
      <c r="M783" s="221"/>
      <c r="N783" s="3"/>
      <c r="O783" s="3"/>
      <c r="P783" s="3"/>
      <c r="Q783" s="3"/>
      <c r="R783" s="3"/>
      <c r="S783" s="3"/>
      <c r="T783" s="22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>
      <c r="A784" s="3"/>
      <c r="B784" s="3"/>
      <c r="C784" s="31"/>
      <c r="D784" s="3"/>
      <c r="E784" s="3"/>
      <c r="F784" s="3"/>
      <c r="G784" s="3"/>
      <c r="H784" s="3"/>
      <c r="I784" s="3"/>
      <c r="J784" s="3"/>
      <c r="K784" s="221"/>
      <c r="L784" s="222"/>
      <c r="M784" s="221"/>
      <c r="N784" s="3"/>
      <c r="O784" s="3"/>
      <c r="P784" s="3"/>
      <c r="Q784" s="3"/>
      <c r="R784" s="3"/>
      <c r="S784" s="3"/>
      <c r="T784" s="22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>
      <c r="A785" s="3"/>
      <c r="B785" s="3"/>
      <c r="C785" s="31"/>
      <c r="D785" s="3"/>
      <c r="E785" s="3"/>
      <c r="F785" s="3"/>
      <c r="G785" s="3"/>
      <c r="H785" s="3"/>
      <c r="I785" s="3"/>
      <c r="J785" s="3"/>
      <c r="K785" s="221"/>
      <c r="L785" s="222"/>
      <c r="M785" s="221"/>
      <c r="N785" s="3"/>
      <c r="O785" s="3"/>
      <c r="P785" s="3"/>
      <c r="Q785" s="3"/>
      <c r="R785" s="3"/>
      <c r="S785" s="3"/>
      <c r="T785" s="22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>
      <c r="A786" s="3"/>
      <c r="B786" s="3"/>
      <c r="C786" s="31"/>
      <c r="D786" s="3"/>
      <c r="E786" s="3"/>
      <c r="F786" s="3"/>
      <c r="G786" s="3"/>
      <c r="H786" s="3"/>
      <c r="I786" s="3"/>
      <c r="J786" s="3"/>
      <c r="K786" s="221"/>
      <c r="L786" s="222"/>
      <c r="M786" s="221"/>
      <c r="N786" s="3"/>
      <c r="O786" s="3"/>
      <c r="P786" s="3"/>
      <c r="Q786" s="3"/>
      <c r="R786" s="3"/>
      <c r="S786" s="3"/>
      <c r="T786" s="22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>
      <c r="A787" s="3"/>
      <c r="B787" s="3"/>
      <c r="C787" s="31"/>
      <c r="D787" s="3"/>
      <c r="E787" s="3"/>
      <c r="F787" s="3"/>
      <c r="G787" s="3"/>
      <c r="H787" s="3"/>
      <c r="I787" s="3"/>
      <c r="J787" s="3"/>
      <c r="K787" s="221"/>
      <c r="L787" s="222"/>
      <c r="M787" s="221"/>
      <c r="N787" s="3"/>
      <c r="O787" s="3"/>
      <c r="P787" s="3"/>
      <c r="Q787" s="3"/>
      <c r="R787" s="3"/>
      <c r="S787" s="3"/>
      <c r="T787" s="22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>
      <c r="A788" s="3"/>
      <c r="B788" s="3"/>
      <c r="C788" s="31"/>
      <c r="D788" s="3"/>
      <c r="E788" s="3"/>
      <c r="F788" s="3"/>
      <c r="G788" s="3"/>
      <c r="H788" s="3"/>
      <c r="I788" s="3"/>
      <c r="J788" s="3"/>
      <c r="K788" s="221"/>
      <c r="L788" s="222"/>
      <c r="M788" s="221"/>
      <c r="N788" s="3"/>
      <c r="O788" s="3"/>
      <c r="P788" s="3"/>
      <c r="Q788" s="3"/>
      <c r="R788" s="3"/>
      <c r="S788" s="3"/>
      <c r="T788" s="22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>
      <c r="A789" s="3"/>
      <c r="B789" s="3"/>
      <c r="C789" s="31"/>
      <c r="D789" s="3"/>
      <c r="E789" s="3"/>
      <c r="F789" s="3"/>
      <c r="G789" s="3"/>
      <c r="H789" s="3"/>
      <c r="I789" s="3"/>
      <c r="J789" s="3"/>
      <c r="K789" s="221"/>
      <c r="L789" s="222"/>
      <c r="M789" s="221"/>
      <c r="N789" s="3"/>
      <c r="O789" s="3"/>
      <c r="P789" s="3"/>
      <c r="Q789" s="3"/>
      <c r="R789" s="3"/>
      <c r="S789" s="3"/>
      <c r="T789" s="22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>
      <c r="A790" s="3"/>
      <c r="B790" s="3"/>
      <c r="C790" s="31"/>
      <c r="D790" s="3"/>
      <c r="E790" s="3"/>
      <c r="F790" s="3"/>
      <c r="G790" s="3"/>
      <c r="H790" s="3"/>
      <c r="I790" s="3"/>
      <c r="J790" s="3"/>
      <c r="K790" s="221"/>
      <c r="L790" s="222"/>
      <c r="M790" s="221"/>
      <c r="N790" s="3"/>
      <c r="O790" s="3"/>
      <c r="P790" s="3"/>
      <c r="Q790" s="3"/>
      <c r="R790" s="3"/>
      <c r="S790" s="3"/>
      <c r="T790" s="22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>
      <c r="A791" s="3"/>
      <c r="B791" s="3"/>
      <c r="C791" s="31"/>
      <c r="D791" s="3"/>
      <c r="E791" s="3"/>
      <c r="F791" s="3"/>
      <c r="G791" s="3"/>
      <c r="H791" s="3"/>
      <c r="I791" s="3"/>
      <c r="J791" s="3"/>
      <c r="K791" s="221"/>
      <c r="L791" s="222"/>
      <c r="M791" s="221"/>
      <c r="N791" s="3"/>
      <c r="O791" s="3"/>
      <c r="P791" s="3"/>
      <c r="Q791" s="3"/>
      <c r="R791" s="3"/>
      <c r="S791" s="3"/>
      <c r="T791" s="22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>
      <c r="A792" s="3"/>
      <c r="B792" s="3"/>
      <c r="C792" s="31"/>
      <c r="D792" s="3"/>
      <c r="E792" s="3"/>
      <c r="F792" s="3"/>
      <c r="G792" s="3"/>
      <c r="H792" s="3"/>
      <c r="I792" s="3"/>
      <c r="J792" s="3"/>
      <c r="K792" s="221"/>
      <c r="L792" s="222"/>
      <c r="M792" s="221"/>
      <c r="N792" s="3"/>
      <c r="O792" s="3"/>
      <c r="P792" s="3"/>
      <c r="Q792" s="3"/>
      <c r="R792" s="3"/>
      <c r="S792" s="3"/>
      <c r="T792" s="22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>
      <c r="A793" s="3"/>
      <c r="B793" s="3"/>
      <c r="C793" s="31"/>
      <c r="D793" s="3"/>
      <c r="E793" s="3"/>
      <c r="F793" s="3"/>
      <c r="G793" s="3"/>
      <c r="H793" s="3"/>
      <c r="I793" s="3"/>
      <c r="J793" s="3"/>
      <c r="K793" s="221"/>
      <c r="L793" s="222"/>
      <c r="M793" s="221"/>
      <c r="N793" s="3"/>
      <c r="O793" s="3"/>
      <c r="P793" s="3"/>
      <c r="Q793" s="3"/>
      <c r="R793" s="3"/>
      <c r="S793" s="3"/>
      <c r="T793" s="22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>
      <c r="A794" s="3"/>
      <c r="B794" s="3"/>
      <c r="C794" s="31"/>
      <c r="D794" s="3"/>
      <c r="E794" s="3"/>
      <c r="F794" s="3"/>
      <c r="G794" s="3"/>
      <c r="H794" s="3"/>
      <c r="I794" s="3"/>
      <c r="J794" s="3"/>
      <c r="K794" s="221"/>
      <c r="L794" s="222"/>
      <c r="M794" s="221"/>
      <c r="N794" s="3"/>
      <c r="O794" s="3"/>
      <c r="P794" s="3"/>
      <c r="Q794" s="3"/>
      <c r="R794" s="3"/>
      <c r="S794" s="3"/>
      <c r="T794" s="22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>
      <c r="A795" s="3"/>
      <c r="B795" s="3"/>
      <c r="C795" s="31"/>
      <c r="D795" s="3"/>
      <c r="E795" s="3"/>
      <c r="F795" s="3"/>
      <c r="G795" s="3"/>
      <c r="H795" s="3"/>
      <c r="I795" s="3"/>
      <c r="J795" s="3"/>
      <c r="K795" s="221"/>
      <c r="L795" s="222"/>
      <c r="M795" s="221"/>
      <c r="N795" s="3"/>
      <c r="O795" s="3"/>
      <c r="P795" s="3"/>
      <c r="Q795" s="3"/>
      <c r="R795" s="3"/>
      <c r="S795" s="3"/>
      <c r="T795" s="22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>
      <c r="A796" s="3"/>
      <c r="B796" s="3"/>
      <c r="C796" s="31"/>
      <c r="D796" s="3"/>
      <c r="E796" s="3"/>
      <c r="F796" s="3"/>
      <c r="G796" s="3"/>
      <c r="H796" s="3"/>
      <c r="I796" s="3"/>
      <c r="J796" s="3"/>
      <c r="K796" s="221"/>
      <c r="L796" s="222"/>
      <c r="M796" s="221"/>
      <c r="N796" s="3"/>
      <c r="O796" s="3"/>
      <c r="P796" s="3"/>
      <c r="Q796" s="3"/>
      <c r="R796" s="3"/>
      <c r="S796" s="3"/>
      <c r="T796" s="22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>
      <c r="A797" s="3"/>
      <c r="B797" s="3"/>
      <c r="C797" s="31"/>
      <c r="D797" s="3"/>
      <c r="E797" s="3"/>
      <c r="F797" s="3"/>
      <c r="G797" s="3"/>
      <c r="H797" s="3"/>
      <c r="I797" s="3"/>
      <c r="J797" s="3"/>
      <c r="K797" s="221"/>
      <c r="L797" s="222"/>
      <c r="M797" s="221"/>
      <c r="N797" s="3"/>
      <c r="O797" s="3"/>
      <c r="P797" s="3"/>
      <c r="Q797" s="3"/>
      <c r="R797" s="3"/>
      <c r="S797" s="3"/>
      <c r="T797" s="22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>
      <c r="A798" s="3"/>
      <c r="B798" s="3"/>
      <c r="C798" s="31"/>
      <c r="D798" s="3"/>
      <c r="E798" s="3"/>
      <c r="F798" s="3"/>
      <c r="G798" s="3"/>
      <c r="H798" s="3"/>
      <c r="I798" s="3"/>
      <c r="J798" s="3"/>
      <c r="K798" s="221"/>
      <c r="L798" s="222"/>
      <c r="M798" s="221"/>
      <c r="N798" s="3"/>
      <c r="O798" s="3"/>
      <c r="P798" s="3"/>
      <c r="Q798" s="3"/>
      <c r="R798" s="3"/>
      <c r="S798" s="3"/>
      <c r="T798" s="22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>
      <c r="A799" s="3"/>
      <c r="B799" s="3"/>
      <c r="C799" s="31"/>
      <c r="D799" s="3"/>
      <c r="E799" s="3"/>
      <c r="F799" s="3"/>
      <c r="G799" s="3"/>
      <c r="H799" s="3"/>
      <c r="I799" s="3"/>
      <c r="J799" s="3"/>
      <c r="K799" s="221"/>
      <c r="L799" s="222"/>
      <c r="M799" s="221"/>
      <c r="N799" s="3"/>
      <c r="O799" s="3"/>
      <c r="P799" s="3"/>
      <c r="Q799" s="3"/>
      <c r="R799" s="3"/>
      <c r="S799" s="3"/>
      <c r="T799" s="22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>
      <c r="A800" s="3"/>
      <c r="B800" s="3"/>
      <c r="C800" s="31"/>
      <c r="D800" s="3"/>
      <c r="E800" s="3"/>
      <c r="F800" s="3"/>
      <c r="G800" s="3"/>
      <c r="H800" s="3"/>
      <c r="I800" s="3"/>
      <c r="J800" s="3"/>
      <c r="K800" s="221"/>
      <c r="L800" s="222"/>
      <c r="M800" s="221"/>
      <c r="N800" s="3"/>
      <c r="O800" s="3"/>
      <c r="P800" s="3"/>
      <c r="Q800" s="3"/>
      <c r="R800" s="3"/>
      <c r="S800" s="3"/>
      <c r="T800" s="22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>
      <c r="A801" s="3"/>
      <c r="B801" s="3"/>
      <c r="C801" s="31"/>
      <c r="D801" s="3"/>
      <c r="E801" s="3"/>
      <c r="F801" s="3"/>
      <c r="G801" s="3"/>
      <c r="H801" s="3"/>
      <c r="I801" s="3"/>
      <c r="J801" s="3"/>
      <c r="K801" s="221"/>
      <c r="L801" s="222"/>
      <c r="M801" s="221"/>
      <c r="N801" s="3"/>
      <c r="O801" s="3"/>
      <c r="P801" s="3"/>
      <c r="Q801" s="3"/>
      <c r="R801" s="3"/>
      <c r="S801" s="3"/>
      <c r="T801" s="22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>
      <c r="A802" s="3"/>
      <c r="B802" s="3"/>
      <c r="C802" s="31"/>
      <c r="D802" s="3"/>
      <c r="E802" s="3"/>
      <c r="F802" s="3"/>
      <c r="G802" s="3"/>
      <c r="H802" s="3"/>
      <c r="I802" s="3"/>
      <c r="J802" s="3"/>
      <c r="K802" s="221"/>
      <c r="L802" s="222"/>
      <c r="M802" s="221"/>
      <c r="N802" s="3"/>
      <c r="O802" s="3"/>
      <c r="P802" s="3"/>
      <c r="Q802" s="3"/>
      <c r="R802" s="3"/>
      <c r="S802" s="3"/>
      <c r="T802" s="22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>
      <c r="A803" s="3"/>
      <c r="B803" s="3"/>
      <c r="C803" s="31"/>
      <c r="D803" s="3"/>
      <c r="E803" s="3"/>
      <c r="F803" s="3"/>
      <c r="G803" s="3"/>
      <c r="H803" s="3"/>
      <c r="I803" s="3"/>
      <c r="J803" s="3"/>
      <c r="K803" s="221"/>
      <c r="L803" s="222"/>
      <c r="M803" s="221"/>
      <c r="N803" s="3"/>
      <c r="O803" s="3"/>
      <c r="P803" s="3"/>
      <c r="Q803" s="3"/>
      <c r="R803" s="3"/>
      <c r="S803" s="3"/>
      <c r="T803" s="22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>
      <c r="A804" s="3"/>
      <c r="B804" s="3"/>
      <c r="C804" s="31"/>
      <c r="D804" s="3"/>
      <c r="E804" s="3"/>
      <c r="F804" s="3"/>
      <c r="G804" s="3"/>
      <c r="H804" s="3"/>
      <c r="I804" s="3"/>
      <c r="J804" s="3"/>
      <c r="K804" s="221"/>
      <c r="L804" s="222"/>
      <c r="M804" s="221"/>
      <c r="N804" s="3"/>
      <c r="O804" s="3"/>
      <c r="P804" s="3"/>
      <c r="Q804" s="3"/>
      <c r="R804" s="3"/>
      <c r="S804" s="3"/>
      <c r="T804" s="22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>
      <c r="A805" s="3"/>
      <c r="B805" s="3"/>
      <c r="C805" s="31"/>
      <c r="D805" s="3"/>
      <c r="E805" s="3"/>
      <c r="F805" s="3"/>
      <c r="G805" s="3"/>
      <c r="H805" s="3"/>
      <c r="I805" s="3"/>
      <c r="J805" s="3"/>
      <c r="K805" s="221"/>
      <c r="L805" s="222"/>
      <c r="M805" s="221"/>
      <c r="N805" s="3"/>
      <c r="O805" s="3"/>
      <c r="P805" s="3"/>
      <c r="Q805" s="3"/>
      <c r="R805" s="3"/>
      <c r="S805" s="3"/>
      <c r="T805" s="22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>
      <c r="A806" s="3"/>
      <c r="B806" s="3"/>
      <c r="C806" s="31"/>
      <c r="D806" s="3"/>
      <c r="E806" s="3"/>
      <c r="F806" s="3"/>
      <c r="G806" s="3"/>
      <c r="H806" s="3"/>
      <c r="I806" s="3"/>
      <c r="J806" s="3"/>
      <c r="K806" s="221"/>
      <c r="L806" s="222"/>
      <c r="M806" s="221"/>
      <c r="N806" s="3"/>
      <c r="O806" s="3"/>
      <c r="P806" s="3"/>
      <c r="Q806" s="3"/>
      <c r="R806" s="3"/>
      <c r="S806" s="3"/>
      <c r="T806" s="22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>
      <c r="A807" s="3"/>
      <c r="B807" s="3"/>
      <c r="C807" s="31"/>
      <c r="D807" s="3"/>
      <c r="E807" s="3"/>
      <c r="F807" s="3"/>
      <c r="G807" s="3"/>
      <c r="H807" s="3"/>
      <c r="I807" s="3"/>
      <c r="J807" s="3"/>
      <c r="K807" s="221"/>
      <c r="L807" s="222"/>
      <c r="M807" s="221"/>
      <c r="N807" s="3"/>
      <c r="O807" s="3"/>
      <c r="P807" s="3"/>
      <c r="Q807" s="3"/>
      <c r="R807" s="3"/>
      <c r="S807" s="3"/>
      <c r="T807" s="22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>
      <c r="A808" s="3"/>
      <c r="B808" s="3"/>
      <c r="C808" s="31"/>
      <c r="D808" s="3"/>
      <c r="E808" s="3"/>
      <c r="F808" s="3"/>
      <c r="G808" s="3"/>
      <c r="H808" s="3"/>
      <c r="I808" s="3"/>
      <c r="J808" s="3"/>
      <c r="K808" s="221"/>
      <c r="L808" s="222"/>
      <c r="M808" s="221"/>
      <c r="N808" s="3"/>
      <c r="O808" s="3"/>
      <c r="P808" s="3"/>
      <c r="Q808" s="3"/>
      <c r="R808" s="3"/>
      <c r="S808" s="3"/>
      <c r="T808" s="22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>
      <c r="A809" s="3"/>
      <c r="B809" s="3"/>
      <c r="C809" s="31"/>
      <c r="D809" s="3"/>
      <c r="E809" s="3"/>
      <c r="F809" s="3"/>
      <c r="G809" s="3"/>
      <c r="H809" s="3"/>
      <c r="I809" s="3"/>
      <c r="J809" s="3"/>
      <c r="K809" s="221"/>
      <c r="L809" s="222"/>
      <c r="M809" s="221"/>
      <c r="N809" s="3"/>
      <c r="O809" s="3"/>
      <c r="P809" s="3"/>
      <c r="Q809" s="3"/>
      <c r="R809" s="3"/>
      <c r="S809" s="3"/>
      <c r="T809" s="22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>
      <c r="A810" s="3"/>
      <c r="B810" s="3"/>
      <c r="C810" s="31"/>
      <c r="D810" s="3"/>
      <c r="E810" s="3"/>
      <c r="F810" s="3"/>
      <c r="G810" s="3"/>
      <c r="H810" s="3"/>
      <c r="I810" s="3"/>
      <c r="J810" s="3"/>
      <c r="K810" s="221"/>
      <c r="L810" s="222"/>
      <c r="M810" s="221"/>
      <c r="N810" s="3"/>
      <c r="O810" s="3"/>
      <c r="P810" s="3"/>
      <c r="Q810" s="3"/>
      <c r="R810" s="3"/>
      <c r="S810" s="3"/>
      <c r="T810" s="22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>
      <c r="A811" s="3"/>
      <c r="B811" s="3"/>
      <c r="C811" s="31"/>
      <c r="D811" s="3"/>
      <c r="E811" s="3"/>
      <c r="F811" s="3"/>
      <c r="G811" s="3"/>
      <c r="H811" s="3"/>
      <c r="I811" s="3"/>
      <c r="J811" s="3"/>
      <c r="K811" s="221"/>
      <c r="L811" s="222"/>
      <c r="M811" s="221"/>
      <c r="N811" s="3"/>
      <c r="O811" s="3"/>
      <c r="P811" s="3"/>
      <c r="Q811" s="3"/>
      <c r="R811" s="3"/>
      <c r="S811" s="3"/>
      <c r="T811" s="22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>
      <c r="A812" s="3"/>
      <c r="B812" s="3"/>
      <c r="C812" s="31"/>
      <c r="D812" s="3"/>
      <c r="E812" s="3"/>
      <c r="F812" s="3"/>
      <c r="G812" s="3"/>
      <c r="H812" s="3"/>
      <c r="I812" s="3"/>
      <c r="J812" s="3"/>
      <c r="K812" s="221"/>
      <c r="L812" s="222"/>
      <c r="M812" s="221"/>
      <c r="N812" s="3"/>
      <c r="O812" s="3"/>
      <c r="P812" s="3"/>
      <c r="Q812" s="3"/>
      <c r="R812" s="3"/>
      <c r="S812" s="3"/>
      <c r="T812" s="22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>
      <c r="A813" s="3"/>
      <c r="B813" s="3"/>
      <c r="C813" s="31"/>
      <c r="D813" s="3"/>
      <c r="E813" s="3"/>
      <c r="F813" s="3"/>
      <c r="G813" s="3"/>
      <c r="H813" s="3"/>
      <c r="I813" s="3"/>
      <c r="J813" s="3"/>
      <c r="K813" s="221"/>
      <c r="L813" s="222"/>
      <c r="M813" s="221"/>
      <c r="N813" s="3"/>
      <c r="O813" s="3"/>
      <c r="P813" s="3"/>
      <c r="Q813" s="3"/>
      <c r="R813" s="3"/>
      <c r="S813" s="3"/>
      <c r="T813" s="22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>
      <c r="A814" s="3"/>
      <c r="B814" s="3"/>
      <c r="C814" s="31"/>
      <c r="D814" s="3"/>
      <c r="E814" s="3"/>
      <c r="F814" s="3"/>
      <c r="G814" s="3"/>
      <c r="H814" s="3"/>
      <c r="I814" s="3"/>
      <c r="J814" s="3"/>
      <c r="K814" s="221"/>
      <c r="L814" s="222"/>
      <c r="M814" s="221"/>
      <c r="N814" s="3"/>
      <c r="O814" s="3"/>
      <c r="P814" s="3"/>
      <c r="Q814" s="3"/>
      <c r="R814" s="3"/>
      <c r="S814" s="3"/>
      <c r="T814" s="22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>
      <c r="A815" s="3"/>
      <c r="B815" s="3"/>
      <c r="C815" s="31"/>
      <c r="D815" s="3"/>
      <c r="E815" s="3"/>
      <c r="F815" s="3"/>
      <c r="G815" s="3"/>
      <c r="H815" s="3"/>
      <c r="I815" s="3"/>
      <c r="J815" s="3"/>
      <c r="K815" s="221"/>
      <c r="L815" s="222"/>
      <c r="M815" s="221"/>
      <c r="N815" s="3"/>
      <c r="O815" s="3"/>
      <c r="P815" s="3"/>
      <c r="Q815" s="3"/>
      <c r="R815" s="3"/>
      <c r="S815" s="3"/>
      <c r="T815" s="22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>
      <c r="A816" s="3"/>
      <c r="B816" s="3"/>
      <c r="C816" s="31"/>
      <c r="D816" s="3"/>
      <c r="E816" s="3"/>
      <c r="F816" s="3"/>
      <c r="G816" s="3"/>
      <c r="H816" s="3"/>
      <c r="I816" s="3"/>
      <c r="J816" s="3"/>
      <c r="K816" s="221"/>
      <c r="L816" s="222"/>
      <c r="M816" s="221"/>
      <c r="N816" s="3"/>
      <c r="O816" s="3"/>
      <c r="P816" s="3"/>
      <c r="Q816" s="3"/>
      <c r="R816" s="3"/>
      <c r="S816" s="3"/>
      <c r="T816" s="22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>
      <c r="A817" s="3"/>
      <c r="B817" s="3"/>
      <c r="C817" s="31"/>
      <c r="D817" s="3"/>
      <c r="E817" s="3"/>
      <c r="F817" s="3"/>
      <c r="G817" s="3"/>
      <c r="H817" s="3"/>
      <c r="I817" s="3"/>
      <c r="J817" s="3"/>
      <c r="K817" s="221"/>
      <c r="L817" s="222"/>
      <c r="M817" s="221"/>
      <c r="N817" s="3"/>
      <c r="O817" s="3"/>
      <c r="P817" s="3"/>
      <c r="Q817" s="3"/>
      <c r="R817" s="3"/>
      <c r="S817" s="3"/>
      <c r="T817" s="22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>
      <c r="A818" s="3"/>
      <c r="B818" s="3"/>
      <c r="C818" s="31"/>
      <c r="D818" s="3"/>
      <c r="E818" s="3"/>
      <c r="F818" s="3"/>
      <c r="G818" s="3"/>
      <c r="H818" s="3"/>
      <c r="I818" s="3"/>
      <c r="J818" s="3"/>
      <c r="K818" s="221"/>
      <c r="L818" s="222"/>
      <c r="M818" s="221"/>
      <c r="N818" s="3"/>
      <c r="O818" s="3"/>
      <c r="P818" s="3"/>
      <c r="Q818" s="3"/>
      <c r="R818" s="3"/>
      <c r="S818" s="3"/>
      <c r="T818" s="22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>
      <c r="A819" s="3"/>
      <c r="B819" s="3"/>
      <c r="C819" s="31"/>
      <c r="D819" s="3"/>
      <c r="E819" s="3"/>
      <c r="F819" s="3"/>
      <c r="G819" s="3"/>
      <c r="H819" s="3"/>
      <c r="I819" s="3"/>
      <c r="J819" s="3"/>
      <c r="K819" s="221"/>
      <c r="L819" s="222"/>
      <c r="M819" s="221"/>
      <c r="N819" s="3"/>
      <c r="O819" s="3"/>
      <c r="P819" s="3"/>
      <c r="Q819" s="3"/>
      <c r="R819" s="3"/>
      <c r="S819" s="3"/>
      <c r="T819" s="22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>
      <c r="A820" s="3"/>
      <c r="B820" s="3"/>
      <c r="C820" s="31"/>
      <c r="D820" s="3"/>
      <c r="E820" s="3"/>
      <c r="F820" s="3"/>
      <c r="G820" s="3"/>
      <c r="H820" s="3"/>
      <c r="I820" s="3"/>
      <c r="J820" s="3"/>
      <c r="K820" s="221"/>
      <c r="L820" s="222"/>
      <c r="M820" s="221"/>
      <c r="N820" s="3"/>
      <c r="O820" s="3"/>
      <c r="P820" s="3"/>
      <c r="Q820" s="3"/>
      <c r="R820" s="3"/>
      <c r="S820" s="3"/>
      <c r="T820" s="22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>
      <c r="A821" s="3"/>
      <c r="B821" s="3"/>
      <c r="C821" s="31"/>
      <c r="D821" s="3"/>
      <c r="E821" s="3"/>
      <c r="F821" s="3"/>
      <c r="G821" s="3"/>
      <c r="H821" s="3"/>
      <c r="I821" s="3"/>
      <c r="J821" s="3"/>
      <c r="K821" s="221"/>
      <c r="L821" s="222"/>
      <c r="M821" s="221"/>
      <c r="N821" s="3"/>
      <c r="O821" s="3"/>
      <c r="P821" s="3"/>
      <c r="Q821" s="3"/>
      <c r="R821" s="3"/>
      <c r="S821" s="3"/>
      <c r="T821" s="22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>
      <c r="A822" s="3"/>
      <c r="B822" s="3"/>
      <c r="C822" s="31"/>
      <c r="D822" s="3"/>
      <c r="E822" s="3"/>
      <c r="F822" s="3"/>
      <c r="G822" s="3"/>
      <c r="H822" s="3"/>
      <c r="I822" s="3"/>
      <c r="J822" s="3"/>
      <c r="K822" s="221"/>
      <c r="L822" s="222"/>
      <c r="M822" s="221"/>
      <c r="N822" s="3"/>
      <c r="O822" s="3"/>
      <c r="P822" s="3"/>
      <c r="Q822" s="3"/>
      <c r="R822" s="3"/>
      <c r="S822" s="3"/>
      <c r="T822" s="22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>
      <c r="A823" s="3"/>
      <c r="B823" s="3"/>
      <c r="C823" s="31"/>
      <c r="D823" s="3"/>
      <c r="E823" s="3"/>
      <c r="F823" s="3"/>
      <c r="G823" s="3"/>
      <c r="H823" s="3"/>
      <c r="I823" s="3"/>
      <c r="J823" s="3"/>
      <c r="K823" s="221"/>
      <c r="L823" s="222"/>
      <c r="M823" s="221"/>
      <c r="N823" s="3"/>
      <c r="O823" s="3"/>
      <c r="P823" s="3"/>
      <c r="Q823" s="3"/>
      <c r="R823" s="3"/>
      <c r="S823" s="3"/>
      <c r="T823" s="22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>
      <c r="A824" s="3"/>
      <c r="B824" s="3"/>
      <c r="C824" s="31"/>
      <c r="D824" s="3"/>
      <c r="E824" s="3"/>
      <c r="F824" s="3"/>
      <c r="G824" s="3"/>
      <c r="H824" s="3"/>
      <c r="I824" s="3"/>
      <c r="J824" s="3"/>
      <c r="K824" s="221"/>
      <c r="L824" s="222"/>
      <c r="M824" s="221"/>
      <c r="N824" s="3"/>
      <c r="O824" s="3"/>
      <c r="P824" s="3"/>
      <c r="Q824" s="3"/>
      <c r="R824" s="3"/>
      <c r="S824" s="3"/>
      <c r="T824" s="22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>
      <c r="A825" s="3"/>
      <c r="B825" s="3"/>
      <c r="C825" s="31"/>
      <c r="D825" s="3"/>
      <c r="E825" s="3"/>
      <c r="F825" s="3"/>
      <c r="G825" s="3"/>
      <c r="H825" s="3"/>
      <c r="I825" s="3"/>
      <c r="J825" s="3"/>
      <c r="K825" s="221"/>
      <c r="L825" s="222"/>
      <c r="M825" s="221"/>
      <c r="N825" s="3"/>
      <c r="O825" s="3"/>
      <c r="P825" s="3"/>
      <c r="Q825" s="3"/>
      <c r="R825" s="3"/>
      <c r="S825" s="3"/>
      <c r="T825" s="22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>
      <c r="A826" s="3"/>
      <c r="B826" s="3"/>
      <c r="C826" s="31"/>
      <c r="D826" s="3"/>
      <c r="E826" s="3"/>
      <c r="F826" s="3"/>
      <c r="G826" s="3"/>
      <c r="H826" s="3"/>
      <c r="I826" s="3"/>
      <c r="J826" s="3"/>
      <c r="K826" s="221"/>
      <c r="L826" s="222"/>
      <c r="M826" s="221"/>
      <c r="N826" s="3"/>
      <c r="O826" s="3"/>
      <c r="P826" s="3"/>
      <c r="Q826" s="3"/>
      <c r="R826" s="3"/>
      <c r="S826" s="3"/>
      <c r="T826" s="22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>
      <c r="A827" s="3"/>
      <c r="B827" s="3"/>
      <c r="C827" s="31"/>
      <c r="D827" s="3"/>
      <c r="E827" s="3"/>
      <c r="F827" s="3"/>
      <c r="G827" s="3"/>
      <c r="H827" s="3"/>
      <c r="I827" s="3"/>
      <c r="J827" s="3"/>
      <c r="K827" s="221"/>
      <c r="L827" s="222"/>
      <c r="M827" s="221"/>
      <c r="N827" s="3"/>
      <c r="O827" s="3"/>
      <c r="P827" s="3"/>
      <c r="Q827" s="3"/>
      <c r="R827" s="3"/>
      <c r="S827" s="3"/>
      <c r="T827" s="22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>
      <c r="A828" s="3"/>
      <c r="B828" s="3"/>
      <c r="C828" s="31"/>
      <c r="D828" s="3"/>
      <c r="E828" s="3"/>
      <c r="F828" s="3"/>
      <c r="G828" s="3"/>
      <c r="H828" s="3"/>
      <c r="I828" s="3"/>
      <c r="J828" s="3"/>
      <c r="K828" s="221"/>
      <c r="L828" s="222"/>
      <c r="M828" s="221"/>
      <c r="N828" s="3"/>
      <c r="O828" s="3"/>
      <c r="P828" s="3"/>
      <c r="Q828" s="3"/>
      <c r="R828" s="3"/>
      <c r="S828" s="3"/>
      <c r="T828" s="22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>
      <c r="A829" s="3"/>
      <c r="B829" s="3"/>
      <c r="C829" s="31"/>
      <c r="D829" s="3"/>
      <c r="E829" s="3"/>
      <c r="F829" s="3"/>
      <c r="G829" s="3"/>
      <c r="H829" s="3"/>
      <c r="I829" s="3"/>
      <c r="J829" s="3"/>
      <c r="K829" s="221"/>
      <c r="L829" s="222"/>
      <c r="M829" s="221"/>
      <c r="N829" s="3"/>
      <c r="O829" s="3"/>
      <c r="P829" s="3"/>
      <c r="Q829" s="3"/>
      <c r="R829" s="3"/>
      <c r="S829" s="3"/>
      <c r="T829" s="22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>
      <c r="A830" s="3"/>
      <c r="B830" s="3"/>
      <c r="C830" s="31"/>
      <c r="D830" s="3"/>
      <c r="E830" s="3"/>
      <c r="F830" s="3"/>
      <c r="G830" s="3"/>
      <c r="H830" s="3"/>
      <c r="I830" s="3"/>
      <c r="J830" s="3"/>
      <c r="K830" s="221"/>
      <c r="L830" s="222"/>
      <c r="M830" s="221"/>
      <c r="N830" s="3"/>
      <c r="O830" s="3"/>
      <c r="P830" s="3"/>
      <c r="Q830" s="3"/>
      <c r="R830" s="3"/>
      <c r="S830" s="3"/>
      <c r="T830" s="22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>
      <c r="A831" s="3"/>
      <c r="B831" s="3"/>
      <c r="C831" s="31"/>
      <c r="D831" s="3"/>
      <c r="E831" s="3"/>
      <c r="F831" s="3"/>
      <c r="G831" s="3"/>
      <c r="H831" s="3"/>
      <c r="I831" s="3"/>
      <c r="J831" s="3"/>
      <c r="K831" s="221"/>
      <c r="L831" s="222"/>
      <c r="M831" s="221"/>
      <c r="N831" s="3"/>
      <c r="O831" s="3"/>
      <c r="P831" s="3"/>
      <c r="Q831" s="3"/>
      <c r="R831" s="3"/>
      <c r="S831" s="3"/>
      <c r="T831" s="22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>
      <c r="A832" s="3"/>
      <c r="B832" s="3"/>
      <c r="C832" s="31"/>
      <c r="D832" s="3"/>
      <c r="E832" s="3"/>
      <c r="F832" s="3"/>
      <c r="G832" s="3"/>
      <c r="H832" s="3"/>
      <c r="I832" s="3"/>
      <c r="J832" s="3"/>
      <c r="K832" s="221"/>
      <c r="L832" s="222"/>
      <c r="M832" s="221"/>
      <c r="N832" s="3"/>
      <c r="O832" s="3"/>
      <c r="P832" s="3"/>
      <c r="Q832" s="3"/>
      <c r="R832" s="3"/>
      <c r="S832" s="3"/>
      <c r="T832" s="22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>
      <c r="A833" s="3"/>
      <c r="B833" s="3"/>
      <c r="C833" s="31"/>
      <c r="D833" s="3"/>
      <c r="E833" s="3"/>
      <c r="F833" s="3"/>
      <c r="G833" s="3"/>
      <c r="H833" s="3"/>
      <c r="I833" s="3"/>
      <c r="J833" s="3"/>
      <c r="K833" s="221"/>
      <c r="L833" s="222"/>
      <c r="M833" s="221"/>
      <c r="N833" s="3"/>
      <c r="O833" s="3"/>
      <c r="P833" s="3"/>
      <c r="Q833" s="3"/>
      <c r="R833" s="3"/>
      <c r="S833" s="3"/>
      <c r="T833" s="22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>
      <c r="A834" s="3"/>
      <c r="B834" s="3"/>
      <c r="C834" s="31"/>
      <c r="D834" s="3"/>
      <c r="E834" s="3"/>
      <c r="F834" s="3"/>
      <c r="G834" s="3"/>
      <c r="H834" s="3"/>
      <c r="I834" s="3"/>
      <c r="J834" s="3"/>
      <c r="K834" s="221"/>
      <c r="L834" s="222"/>
      <c r="M834" s="221"/>
      <c r="N834" s="3"/>
      <c r="O834" s="3"/>
      <c r="P834" s="3"/>
      <c r="Q834" s="3"/>
      <c r="R834" s="3"/>
      <c r="S834" s="3"/>
      <c r="T834" s="22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>
      <c r="A835" s="3"/>
      <c r="B835" s="3"/>
      <c r="C835" s="31"/>
      <c r="D835" s="3"/>
      <c r="E835" s="3"/>
      <c r="F835" s="3"/>
      <c r="G835" s="3"/>
      <c r="H835" s="3"/>
      <c r="I835" s="3"/>
      <c r="J835" s="3"/>
      <c r="K835" s="221"/>
      <c r="L835" s="222"/>
      <c r="M835" s="221"/>
      <c r="N835" s="3"/>
      <c r="O835" s="3"/>
      <c r="P835" s="3"/>
      <c r="Q835" s="3"/>
      <c r="R835" s="3"/>
      <c r="S835" s="3"/>
      <c r="T835" s="22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>
      <c r="A836" s="3"/>
      <c r="B836" s="3"/>
      <c r="C836" s="31"/>
      <c r="D836" s="3"/>
      <c r="E836" s="3"/>
      <c r="F836" s="3"/>
      <c r="G836" s="3"/>
      <c r="H836" s="3"/>
      <c r="I836" s="3"/>
      <c r="J836" s="3"/>
      <c r="K836" s="221"/>
      <c r="L836" s="222"/>
      <c r="M836" s="221"/>
      <c r="N836" s="3"/>
      <c r="O836" s="3"/>
      <c r="P836" s="3"/>
      <c r="Q836" s="3"/>
      <c r="R836" s="3"/>
      <c r="S836" s="3"/>
      <c r="T836" s="22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>
      <c r="A837" s="3"/>
      <c r="B837" s="3"/>
      <c r="C837" s="31"/>
      <c r="D837" s="3"/>
      <c r="E837" s="3"/>
      <c r="F837" s="3"/>
      <c r="G837" s="3"/>
      <c r="H837" s="3"/>
      <c r="I837" s="3"/>
      <c r="J837" s="3"/>
      <c r="K837" s="221"/>
      <c r="L837" s="222"/>
      <c r="M837" s="221"/>
      <c r="N837" s="3"/>
      <c r="O837" s="3"/>
      <c r="P837" s="3"/>
      <c r="Q837" s="3"/>
      <c r="R837" s="3"/>
      <c r="S837" s="3"/>
      <c r="T837" s="22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>
      <c r="A838" s="3"/>
      <c r="B838" s="3"/>
      <c r="C838" s="31"/>
      <c r="D838" s="3"/>
      <c r="E838" s="3"/>
      <c r="F838" s="3"/>
      <c r="G838" s="3"/>
      <c r="H838" s="3"/>
      <c r="I838" s="3"/>
      <c r="J838" s="3"/>
      <c r="K838" s="221"/>
      <c r="L838" s="222"/>
      <c r="M838" s="221"/>
      <c r="N838" s="3"/>
      <c r="O838" s="3"/>
      <c r="P838" s="3"/>
      <c r="Q838" s="3"/>
      <c r="R838" s="3"/>
      <c r="S838" s="3"/>
      <c r="T838" s="22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>
      <c r="A839" s="3"/>
      <c r="B839" s="3"/>
      <c r="C839" s="31"/>
      <c r="D839" s="3"/>
      <c r="E839" s="3"/>
      <c r="F839" s="3"/>
      <c r="G839" s="3"/>
      <c r="H839" s="3"/>
      <c r="I839" s="3"/>
      <c r="J839" s="3"/>
      <c r="K839" s="221"/>
      <c r="L839" s="222"/>
      <c r="M839" s="221"/>
      <c r="N839" s="3"/>
      <c r="O839" s="3"/>
      <c r="P839" s="3"/>
      <c r="Q839" s="3"/>
      <c r="R839" s="3"/>
      <c r="S839" s="3"/>
      <c r="T839" s="22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>
      <c r="A840" s="3"/>
      <c r="B840" s="3"/>
      <c r="C840" s="31"/>
      <c r="D840" s="3"/>
      <c r="E840" s="3"/>
      <c r="F840" s="3"/>
      <c r="G840" s="3"/>
      <c r="H840" s="3"/>
      <c r="I840" s="3"/>
      <c r="J840" s="3"/>
      <c r="K840" s="221"/>
      <c r="L840" s="222"/>
      <c r="M840" s="221"/>
      <c r="N840" s="3"/>
      <c r="O840" s="3"/>
      <c r="P840" s="3"/>
      <c r="Q840" s="3"/>
      <c r="R840" s="3"/>
      <c r="S840" s="3"/>
      <c r="T840" s="22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>
      <c r="A841" s="3"/>
      <c r="B841" s="3"/>
      <c r="C841" s="31"/>
      <c r="D841" s="3"/>
      <c r="E841" s="3"/>
      <c r="F841" s="3"/>
      <c r="G841" s="3"/>
      <c r="H841" s="3"/>
      <c r="I841" s="3"/>
      <c r="J841" s="3"/>
      <c r="K841" s="221"/>
      <c r="L841" s="222"/>
      <c r="M841" s="221"/>
      <c r="N841" s="3"/>
      <c r="O841" s="3"/>
      <c r="P841" s="3"/>
      <c r="Q841" s="3"/>
      <c r="R841" s="3"/>
      <c r="S841" s="3"/>
      <c r="T841" s="22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>
      <c r="A842" s="3"/>
      <c r="B842" s="3"/>
      <c r="C842" s="31"/>
      <c r="D842" s="3"/>
      <c r="E842" s="3"/>
      <c r="F842" s="3"/>
      <c r="G842" s="3"/>
      <c r="H842" s="3"/>
      <c r="I842" s="3"/>
      <c r="J842" s="3"/>
      <c r="K842" s="221"/>
      <c r="L842" s="222"/>
      <c r="M842" s="221"/>
      <c r="N842" s="3"/>
      <c r="O842" s="3"/>
      <c r="P842" s="3"/>
      <c r="Q842" s="3"/>
      <c r="R842" s="3"/>
      <c r="S842" s="3"/>
      <c r="T842" s="22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>
      <c r="A843" s="3"/>
      <c r="B843" s="3"/>
      <c r="C843" s="31"/>
      <c r="D843" s="3"/>
      <c r="E843" s="3"/>
      <c r="F843" s="3"/>
      <c r="G843" s="3"/>
      <c r="H843" s="3"/>
      <c r="I843" s="3"/>
      <c r="J843" s="3"/>
      <c r="K843" s="221"/>
      <c r="L843" s="222"/>
      <c r="M843" s="221"/>
      <c r="N843" s="3"/>
      <c r="O843" s="3"/>
      <c r="P843" s="3"/>
      <c r="Q843" s="3"/>
      <c r="R843" s="3"/>
      <c r="S843" s="3"/>
      <c r="T843" s="22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>
      <c r="A844" s="3"/>
      <c r="B844" s="3"/>
      <c r="C844" s="31"/>
      <c r="D844" s="3"/>
      <c r="E844" s="3"/>
      <c r="F844" s="3"/>
      <c r="G844" s="3"/>
      <c r="H844" s="3"/>
      <c r="I844" s="3"/>
      <c r="J844" s="3"/>
      <c r="K844" s="221"/>
      <c r="L844" s="222"/>
      <c r="M844" s="221"/>
      <c r="N844" s="3"/>
      <c r="O844" s="3"/>
      <c r="P844" s="3"/>
      <c r="Q844" s="3"/>
      <c r="R844" s="3"/>
      <c r="S844" s="3"/>
      <c r="T844" s="22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>
      <c r="A845" s="3"/>
      <c r="B845" s="3"/>
      <c r="C845" s="31"/>
      <c r="D845" s="3"/>
      <c r="E845" s="3"/>
      <c r="F845" s="3"/>
      <c r="G845" s="3"/>
      <c r="H845" s="3"/>
      <c r="I845" s="3"/>
      <c r="J845" s="3"/>
      <c r="K845" s="221"/>
      <c r="L845" s="222"/>
      <c r="M845" s="221"/>
      <c r="N845" s="3"/>
      <c r="O845" s="3"/>
      <c r="P845" s="3"/>
      <c r="Q845" s="3"/>
      <c r="R845" s="3"/>
      <c r="S845" s="3"/>
      <c r="T845" s="22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>
      <c r="A846" s="3"/>
      <c r="B846" s="3"/>
      <c r="C846" s="31"/>
      <c r="D846" s="3"/>
      <c r="E846" s="3"/>
      <c r="F846" s="3"/>
      <c r="G846" s="3"/>
      <c r="H846" s="3"/>
      <c r="I846" s="3"/>
      <c r="J846" s="3"/>
      <c r="K846" s="221"/>
      <c r="L846" s="222"/>
      <c r="M846" s="221"/>
      <c r="N846" s="3"/>
      <c r="O846" s="3"/>
      <c r="P846" s="3"/>
      <c r="Q846" s="3"/>
      <c r="R846" s="3"/>
      <c r="S846" s="3"/>
      <c r="T846" s="22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>
      <c r="A847" s="3"/>
      <c r="B847" s="3"/>
      <c r="C847" s="31"/>
      <c r="D847" s="3"/>
      <c r="E847" s="3"/>
      <c r="F847" s="3"/>
      <c r="G847" s="3"/>
      <c r="H847" s="3"/>
      <c r="I847" s="3"/>
      <c r="J847" s="3"/>
      <c r="K847" s="221"/>
      <c r="L847" s="222"/>
      <c r="M847" s="221"/>
      <c r="N847" s="3"/>
      <c r="O847" s="3"/>
      <c r="P847" s="3"/>
      <c r="Q847" s="3"/>
      <c r="R847" s="3"/>
      <c r="S847" s="3"/>
      <c r="T847" s="22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>
      <c r="A848" s="3"/>
      <c r="B848" s="3"/>
      <c r="C848" s="31"/>
      <c r="D848" s="3"/>
      <c r="E848" s="3"/>
      <c r="F848" s="3"/>
      <c r="G848" s="3"/>
      <c r="H848" s="3"/>
      <c r="I848" s="3"/>
      <c r="J848" s="3"/>
      <c r="K848" s="221"/>
      <c r="L848" s="222"/>
      <c r="M848" s="221"/>
      <c r="N848" s="3"/>
      <c r="O848" s="3"/>
      <c r="P848" s="3"/>
      <c r="Q848" s="3"/>
      <c r="R848" s="3"/>
      <c r="S848" s="3"/>
      <c r="T848" s="22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>
      <c r="A849" s="3"/>
      <c r="B849" s="3"/>
      <c r="C849" s="31"/>
      <c r="D849" s="3"/>
      <c r="E849" s="3"/>
      <c r="F849" s="3"/>
      <c r="G849" s="3"/>
      <c r="H849" s="3"/>
      <c r="I849" s="3"/>
      <c r="J849" s="3"/>
      <c r="K849" s="221"/>
      <c r="L849" s="222"/>
      <c r="M849" s="221"/>
      <c r="N849" s="3"/>
      <c r="O849" s="3"/>
      <c r="P849" s="3"/>
      <c r="Q849" s="3"/>
      <c r="R849" s="3"/>
      <c r="S849" s="3"/>
      <c r="T849" s="22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>
      <c r="A850" s="3"/>
      <c r="B850" s="3"/>
      <c r="C850" s="31"/>
      <c r="D850" s="3"/>
      <c r="E850" s="3"/>
      <c r="F850" s="3"/>
      <c r="G850" s="3"/>
      <c r="H850" s="3"/>
      <c r="I850" s="3"/>
      <c r="J850" s="3"/>
      <c r="K850" s="221"/>
      <c r="L850" s="222"/>
      <c r="M850" s="221"/>
      <c r="N850" s="3"/>
      <c r="O850" s="3"/>
      <c r="P850" s="3"/>
      <c r="Q850" s="3"/>
      <c r="R850" s="3"/>
      <c r="S850" s="3"/>
      <c r="T850" s="22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>
      <c r="A851" s="3"/>
      <c r="B851" s="3"/>
      <c r="C851" s="31"/>
      <c r="D851" s="3"/>
      <c r="E851" s="3"/>
      <c r="F851" s="3"/>
      <c r="G851" s="3"/>
      <c r="H851" s="3"/>
      <c r="I851" s="3"/>
      <c r="J851" s="3"/>
      <c r="K851" s="221"/>
      <c r="L851" s="222"/>
      <c r="M851" s="221"/>
      <c r="N851" s="3"/>
      <c r="O851" s="3"/>
      <c r="P851" s="3"/>
      <c r="Q851" s="3"/>
      <c r="R851" s="3"/>
      <c r="S851" s="3"/>
      <c r="T851" s="22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>
      <c r="A852" s="3"/>
      <c r="B852" s="3"/>
      <c r="C852" s="31"/>
      <c r="D852" s="3"/>
      <c r="E852" s="3"/>
      <c r="F852" s="3"/>
      <c r="G852" s="3"/>
      <c r="H852" s="3"/>
      <c r="I852" s="3"/>
      <c r="J852" s="3"/>
      <c r="K852" s="221"/>
      <c r="L852" s="222"/>
      <c r="M852" s="221"/>
      <c r="N852" s="3"/>
      <c r="O852" s="3"/>
      <c r="P852" s="3"/>
      <c r="Q852" s="3"/>
      <c r="R852" s="3"/>
      <c r="S852" s="3"/>
      <c r="T852" s="22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>
      <c r="A853" s="3"/>
      <c r="B853" s="3"/>
      <c r="C853" s="31"/>
      <c r="D853" s="3"/>
      <c r="E853" s="3"/>
      <c r="F853" s="3"/>
      <c r="G853" s="3"/>
      <c r="H853" s="3"/>
      <c r="I853" s="3"/>
      <c r="J853" s="3"/>
      <c r="K853" s="221"/>
      <c r="L853" s="222"/>
      <c r="M853" s="221"/>
      <c r="N853" s="3"/>
      <c r="O853" s="3"/>
      <c r="P853" s="3"/>
      <c r="Q853" s="3"/>
      <c r="R853" s="3"/>
      <c r="S853" s="3"/>
      <c r="T853" s="22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>
      <c r="A854" s="3"/>
      <c r="B854" s="3"/>
      <c r="C854" s="31"/>
      <c r="D854" s="3"/>
      <c r="E854" s="3"/>
      <c r="F854" s="3"/>
      <c r="G854" s="3"/>
      <c r="H854" s="3"/>
      <c r="I854" s="3"/>
      <c r="J854" s="3"/>
      <c r="K854" s="221"/>
      <c r="L854" s="222"/>
      <c r="M854" s="221"/>
      <c r="N854" s="3"/>
      <c r="O854" s="3"/>
      <c r="P854" s="3"/>
      <c r="Q854" s="3"/>
      <c r="R854" s="3"/>
      <c r="S854" s="3"/>
      <c r="T854" s="22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>
      <c r="A855" s="3"/>
      <c r="B855" s="3"/>
      <c r="C855" s="31"/>
      <c r="D855" s="3"/>
      <c r="E855" s="3"/>
      <c r="F855" s="3"/>
      <c r="G855" s="3"/>
      <c r="H855" s="3"/>
      <c r="I855" s="3"/>
      <c r="J855" s="3"/>
      <c r="K855" s="221"/>
      <c r="L855" s="222"/>
      <c r="M855" s="221"/>
      <c r="N855" s="3"/>
      <c r="O855" s="3"/>
      <c r="P855" s="3"/>
      <c r="Q855" s="3"/>
      <c r="R855" s="3"/>
      <c r="S855" s="3"/>
      <c r="T855" s="22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>
      <c r="A856" s="3"/>
      <c r="B856" s="3"/>
      <c r="C856" s="31"/>
      <c r="D856" s="3"/>
      <c r="E856" s="3"/>
      <c r="F856" s="3"/>
      <c r="G856" s="3"/>
      <c r="H856" s="3"/>
      <c r="I856" s="3"/>
      <c r="J856" s="3"/>
      <c r="K856" s="221"/>
      <c r="L856" s="222"/>
      <c r="M856" s="221"/>
      <c r="N856" s="3"/>
      <c r="O856" s="3"/>
      <c r="P856" s="3"/>
      <c r="Q856" s="3"/>
      <c r="R856" s="3"/>
      <c r="S856" s="3"/>
      <c r="T856" s="22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>
      <c r="A857" s="3"/>
      <c r="B857" s="3"/>
      <c r="C857" s="31"/>
      <c r="D857" s="3"/>
      <c r="E857" s="3"/>
      <c r="F857" s="3"/>
      <c r="G857" s="3"/>
      <c r="H857" s="3"/>
      <c r="I857" s="3"/>
      <c r="J857" s="3"/>
      <c r="K857" s="221"/>
      <c r="L857" s="222"/>
      <c r="M857" s="221"/>
      <c r="N857" s="3"/>
      <c r="O857" s="3"/>
      <c r="P857" s="3"/>
      <c r="Q857" s="3"/>
      <c r="R857" s="3"/>
      <c r="S857" s="3"/>
      <c r="T857" s="22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>
      <c r="A858" s="3"/>
      <c r="B858" s="3"/>
      <c r="C858" s="31"/>
      <c r="D858" s="3"/>
      <c r="E858" s="3"/>
      <c r="F858" s="3"/>
      <c r="G858" s="3"/>
      <c r="H858" s="3"/>
      <c r="I858" s="3"/>
      <c r="J858" s="3"/>
      <c r="K858" s="221"/>
      <c r="L858" s="222"/>
      <c r="M858" s="221"/>
      <c r="N858" s="3"/>
      <c r="O858" s="3"/>
      <c r="P858" s="3"/>
      <c r="Q858" s="3"/>
      <c r="R858" s="3"/>
      <c r="S858" s="3"/>
      <c r="T858" s="22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>
      <c r="A859" s="3"/>
      <c r="B859" s="3"/>
      <c r="C859" s="31"/>
      <c r="D859" s="3"/>
      <c r="E859" s="3"/>
      <c r="F859" s="3"/>
      <c r="G859" s="3"/>
      <c r="H859" s="3"/>
      <c r="I859" s="3"/>
      <c r="J859" s="3"/>
      <c r="K859" s="221"/>
      <c r="L859" s="222"/>
      <c r="M859" s="221"/>
      <c r="N859" s="3"/>
      <c r="O859" s="3"/>
      <c r="P859" s="3"/>
      <c r="Q859" s="3"/>
      <c r="R859" s="3"/>
      <c r="S859" s="3"/>
      <c r="T859" s="22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>
      <c r="A860" s="3"/>
      <c r="B860" s="3"/>
      <c r="C860" s="31"/>
      <c r="D860" s="3"/>
      <c r="E860" s="3"/>
      <c r="F860" s="3"/>
      <c r="G860" s="3"/>
      <c r="H860" s="3"/>
      <c r="I860" s="3"/>
      <c r="J860" s="3"/>
      <c r="K860" s="221"/>
      <c r="L860" s="222"/>
      <c r="M860" s="221"/>
      <c r="N860" s="3"/>
      <c r="O860" s="3"/>
      <c r="P860" s="3"/>
      <c r="Q860" s="3"/>
      <c r="R860" s="3"/>
      <c r="S860" s="3"/>
      <c r="T860" s="22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>
      <c r="A861" s="3"/>
      <c r="B861" s="3"/>
      <c r="C861" s="31"/>
      <c r="D861" s="3"/>
      <c r="E861" s="3"/>
      <c r="F861" s="3"/>
      <c r="G861" s="3"/>
      <c r="H861" s="3"/>
      <c r="I861" s="3"/>
      <c r="J861" s="3"/>
      <c r="K861" s="221"/>
      <c r="L861" s="222"/>
      <c r="M861" s="221"/>
      <c r="N861" s="3"/>
      <c r="O861" s="3"/>
      <c r="P861" s="3"/>
      <c r="Q861" s="3"/>
      <c r="R861" s="3"/>
      <c r="S861" s="3"/>
      <c r="T861" s="22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>
      <c r="A862" s="3"/>
      <c r="B862" s="3"/>
      <c r="C862" s="31"/>
      <c r="D862" s="3"/>
      <c r="E862" s="3"/>
      <c r="F862" s="3"/>
      <c r="G862" s="3"/>
      <c r="H862" s="3"/>
      <c r="I862" s="3"/>
      <c r="J862" s="3"/>
      <c r="K862" s="221"/>
      <c r="L862" s="222"/>
      <c r="M862" s="221"/>
      <c r="N862" s="3"/>
      <c r="O862" s="3"/>
      <c r="P862" s="3"/>
      <c r="Q862" s="3"/>
      <c r="R862" s="3"/>
      <c r="S862" s="3"/>
      <c r="T862" s="22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>
      <c r="A863" s="3"/>
      <c r="B863" s="3"/>
      <c r="C863" s="31"/>
      <c r="D863" s="3"/>
      <c r="E863" s="3"/>
      <c r="F863" s="3"/>
      <c r="G863" s="3"/>
      <c r="H863" s="3"/>
      <c r="I863" s="3"/>
      <c r="J863" s="3"/>
      <c r="K863" s="221"/>
      <c r="L863" s="222"/>
      <c r="M863" s="221"/>
      <c r="N863" s="3"/>
      <c r="O863" s="3"/>
      <c r="P863" s="3"/>
      <c r="Q863" s="3"/>
      <c r="R863" s="3"/>
      <c r="S863" s="3"/>
      <c r="T863" s="22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>
      <c r="A864" s="3"/>
      <c r="B864" s="3"/>
      <c r="C864" s="31"/>
      <c r="D864" s="3"/>
      <c r="E864" s="3"/>
      <c r="F864" s="3"/>
      <c r="G864" s="3"/>
      <c r="H864" s="3"/>
      <c r="I864" s="3"/>
      <c r="J864" s="3"/>
      <c r="K864" s="221"/>
      <c r="L864" s="222"/>
      <c r="M864" s="221"/>
      <c r="N864" s="3"/>
      <c r="O864" s="3"/>
      <c r="P864" s="3"/>
      <c r="Q864" s="3"/>
      <c r="R864" s="3"/>
      <c r="S864" s="3"/>
      <c r="T864" s="22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>
      <c r="A865" s="3"/>
      <c r="B865" s="3"/>
      <c r="C865" s="31"/>
      <c r="D865" s="3"/>
      <c r="E865" s="3"/>
      <c r="F865" s="3"/>
      <c r="G865" s="3"/>
      <c r="H865" s="3"/>
      <c r="I865" s="3"/>
      <c r="J865" s="3"/>
      <c r="K865" s="221"/>
      <c r="L865" s="222"/>
      <c r="M865" s="221"/>
      <c r="N865" s="3"/>
      <c r="O865" s="3"/>
      <c r="P865" s="3"/>
      <c r="Q865" s="3"/>
      <c r="R865" s="3"/>
      <c r="S865" s="3"/>
      <c r="T865" s="22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>
      <c r="A866" s="3"/>
      <c r="B866" s="3"/>
      <c r="C866" s="31"/>
      <c r="D866" s="3"/>
      <c r="E866" s="3"/>
      <c r="F866" s="3"/>
      <c r="G866" s="3"/>
      <c r="H866" s="3"/>
      <c r="I866" s="3"/>
      <c r="J866" s="3"/>
      <c r="K866" s="221"/>
      <c r="L866" s="222"/>
      <c r="M866" s="221"/>
      <c r="N866" s="3"/>
      <c r="O866" s="3"/>
      <c r="P866" s="3"/>
      <c r="Q866" s="3"/>
      <c r="R866" s="3"/>
      <c r="S866" s="3"/>
      <c r="T866" s="22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>
      <c r="A867" s="3"/>
      <c r="B867" s="3"/>
      <c r="C867" s="31"/>
      <c r="D867" s="3"/>
      <c r="E867" s="3"/>
      <c r="F867" s="3"/>
      <c r="G867" s="3"/>
      <c r="H867" s="3"/>
      <c r="I867" s="3"/>
      <c r="J867" s="3"/>
      <c r="K867" s="221"/>
      <c r="L867" s="222"/>
      <c r="M867" s="221"/>
      <c r="N867" s="3"/>
      <c r="O867" s="3"/>
      <c r="P867" s="3"/>
      <c r="Q867" s="3"/>
      <c r="R867" s="3"/>
      <c r="S867" s="3"/>
      <c r="T867" s="22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>
      <c r="A868" s="3"/>
      <c r="B868" s="3"/>
      <c r="C868" s="31"/>
      <c r="D868" s="3"/>
      <c r="E868" s="3"/>
      <c r="F868" s="3"/>
      <c r="G868" s="3"/>
      <c r="H868" s="3"/>
      <c r="I868" s="3"/>
      <c r="J868" s="3"/>
      <c r="K868" s="221"/>
      <c r="L868" s="222"/>
      <c r="M868" s="221"/>
      <c r="N868" s="3"/>
      <c r="O868" s="3"/>
      <c r="P868" s="3"/>
      <c r="Q868" s="3"/>
      <c r="R868" s="3"/>
      <c r="S868" s="3"/>
      <c r="T868" s="22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>
      <c r="A869" s="3"/>
      <c r="B869" s="3"/>
      <c r="C869" s="31"/>
      <c r="D869" s="3"/>
      <c r="E869" s="3"/>
      <c r="F869" s="3"/>
      <c r="G869" s="3"/>
      <c r="H869" s="3"/>
      <c r="I869" s="3"/>
      <c r="J869" s="3"/>
      <c r="K869" s="221"/>
      <c r="L869" s="222"/>
      <c r="M869" s="221"/>
      <c r="N869" s="3"/>
      <c r="O869" s="3"/>
      <c r="P869" s="3"/>
      <c r="Q869" s="3"/>
      <c r="R869" s="3"/>
      <c r="S869" s="3"/>
      <c r="T869" s="22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>
      <c r="A870" s="3"/>
      <c r="B870" s="3"/>
      <c r="C870" s="31"/>
      <c r="D870" s="3"/>
      <c r="E870" s="3"/>
      <c r="F870" s="3"/>
      <c r="G870" s="3"/>
      <c r="H870" s="3"/>
      <c r="I870" s="3"/>
      <c r="J870" s="3"/>
      <c r="K870" s="221"/>
      <c r="L870" s="222"/>
      <c r="M870" s="221"/>
      <c r="N870" s="3"/>
      <c r="O870" s="3"/>
      <c r="P870" s="3"/>
      <c r="Q870" s="3"/>
      <c r="R870" s="3"/>
      <c r="S870" s="3"/>
      <c r="T870" s="22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>
      <c r="A871" s="3"/>
      <c r="B871" s="3"/>
      <c r="C871" s="31"/>
      <c r="D871" s="3"/>
      <c r="E871" s="3"/>
      <c r="F871" s="3"/>
      <c r="G871" s="3"/>
      <c r="H871" s="3"/>
      <c r="I871" s="3"/>
      <c r="J871" s="3"/>
      <c r="K871" s="221"/>
      <c r="L871" s="222"/>
      <c r="M871" s="221"/>
      <c r="N871" s="3"/>
      <c r="O871" s="3"/>
      <c r="P871" s="3"/>
      <c r="Q871" s="3"/>
      <c r="R871" s="3"/>
      <c r="S871" s="3"/>
      <c r="T871" s="22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>
      <c r="A872" s="3"/>
      <c r="B872" s="3"/>
      <c r="C872" s="31"/>
      <c r="D872" s="3"/>
      <c r="E872" s="3"/>
      <c r="F872" s="3"/>
      <c r="G872" s="3"/>
      <c r="H872" s="3"/>
      <c r="I872" s="3"/>
      <c r="J872" s="3"/>
      <c r="K872" s="221"/>
      <c r="L872" s="222"/>
      <c r="M872" s="221"/>
      <c r="N872" s="3"/>
      <c r="O872" s="3"/>
      <c r="P872" s="3"/>
      <c r="Q872" s="3"/>
      <c r="R872" s="3"/>
      <c r="S872" s="3"/>
      <c r="T872" s="22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>
      <c r="A873" s="3"/>
      <c r="B873" s="3"/>
      <c r="C873" s="31"/>
      <c r="D873" s="3"/>
      <c r="E873" s="3"/>
      <c r="F873" s="3"/>
      <c r="G873" s="3"/>
      <c r="H873" s="3"/>
      <c r="I873" s="3"/>
      <c r="J873" s="3"/>
      <c r="K873" s="221"/>
      <c r="L873" s="222"/>
      <c r="M873" s="221"/>
      <c r="N873" s="3"/>
      <c r="O873" s="3"/>
      <c r="P873" s="3"/>
      <c r="Q873" s="3"/>
      <c r="R873" s="3"/>
      <c r="S873" s="3"/>
      <c r="T873" s="22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>
      <c r="A874" s="3"/>
      <c r="B874" s="3"/>
      <c r="C874" s="31"/>
      <c r="D874" s="3"/>
      <c r="E874" s="3"/>
      <c r="F874" s="3"/>
      <c r="G874" s="3"/>
      <c r="H874" s="3"/>
      <c r="I874" s="3"/>
      <c r="J874" s="3"/>
      <c r="K874" s="221"/>
      <c r="L874" s="222"/>
      <c r="M874" s="221"/>
      <c r="N874" s="3"/>
      <c r="O874" s="3"/>
      <c r="P874" s="3"/>
      <c r="Q874" s="3"/>
      <c r="R874" s="3"/>
      <c r="S874" s="3"/>
      <c r="T874" s="22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>
      <c r="A875" s="3"/>
      <c r="B875" s="3"/>
      <c r="C875" s="31"/>
      <c r="D875" s="3"/>
      <c r="E875" s="3"/>
      <c r="F875" s="3"/>
      <c r="G875" s="3"/>
      <c r="H875" s="3"/>
      <c r="I875" s="3"/>
      <c r="J875" s="3"/>
      <c r="K875" s="221"/>
      <c r="L875" s="222"/>
      <c r="M875" s="221"/>
      <c r="N875" s="3"/>
      <c r="O875" s="3"/>
      <c r="P875" s="3"/>
      <c r="Q875" s="3"/>
      <c r="R875" s="3"/>
      <c r="S875" s="3"/>
      <c r="T875" s="22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>
      <c r="A876" s="3"/>
      <c r="B876" s="3"/>
      <c r="C876" s="31"/>
      <c r="D876" s="3"/>
      <c r="E876" s="3"/>
      <c r="F876" s="3"/>
      <c r="G876" s="3"/>
      <c r="H876" s="3"/>
      <c r="I876" s="3"/>
      <c r="J876" s="3"/>
      <c r="K876" s="221"/>
      <c r="L876" s="222"/>
      <c r="M876" s="221"/>
      <c r="N876" s="3"/>
      <c r="O876" s="3"/>
      <c r="P876" s="3"/>
      <c r="Q876" s="3"/>
      <c r="R876" s="3"/>
      <c r="S876" s="3"/>
      <c r="T876" s="22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>
      <c r="A877" s="3"/>
      <c r="B877" s="3"/>
      <c r="C877" s="31"/>
      <c r="D877" s="3"/>
      <c r="E877" s="3"/>
      <c r="F877" s="3"/>
      <c r="G877" s="3"/>
      <c r="H877" s="3"/>
      <c r="I877" s="3"/>
      <c r="J877" s="3"/>
      <c r="K877" s="221"/>
      <c r="L877" s="222"/>
      <c r="M877" s="221"/>
      <c r="N877" s="3"/>
      <c r="O877" s="3"/>
      <c r="P877" s="3"/>
      <c r="Q877" s="3"/>
      <c r="R877" s="3"/>
      <c r="S877" s="3"/>
      <c r="T877" s="22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>
      <c r="A878" s="3"/>
      <c r="B878" s="3"/>
      <c r="C878" s="31"/>
      <c r="D878" s="3"/>
      <c r="E878" s="3"/>
      <c r="F878" s="3"/>
      <c r="G878" s="3"/>
      <c r="H878" s="3"/>
      <c r="I878" s="3"/>
      <c r="J878" s="3"/>
      <c r="K878" s="221"/>
      <c r="L878" s="222"/>
      <c r="M878" s="221"/>
      <c r="N878" s="3"/>
      <c r="O878" s="3"/>
      <c r="P878" s="3"/>
      <c r="Q878" s="3"/>
      <c r="R878" s="3"/>
      <c r="S878" s="3"/>
      <c r="T878" s="22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>
      <c r="A879" s="3"/>
      <c r="B879" s="3"/>
      <c r="C879" s="31"/>
      <c r="D879" s="3"/>
      <c r="E879" s="3"/>
      <c r="F879" s="3"/>
      <c r="G879" s="3"/>
      <c r="H879" s="3"/>
      <c r="I879" s="3"/>
      <c r="J879" s="3"/>
      <c r="K879" s="221"/>
      <c r="L879" s="222"/>
      <c r="M879" s="221"/>
      <c r="N879" s="3"/>
      <c r="O879" s="3"/>
      <c r="P879" s="3"/>
      <c r="Q879" s="3"/>
      <c r="R879" s="3"/>
      <c r="S879" s="3"/>
      <c r="T879" s="22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>
      <c r="A880" s="3"/>
      <c r="B880" s="3"/>
      <c r="C880" s="31"/>
      <c r="D880" s="3"/>
      <c r="E880" s="3"/>
      <c r="F880" s="3"/>
      <c r="G880" s="3"/>
      <c r="H880" s="3"/>
      <c r="I880" s="3"/>
      <c r="J880" s="3"/>
      <c r="K880" s="221"/>
      <c r="L880" s="222"/>
      <c r="M880" s="221"/>
      <c r="N880" s="3"/>
      <c r="O880" s="3"/>
      <c r="P880" s="3"/>
      <c r="Q880" s="3"/>
      <c r="R880" s="3"/>
      <c r="S880" s="3"/>
      <c r="T880" s="22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>
      <c r="A881" s="3"/>
      <c r="B881" s="3"/>
      <c r="C881" s="31"/>
      <c r="D881" s="3"/>
      <c r="E881" s="3"/>
      <c r="F881" s="3"/>
      <c r="G881" s="3"/>
      <c r="H881" s="3"/>
      <c r="I881" s="3"/>
      <c r="J881" s="3"/>
      <c r="K881" s="221"/>
      <c r="L881" s="222"/>
      <c r="M881" s="221"/>
      <c r="N881" s="3"/>
      <c r="O881" s="3"/>
      <c r="P881" s="3"/>
      <c r="Q881" s="3"/>
      <c r="R881" s="3"/>
      <c r="S881" s="3"/>
      <c r="T881" s="22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>
      <c r="A882" s="3"/>
      <c r="B882" s="3"/>
      <c r="C882" s="31"/>
      <c r="D882" s="3"/>
      <c r="E882" s="3"/>
      <c r="F882" s="3"/>
      <c r="G882" s="3"/>
      <c r="H882" s="3"/>
      <c r="I882" s="3"/>
      <c r="J882" s="3"/>
      <c r="K882" s="221"/>
      <c r="L882" s="222"/>
      <c r="M882" s="221"/>
      <c r="N882" s="3"/>
      <c r="O882" s="3"/>
      <c r="P882" s="3"/>
      <c r="Q882" s="3"/>
      <c r="R882" s="3"/>
      <c r="S882" s="3"/>
      <c r="T882" s="22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>
      <c r="A883" s="3"/>
      <c r="B883" s="3"/>
      <c r="C883" s="31"/>
      <c r="D883" s="3"/>
      <c r="E883" s="3"/>
      <c r="F883" s="3"/>
      <c r="G883" s="3"/>
      <c r="H883" s="3"/>
      <c r="I883" s="3"/>
      <c r="J883" s="3"/>
      <c r="K883" s="221"/>
      <c r="L883" s="222"/>
      <c r="M883" s="221"/>
      <c r="N883" s="3"/>
      <c r="O883" s="3"/>
      <c r="P883" s="3"/>
      <c r="Q883" s="3"/>
      <c r="R883" s="3"/>
      <c r="S883" s="3"/>
      <c r="T883" s="22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>
      <c r="A884" s="3"/>
      <c r="B884" s="3"/>
      <c r="C884" s="31"/>
      <c r="D884" s="3"/>
      <c r="E884" s="3"/>
      <c r="F884" s="3"/>
      <c r="G884" s="3"/>
      <c r="H884" s="3"/>
      <c r="I884" s="3"/>
      <c r="J884" s="3"/>
      <c r="K884" s="221"/>
      <c r="L884" s="222"/>
      <c r="M884" s="221"/>
      <c r="N884" s="3"/>
      <c r="O884" s="3"/>
      <c r="P884" s="3"/>
      <c r="Q884" s="3"/>
      <c r="R884" s="3"/>
      <c r="S884" s="3"/>
      <c r="T884" s="22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>
      <c r="A885" s="3"/>
      <c r="B885" s="3"/>
      <c r="C885" s="31"/>
      <c r="D885" s="3"/>
      <c r="E885" s="3"/>
      <c r="F885" s="3"/>
      <c r="G885" s="3"/>
      <c r="H885" s="3"/>
      <c r="I885" s="3"/>
      <c r="J885" s="3"/>
      <c r="K885" s="221"/>
      <c r="L885" s="222"/>
      <c r="M885" s="221"/>
      <c r="N885" s="3"/>
      <c r="O885" s="3"/>
      <c r="P885" s="3"/>
      <c r="Q885" s="3"/>
      <c r="R885" s="3"/>
      <c r="S885" s="3"/>
      <c r="T885" s="22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>
      <c r="A886" s="3"/>
      <c r="B886" s="3"/>
      <c r="C886" s="31"/>
      <c r="D886" s="3"/>
      <c r="E886" s="3"/>
      <c r="F886" s="3"/>
      <c r="G886" s="3"/>
      <c r="H886" s="3"/>
      <c r="I886" s="3"/>
      <c r="J886" s="3"/>
      <c r="K886" s="221"/>
      <c r="L886" s="222"/>
      <c r="M886" s="221"/>
      <c r="N886" s="3"/>
      <c r="O886" s="3"/>
      <c r="P886" s="3"/>
      <c r="Q886" s="3"/>
      <c r="R886" s="3"/>
      <c r="S886" s="3"/>
      <c r="T886" s="22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>
      <c r="A887" s="3"/>
      <c r="B887" s="3"/>
      <c r="C887" s="31"/>
      <c r="D887" s="3"/>
      <c r="E887" s="3"/>
      <c r="F887" s="3"/>
      <c r="G887" s="3"/>
      <c r="H887" s="3"/>
      <c r="I887" s="3"/>
      <c r="J887" s="3"/>
      <c r="K887" s="221"/>
      <c r="L887" s="222"/>
      <c r="M887" s="221"/>
      <c r="N887" s="3"/>
      <c r="O887" s="3"/>
      <c r="P887" s="3"/>
      <c r="Q887" s="3"/>
      <c r="R887" s="3"/>
      <c r="S887" s="3"/>
      <c r="T887" s="22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>
      <c r="A888" s="3"/>
      <c r="B888" s="3"/>
      <c r="C888" s="31"/>
      <c r="D888" s="3"/>
      <c r="E888" s="3"/>
      <c r="F888" s="3"/>
      <c r="G888" s="3"/>
      <c r="H888" s="3"/>
      <c r="I888" s="3"/>
      <c r="J888" s="3"/>
      <c r="K888" s="221"/>
      <c r="L888" s="222"/>
      <c r="M888" s="221"/>
      <c r="N888" s="3"/>
      <c r="O888" s="3"/>
      <c r="P888" s="3"/>
      <c r="Q888" s="3"/>
      <c r="R888" s="3"/>
      <c r="S888" s="3"/>
      <c r="T888" s="22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>
      <c r="A889" s="3"/>
      <c r="B889" s="3"/>
      <c r="C889" s="31"/>
      <c r="D889" s="3"/>
      <c r="E889" s="3"/>
      <c r="F889" s="3"/>
      <c r="G889" s="3"/>
      <c r="H889" s="3"/>
      <c r="I889" s="3"/>
      <c r="J889" s="3"/>
      <c r="K889" s="221"/>
      <c r="L889" s="222"/>
      <c r="M889" s="221"/>
      <c r="N889" s="3"/>
      <c r="O889" s="3"/>
      <c r="P889" s="3"/>
      <c r="Q889" s="3"/>
      <c r="R889" s="3"/>
      <c r="S889" s="3"/>
      <c r="T889" s="22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>
      <c r="A890" s="3"/>
      <c r="B890" s="3"/>
      <c r="C890" s="31"/>
      <c r="D890" s="3"/>
      <c r="E890" s="3"/>
      <c r="F890" s="3"/>
      <c r="G890" s="3"/>
      <c r="H890" s="3"/>
      <c r="I890" s="3"/>
      <c r="J890" s="3"/>
      <c r="K890" s="221"/>
      <c r="L890" s="222"/>
      <c r="M890" s="221"/>
      <c r="N890" s="3"/>
      <c r="O890" s="3"/>
      <c r="P890" s="3"/>
      <c r="Q890" s="3"/>
      <c r="R890" s="3"/>
      <c r="S890" s="3"/>
      <c r="T890" s="22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>
      <c r="A891" s="3"/>
      <c r="B891" s="3"/>
      <c r="C891" s="31"/>
      <c r="D891" s="3"/>
      <c r="E891" s="3"/>
      <c r="F891" s="3"/>
      <c r="G891" s="3"/>
      <c r="H891" s="3"/>
      <c r="I891" s="3"/>
      <c r="J891" s="3"/>
      <c r="K891" s="221"/>
      <c r="L891" s="222"/>
      <c r="M891" s="221"/>
      <c r="N891" s="3"/>
      <c r="O891" s="3"/>
      <c r="P891" s="3"/>
      <c r="Q891" s="3"/>
      <c r="R891" s="3"/>
      <c r="S891" s="3"/>
      <c r="T891" s="22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>
      <c r="A892" s="3"/>
      <c r="B892" s="3"/>
      <c r="C892" s="31"/>
      <c r="D892" s="3"/>
      <c r="E892" s="3"/>
      <c r="F892" s="3"/>
      <c r="G892" s="3"/>
      <c r="H892" s="3"/>
      <c r="I892" s="3"/>
      <c r="J892" s="3"/>
      <c r="K892" s="221"/>
      <c r="L892" s="222"/>
      <c r="M892" s="221"/>
      <c r="N892" s="3"/>
      <c r="O892" s="3"/>
      <c r="P892" s="3"/>
      <c r="Q892" s="3"/>
      <c r="R892" s="3"/>
      <c r="S892" s="3"/>
      <c r="T892" s="22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>
      <c r="A893" s="3"/>
      <c r="B893" s="3"/>
      <c r="C893" s="31"/>
      <c r="D893" s="3"/>
      <c r="E893" s="3"/>
      <c r="F893" s="3"/>
      <c r="G893" s="3"/>
      <c r="H893" s="3"/>
      <c r="I893" s="3"/>
      <c r="J893" s="3"/>
      <c r="K893" s="221"/>
      <c r="L893" s="222"/>
      <c r="M893" s="221"/>
      <c r="N893" s="3"/>
      <c r="O893" s="3"/>
      <c r="P893" s="3"/>
      <c r="Q893" s="3"/>
      <c r="R893" s="3"/>
      <c r="S893" s="3"/>
      <c r="T893" s="22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>
      <c r="A894" s="3"/>
      <c r="B894" s="3"/>
      <c r="C894" s="31"/>
      <c r="D894" s="3"/>
      <c r="E894" s="3"/>
      <c r="F894" s="3"/>
      <c r="G894" s="3"/>
      <c r="H894" s="3"/>
      <c r="I894" s="3"/>
      <c r="J894" s="3"/>
      <c r="K894" s="221"/>
      <c r="L894" s="222"/>
      <c r="M894" s="221"/>
      <c r="N894" s="3"/>
      <c r="O894" s="3"/>
      <c r="P894" s="3"/>
      <c r="Q894" s="3"/>
      <c r="R894" s="3"/>
      <c r="S894" s="3"/>
      <c r="T894" s="22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>
      <c r="A895" s="3"/>
      <c r="B895" s="3"/>
      <c r="C895" s="31"/>
      <c r="D895" s="3"/>
      <c r="E895" s="3"/>
      <c r="F895" s="3"/>
      <c r="G895" s="3"/>
      <c r="H895" s="3"/>
      <c r="I895" s="3"/>
      <c r="J895" s="3"/>
      <c r="K895" s="221"/>
      <c r="L895" s="222"/>
      <c r="M895" s="221"/>
      <c r="N895" s="3"/>
      <c r="O895" s="3"/>
      <c r="P895" s="3"/>
      <c r="Q895" s="3"/>
      <c r="R895" s="3"/>
      <c r="S895" s="3"/>
      <c r="T895" s="22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>
      <c r="A896" s="3"/>
      <c r="B896" s="3"/>
      <c r="C896" s="31"/>
      <c r="D896" s="3"/>
      <c r="E896" s="3"/>
      <c r="F896" s="3"/>
      <c r="G896" s="3"/>
      <c r="H896" s="3"/>
      <c r="I896" s="3"/>
      <c r="J896" s="3"/>
      <c r="K896" s="221"/>
      <c r="L896" s="222"/>
      <c r="M896" s="221"/>
      <c r="N896" s="3"/>
      <c r="O896" s="3"/>
      <c r="P896" s="3"/>
      <c r="Q896" s="3"/>
      <c r="R896" s="3"/>
      <c r="S896" s="3"/>
      <c r="T896" s="22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>
      <c r="A897" s="3"/>
      <c r="B897" s="3"/>
      <c r="C897" s="31"/>
      <c r="D897" s="3"/>
      <c r="E897" s="3"/>
      <c r="F897" s="3"/>
      <c r="G897" s="3"/>
      <c r="H897" s="3"/>
      <c r="I897" s="3"/>
      <c r="J897" s="3"/>
      <c r="K897" s="221"/>
      <c r="L897" s="222"/>
      <c r="M897" s="221"/>
      <c r="N897" s="3"/>
      <c r="O897" s="3"/>
      <c r="P897" s="3"/>
      <c r="Q897" s="3"/>
      <c r="R897" s="3"/>
      <c r="S897" s="3"/>
      <c r="T897" s="22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>
      <c r="A898" s="3"/>
      <c r="B898" s="3"/>
      <c r="C898" s="31"/>
      <c r="D898" s="3"/>
      <c r="E898" s="3"/>
      <c r="F898" s="3"/>
      <c r="G898" s="3"/>
      <c r="H898" s="3"/>
      <c r="I898" s="3"/>
      <c r="J898" s="3"/>
      <c r="K898" s="221"/>
      <c r="L898" s="222"/>
      <c r="M898" s="221"/>
      <c r="N898" s="3"/>
      <c r="O898" s="3"/>
      <c r="P898" s="3"/>
      <c r="Q898" s="3"/>
      <c r="R898" s="3"/>
      <c r="S898" s="3"/>
      <c r="T898" s="22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>
      <c r="A899" s="3"/>
      <c r="B899" s="3"/>
      <c r="C899" s="31"/>
      <c r="D899" s="3"/>
      <c r="E899" s="3"/>
      <c r="F899" s="3"/>
      <c r="G899" s="3"/>
      <c r="H899" s="3"/>
      <c r="I899" s="3"/>
      <c r="J899" s="3"/>
      <c r="K899" s="221"/>
      <c r="L899" s="222"/>
      <c r="M899" s="221"/>
      <c r="N899" s="3"/>
      <c r="O899" s="3"/>
      <c r="P899" s="3"/>
      <c r="Q899" s="3"/>
      <c r="R899" s="3"/>
      <c r="S899" s="3"/>
      <c r="T899" s="22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>
      <c r="A900" s="3"/>
      <c r="B900" s="3"/>
      <c r="C900" s="31"/>
      <c r="D900" s="3"/>
      <c r="E900" s="3"/>
      <c r="F900" s="3"/>
      <c r="G900" s="3"/>
      <c r="H900" s="3"/>
      <c r="I900" s="3"/>
      <c r="J900" s="3"/>
      <c r="K900" s="221"/>
      <c r="L900" s="222"/>
      <c r="M900" s="221"/>
      <c r="N900" s="3"/>
      <c r="O900" s="3"/>
      <c r="P900" s="3"/>
      <c r="Q900" s="3"/>
      <c r="R900" s="3"/>
      <c r="S900" s="3"/>
      <c r="T900" s="22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>
      <c r="A901" s="3"/>
      <c r="B901" s="3"/>
      <c r="C901" s="31"/>
      <c r="D901" s="3"/>
      <c r="E901" s="3"/>
      <c r="F901" s="3"/>
      <c r="G901" s="3"/>
      <c r="H901" s="3"/>
      <c r="I901" s="3"/>
      <c r="J901" s="3"/>
      <c r="K901" s="221"/>
      <c r="L901" s="222"/>
      <c r="M901" s="221"/>
      <c r="N901" s="3"/>
      <c r="O901" s="3"/>
      <c r="P901" s="3"/>
      <c r="Q901" s="3"/>
      <c r="R901" s="3"/>
      <c r="S901" s="3"/>
      <c r="T901" s="22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>
      <c r="A902" s="3"/>
      <c r="B902" s="3"/>
      <c r="C902" s="31"/>
      <c r="D902" s="3"/>
      <c r="E902" s="3"/>
      <c r="F902" s="3"/>
      <c r="G902" s="3"/>
      <c r="H902" s="3"/>
      <c r="I902" s="3"/>
      <c r="J902" s="3"/>
      <c r="K902" s="221"/>
      <c r="L902" s="222"/>
      <c r="M902" s="221"/>
      <c r="N902" s="3"/>
      <c r="O902" s="3"/>
      <c r="P902" s="3"/>
      <c r="Q902" s="3"/>
      <c r="R902" s="3"/>
      <c r="S902" s="3"/>
      <c r="T902" s="22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>
      <c r="A903" s="3"/>
      <c r="B903" s="3"/>
      <c r="C903" s="31"/>
      <c r="D903" s="3"/>
      <c r="E903" s="3"/>
      <c r="F903" s="3"/>
      <c r="G903" s="3"/>
      <c r="H903" s="3"/>
      <c r="I903" s="3"/>
      <c r="J903" s="3"/>
      <c r="K903" s="221"/>
      <c r="L903" s="222"/>
      <c r="M903" s="221"/>
      <c r="N903" s="3"/>
      <c r="O903" s="3"/>
      <c r="P903" s="3"/>
      <c r="Q903" s="3"/>
      <c r="R903" s="3"/>
      <c r="S903" s="3"/>
      <c r="T903" s="22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>
      <c r="A904" s="3"/>
      <c r="B904" s="3"/>
      <c r="C904" s="31"/>
      <c r="D904" s="3"/>
      <c r="E904" s="3"/>
      <c r="F904" s="3"/>
      <c r="G904" s="3"/>
      <c r="H904" s="3"/>
      <c r="I904" s="3"/>
      <c r="J904" s="3"/>
      <c r="K904" s="221"/>
      <c r="L904" s="222"/>
      <c r="M904" s="221"/>
      <c r="N904" s="3"/>
      <c r="O904" s="3"/>
      <c r="P904" s="3"/>
      <c r="Q904" s="3"/>
      <c r="R904" s="3"/>
      <c r="S904" s="3"/>
      <c r="T904" s="22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>
      <c r="A905" s="3"/>
      <c r="B905" s="3"/>
      <c r="C905" s="31"/>
      <c r="D905" s="3"/>
      <c r="E905" s="3"/>
      <c r="F905" s="3"/>
      <c r="G905" s="3"/>
      <c r="H905" s="3"/>
      <c r="I905" s="3"/>
      <c r="J905" s="3"/>
      <c r="K905" s="221"/>
      <c r="L905" s="222"/>
      <c r="M905" s="221"/>
      <c r="N905" s="3"/>
      <c r="O905" s="3"/>
      <c r="P905" s="3"/>
      <c r="Q905" s="3"/>
      <c r="R905" s="3"/>
      <c r="S905" s="3"/>
      <c r="T905" s="22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>
      <c r="A906" s="3"/>
      <c r="B906" s="3"/>
      <c r="C906" s="31"/>
      <c r="D906" s="3"/>
      <c r="E906" s="3"/>
      <c r="F906" s="3"/>
      <c r="G906" s="3"/>
      <c r="H906" s="3"/>
      <c r="I906" s="3"/>
      <c r="J906" s="3"/>
      <c r="K906" s="221"/>
      <c r="L906" s="222"/>
      <c r="M906" s="221"/>
      <c r="N906" s="3"/>
      <c r="O906" s="3"/>
      <c r="P906" s="3"/>
      <c r="Q906" s="3"/>
      <c r="R906" s="3"/>
      <c r="S906" s="3"/>
      <c r="T906" s="22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>
      <c r="A907" s="3"/>
      <c r="B907" s="3"/>
      <c r="C907" s="31"/>
      <c r="D907" s="3"/>
      <c r="E907" s="3"/>
      <c r="F907" s="3"/>
      <c r="G907" s="3"/>
      <c r="H907" s="3"/>
      <c r="I907" s="3"/>
      <c r="J907" s="3"/>
      <c r="K907" s="221"/>
      <c r="L907" s="222"/>
      <c r="M907" s="221"/>
      <c r="N907" s="3"/>
      <c r="O907" s="3"/>
      <c r="P907" s="3"/>
      <c r="Q907" s="3"/>
      <c r="R907" s="3"/>
      <c r="S907" s="3"/>
      <c r="T907" s="22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>
      <c r="A908" s="3"/>
      <c r="B908" s="3"/>
      <c r="C908" s="31"/>
      <c r="D908" s="3"/>
      <c r="E908" s="3"/>
      <c r="F908" s="3"/>
      <c r="G908" s="3"/>
      <c r="H908" s="3"/>
      <c r="I908" s="3"/>
      <c r="J908" s="3"/>
      <c r="K908" s="221"/>
      <c r="L908" s="222"/>
      <c r="M908" s="221"/>
      <c r="N908" s="3"/>
      <c r="O908" s="3"/>
      <c r="P908" s="3"/>
      <c r="Q908" s="3"/>
      <c r="R908" s="3"/>
      <c r="S908" s="3"/>
      <c r="T908" s="22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>
      <c r="A909" s="3"/>
      <c r="B909" s="3"/>
      <c r="C909" s="31"/>
      <c r="D909" s="3"/>
      <c r="E909" s="3"/>
      <c r="F909" s="3"/>
      <c r="G909" s="3"/>
      <c r="H909" s="3"/>
      <c r="I909" s="3"/>
      <c r="J909" s="3"/>
      <c r="K909" s="221"/>
      <c r="L909" s="222"/>
      <c r="M909" s="221"/>
      <c r="N909" s="3"/>
      <c r="O909" s="3"/>
      <c r="P909" s="3"/>
      <c r="Q909" s="3"/>
      <c r="R909" s="3"/>
      <c r="S909" s="3"/>
      <c r="T909" s="22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>
      <c r="A910" s="3"/>
      <c r="B910" s="3"/>
      <c r="C910" s="31"/>
      <c r="D910" s="3"/>
      <c r="E910" s="3"/>
      <c r="F910" s="3"/>
      <c r="G910" s="3"/>
      <c r="H910" s="3"/>
      <c r="I910" s="3"/>
      <c r="J910" s="3"/>
      <c r="K910" s="221"/>
      <c r="L910" s="222"/>
      <c r="M910" s="221"/>
      <c r="N910" s="3"/>
      <c r="O910" s="3"/>
      <c r="P910" s="3"/>
      <c r="Q910" s="3"/>
      <c r="R910" s="3"/>
      <c r="S910" s="3"/>
      <c r="T910" s="22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>
      <c r="A911" s="3"/>
      <c r="B911" s="3"/>
      <c r="C911" s="31"/>
      <c r="D911" s="3"/>
      <c r="E911" s="3"/>
      <c r="F911" s="3"/>
      <c r="G911" s="3"/>
      <c r="H911" s="3"/>
      <c r="I911" s="3"/>
      <c r="J911" s="3"/>
      <c r="K911" s="221"/>
      <c r="L911" s="222"/>
      <c r="M911" s="221"/>
      <c r="N911" s="3"/>
      <c r="O911" s="3"/>
      <c r="P911" s="3"/>
      <c r="Q911" s="3"/>
      <c r="R911" s="3"/>
      <c r="S911" s="3"/>
      <c r="T911" s="22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>
      <c r="A912" s="3"/>
      <c r="B912" s="3"/>
      <c r="C912" s="31"/>
      <c r="D912" s="3"/>
      <c r="E912" s="3"/>
      <c r="F912" s="3"/>
      <c r="G912" s="3"/>
      <c r="H912" s="3"/>
      <c r="I912" s="3"/>
      <c r="J912" s="3"/>
      <c r="K912" s="221"/>
      <c r="L912" s="222"/>
      <c r="M912" s="221"/>
      <c r="N912" s="3"/>
      <c r="O912" s="3"/>
      <c r="P912" s="3"/>
      <c r="Q912" s="3"/>
      <c r="R912" s="3"/>
      <c r="S912" s="3"/>
      <c r="T912" s="22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>
      <c r="A913" s="3"/>
      <c r="B913" s="3"/>
      <c r="C913" s="31"/>
      <c r="D913" s="3"/>
      <c r="E913" s="3"/>
      <c r="F913" s="3"/>
      <c r="G913" s="3"/>
      <c r="H913" s="3"/>
      <c r="I913" s="3"/>
      <c r="J913" s="3"/>
      <c r="K913" s="221"/>
      <c r="L913" s="222"/>
      <c r="M913" s="221"/>
      <c r="N913" s="3"/>
      <c r="O913" s="3"/>
      <c r="P913" s="3"/>
      <c r="Q913" s="3"/>
      <c r="R913" s="3"/>
      <c r="S913" s="3"/>
      <c r="T913" s="22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>
      <c r="A914" s="3"/>
      <c r="B914" s="3"/>
      <c r="C914" s="31"/>
      <c r="D914" s="3"/>
      <c r="E914" s="3"/>
      <c r="F914" s="3"/>
      <c r="G914" s="3"/>
      <c r="H914" s="3"/>
      <c r="I914" s="3"/>
      <c r="J914" s="3"/>
      <c r="K914" s="221"/>
      <c r="L914" s="222"/>
      <c r="M914" s="221"/>
      <c r="N914" s="3"/>
      <c r="O914" s="3"/>
      <c r="P914" s="3"/>
      <c r="Q914" s="3"/>
      <c r="R914" s="3"/>
      <c r="S914" s="3"/>
      <c r="T914" s="22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>
      <c r="A915" s="3"/>
      <c r="B915" s="3"/>
      <c r="C915" s="31"/>
      <c r="D915" s="3"/>
      <c r="E915" s="3"/>
      <c r="F915" s="3"/>
      <c r="G915" s="3"/>
      <c r="H915" s="3"/>
      <c r="I915" s="3"/>
      <c r="J915" s="3"/>
      <c r="K915" s="221"/>
      <c r="L915" s="222"/>
      <c r="M915" s="221"/>
      <c r="N915" s="3"/>
      <c r="O915" s="3"/>
      <c r="P915" s="3"/>
      <c r="Q915" s="3"/>
      <c r="R915" s="3"/>
      <c r="S915" s="3"/>
      <c r="T915" s="22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>
      <c r="A916" s="3"/>
      <c r="B916" s="3"/>
      <c r="C916" s="31"/>
      <c r="D916" s="3"/>
      <c r="E916" s="3"/>
      <c r="F916" s="3"/>
      <c r="G916" s="3"/>
      <c r="H916" s="3"/>
      <c r="I916" s="3"/>
      <c r="J916" s="3"/>
      <c r="K916" s="221"/>
      <c r="L916" s="222"/>
      <c r="M916" s="221"/>
      <c r="N916" s="3"/>
      <c r="O916" s="3"/>
      <c r="P916" s="3"/>
      <c r="Q916" s="3"/>
      <c r="R916" s="3"/>
      <c r="S916" s="3"/>
      <c r="T916" s="22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>
      <c r="A917" s="3"/>
      <c r="B917" s="3"/>
      <c r="C917" s="31"/>
      <c r="D917" s="3"/>
      <c r="E917" s="3"/>
      <c r="F917" s="3"/>
      <c r="G917" s="3"/>
      <c r="H917" s="3"/>
      <c r="I917" s="3"/>
      <c r="J917" s="3"/>
      <c r="K917" s="221"/>
      <c r="L917" s="222"/>
      <c r="M917" s="221"/>
      <c r="N917" s="3"/>
      <c r="O917" s="3"/>
      <c r="P917" s="3"/>
      <c r="Q917" s="3"/>
      <c r="R917" s="3"/>
      <c r="S917" s="3"/>
      <c r="T917" s="22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>
      <c r="A918" s="3"/>
      <c r="B918" s="3"/>
      <c r="C918" s="31"/>
      <c r="D918" s="3"/>
      <c r="E918" s="3"/>
      <c r="F918" s="3"/>
      <c r="G918" s="3"/>
      <c r="H918" s="3"/>
      <c r="I918" s="3"/>
      <c r="J918" s="3"/>
      <c r="K918" s="221"/>
      <c r="L918" s="222"/>
      <c r="M918" s="221"/>
      <c r="N918" s="3"/>
      <c r="O918" s="3"/>
      <c r="P918" s="3"/>
      <c r="Q918" s="3"/>
      <c r="R918" s="3"/>
      <c r="S918" s="3"/>
      <c r="T918" s="22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>
      <c r="A919" s="3"/>
      <c r="B919" s="3"/>
      <c r="C919" s="31"/>
      <c r="D919" s="3"/>
      <c r="E919" s="3"/>
      <c r="F919" s="3"/>
      <c r="G919" s="3"/>
      <c r="H919" s="3"/>
      <c r="I919" s="3"/>
      <c r="J919" s="3"/>
      <c r="K919" s="221"/>
      <c r="L919" s="222"/>
      <c r="M919" s="221"/>
      <c r="N919" s="3"/>
      <c r="O919" s="3"/>
      <c r="P919" s="3"/>
      <c r="Q919" s="3"/>
      <c r="R919" s="3"/>
      <c r="S919" s="3"/>
      <c r="T919" s="22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>
      <c r="A920" s="3"/>
      <c r="B920" s="3"/>
      <c r="C920" s="31"/>
      <c r="D920" s="3"/>
      <c r="E920" s="3"/>
      <c r="F920" s="3"/>
      <c r="G920" s="3"/>
      <c r="H920" s="3"/>
      <c r="I920" s="3"/>
      <c r="J920" s="3"/>
      <c r="K920" s="221"/>
      <c r="L920" s="222"/>
      <c r="M920" s="221"/>
      <c r="N920" s="3"/>
      <c r="O920" s="3"/>
      <c r="P920" s="3"/>
      <c r="Q920" s="3"/>
      <c r="R920" s="3"/>
      <c r="S920" s="3"/>
      <c r="T920" s="22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>
      <c r="A921" s="3"/>
      <c r="B921" s="3"/>
      <c r="C921" s="31"/>
      <c r="D921" s="3"/>
      <c r="E921" s="3"/>
      <c r="F921" s="3"/>
      <c r="G921" s="3"/>
      <c r="H921" s="3"/>
      <c r="I921" s="3"/>
      <c r="J921" s="3"/>
      <c r="K921" s="221"/>
      <c r="L921" s="222"/>
      <c r="M921" s="221"/>
      <c r="N921" s="3"/>
      <c r="O921" s="3"/>
      <c r="P921" s="3"/>
      <c r="Q921" s="3"/>
      <c r="R921" s="3"/>
      <c r="S921" s="3"/>
      <c r="T921" s="22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>
      <c r="A922" s="3"/>
      <c r="B922" s="3"/>
      <c r="C922" s="31"/>
      <c r="D922" s="3"/>
      <c r="E922" s="3"/>
      <c r="F922" s="3"/>
      <c r="G922" s="3"/>
      <c r="H922" s="3"/>
      <c r="I922" s="3"/>
      <c r="J922" s="3"/>
      <c r="K922" s="221"/>
      <c r="L922" s="222"/>
      <c r="M922" s="221"/>
      <c r="N922" s="3"/>
      <c r="O922" s="3"/>
      <c r="P922" s="3"/>
      <c r="Q922" s="3"/>
      <c r="R922" s="3"/>
      <c r="S922" s="3"/>
      <c r="T922" s="22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>
      <c r="A923" s="3"/>
      <c r="B923" s="3"/>
      <c r="C923" s="31"/>
      <c r="D923" s="3"/>
      <c r="E923" s="3"/>
      <c r="F923" s="3"/>
      <c r="G923" s="3"/>
      <c r="H923" s="3"/>
      <c r="I923" s="3"/>
      <c r="J923" s="3"/>
      <c r="K923" s="221"/>
      <c r="L923" s="222"/>
      <c r="M923" s="221"/>
      <c r="N923" s="3"/>
      <c r="O923" s="3"/>
      <c r="P923" s="3"/>
      <c r="Q923" s="3"/>
      <c r="R923" s="3"/>
      <c r="S923" s="3"/>
      <c r="T923" s="22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>
      <c r="A924" s="3"/>
      <c r="B924" s="3"/>
      <c r="C924" s="31"/>
      <c r="D924" s="3"/>
      <c r="E924" s="3"/>
      <c r="F924" s="3"/>
      <c r="G924" s="3"/>
      <c r="H924" s="3"/>
      <c r="I924" s="3"/>
      <c r="J924" s="3"/>
      <c r="K924" s="221"/>
      <c r="L924" s="222"/>
      <c r="M924" s="221"/>
      <c r="N924" s="3"/>
      <c r="O924" s="3"/>
      <c r="P924" s="3"/>
      <c r="Q924" s="3"/>
      <c r="R924" s="3"/>
      <c r="S924" s="3"/>
      <c r="T924" s="22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>
      <c r="A925" s="3"/>
      <c r="B925" s="3"/>
      <c r="C925" s="31"/>
      <c r="D925" s="3"/>
      <c r="E925" s="3"/>
      <c r="F925" s="3"/>
      <c r="G925" s="3"/>
      <c r="H925" s="3"/>
      <c r="I925" s="3"/>
      <c r="J925" s="3"/>
      <c r="K925" s="221"/>
      <c r="L925" s="222"/>
      <c r="M925" s="221"/>
      <c r="N925" s="3"/>
      <c r="O925" s="3"/>
      <c r="P925" s="3"/>
      <c r="Q925" s="3"/>
      <c r="R925" s="3"/>
      <c r="S925" s="3"/>
      <c r="T925" s="22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>
      <c r="A926" s="3"/>
      <c r="B926" s="3"/>
      <c r="C926" s="31"/>
      <c r="D926" s="3"/>
      <c r="E926" s="3"/>
      <c r="F926" s="3"/>
      <c r="G926" s="3"/>
      <c r="H926" s="3"/>
      <c r="I926" s="3"/>
      <c r="J926" s="3"/>
      <c r="K926" s="221"/>
      <c r="L926" s="222"/>
      <c r="M926" s="221"/>
      <c r="N926" s="3"/>
      <c r="O926" s="3"/>
      <c r="P926" s="3"/>
      <c r="Q926" s="3"/>
      <c r="R926" s="3"/>
      <c r="S926" s="3"/>
      <c r="T926" s="22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>
      <c r="A927" s="3"/>
      <c r="B927" s="3"/>
      <c r="C927" s="31"/>
      <c r="D927" s="3"/>
      <c r="E927" s="3"/>
      <c r="F927" s="3"/>
      <c r="G927" s="3"/>
      <c r="H927" s="3"/>
      <c r="I927" s="3"/>
      <c r="J927" s="3"/>
      <c r="K927" s="221"/>
      <c r="L927" s="222"/>
      <c r="M927" s="221"/>
      <c r="N927" s="3"/>
      <c r="O927" s="3"/>
      <c r="P927" s="3"/>
      <c r="Q927" s="3"/>
      <c r="R927" s="3"/>
      <c r="S927" s="3"/>
      <c r="T927" s="22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>
      <c r="A928" s="3"/>
      <c r="B928" s="3"/>
      <c r="C928" s="31"/>
      <c r="D928" s="3"/>
      <c r="E928" s="3"/>
      <c r="F928" s="3"/>
      <c r="G928" s="3"/>
      <c r="H928" s="3"/>
      <c r="I928" s="3"/>
      <c r="J928" s="3"/>
      <c r="K928" s="221"/>
      <c r="L928" s="222"/>
      <c r="M928" s="221"/>
      <c r="N928" s="3"/>
      <c r="O928" s="3"/>
      <c r="P928" s="3"/>
      <c r="Q928" s="3"/>
      <c r="R928" s="3"/>
      <c r="S928" s="3"/>
      <c r="T928" s="22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>
      <c r="A929" s="3"/>
      <c r="B929" s="3"/>
      <c r="C929" s="31"/>
      <c r="D929" s="3"/>
      <c r="E929" s="3"/>
      <c r="F929" s="3"/>
      <c r="G929" s="3"/>
      <c r="H929" s="3"/>
      <c r="I929" s="3"/>
      <c r="J929" s="3"/>
      <c r="K929" s="221"/>
      <c r="L929" s="222"/>
      <c r="M929" s="221"/>
      <c r="N929" s="3"/>
      <c r="O929" s="3"/>
      <c r="P929" s="3"/>
      <c r="Q929" s="3"/>
      <c r="R929" s="3"/>
      <c r="S929" s="3"/>
      <c r="T929" s="22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>
      <c r="A930" s="3"/>
      <c r="B930" s="3"/>
      <c r="C930" s="31"/>
      <c r="D930" s="3"/>
      <c r="E930" s="3"/>
      <c r="F930" s="3"/>
      <c r="G930" s="3"/>
      <c r="H930" s="3"/>
      <c r="I930" s="3"/>
      <c r="J930" s="3"/>
      <c r="K930" s="221"/>
      <c r="L930" s="222"/>
      <c r="M930" s="221"/>
      <c r="N930" s="3"/>
      <c r="O930" s="3"/>
      <c r="P930" s="3"/>
      <c r="Q930" s="3"/>
      <c r="R930" s="3"/>
      <c r="S930" s="3"/>
      <c r="T930" s="22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>
      <c r="A931" s="3"/>
      <c r="B931" s="3"/>
      <c r="C931" s="31"/>
      <c r="D931" s="3"/>
      <c r="E931" s="3"/>
      <c r="F931" s="3"/>
      <c r="G931" s="3"/>
      <c r="H931" s="3"/>
      <c r="I931" s="3"/>
      <c r="J931" s="3"/>
      <c r="K931" s="221"/>
      <c r="L931" s="222"/>
      <c r="M931" s="221"/>
      <c r="N931" s="3"/>
      <c r="O931" s="3"/>
      <c r="P931" s="3"/>
      <c r="Q931" s="3"/>
      <c r="R931" s="3"/>
      <c r="S931" s="3"/>
      <c r="T931" s="22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>
      <c r="A932" s="3"/>
      <c r="B932" s="3"/>
      <c r="C932" s="31"/>
      <c r="D932" s="3"/>
      <c r="E932" s="3"/>
      <c r="F932" s="3"/>
      <c r="G932" s="3"/>
      <c r="H932" s="3"/>
      <c r="I932" s="3"/>
      <c r="J932" s="3"/>
      <c r="K932" s="221"/>
      <c r="L932" s="222"/>
      <c r="M932" s="221"/>
      <c r="N932" s="3"/>
      <c r="O932" s="3"/>
      <c r="P932" s="3"/>
      <c r="Q932" s="3"/>
      <c r="R932" s="3"/>
      <c r="S932" s="3"/>
      <c r="T932" s="22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>
      <c r="A933" s="3"/>
      <c r="B933" s="3"/>
      <c r="C933" s="31"/>
      <c r="D933" s="3"/>
      <c r="E933" s="3"/>
      <c r="F933" s="3"/>
      <c r="G933" s="3"/>
      <c r="H933" s="3"/>
      <c r="I933" s="3"/>
      <c r="J933" s="3"/>
      <c r="K933" s="221"/>
      <c r="L933" s="222"/>
      <c r="M933" s="221"/>
      <c r="N933" s="3"/>
      <c r="O933" s="3"/>
      <c r="P933" s="3"/>
      <c r="Q933" s="3"/>
      <c r="R933" s="3"/>
      <c r="S933" s="3"/>
      <c r="T933" s="22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>
      <c r="A934" s="3"/>
      <c r="B934" s="3"/>
      <c r="C934" s="31"/>
      <c r="D934" s="3"/>
      <c r="E934" s="3"/>
      <c r="F934" s="3"/>
      <c r="G934" s="3"/>
      <c r="H934" s="3"/>
      <c r="I934" s="3"/>
      <c r="J934" s="3"/>
      <c r="K934" s="221"/>
      <c r="L934" s="222"/>
      <c r="M934" s="221"/>
      <c r="N934" s="3"/>
      <c r="O934" s="3"/>
      <c r="P934" s="3"/>
      <c r="Q934" s="3"/>
      <c r="R934" s="3"/>
      <c r="S934" s="3"/>
      <c r="T934" s="22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>
      <c r="A935" s="3"/>
      <c r="B935" s="3"/>
      <c r="C935" s="31"/>
      <c r="D935" s="3"/>
      <c r="E935" s="3"/>
      <c r="F935" s="3"/>
      <c r="G935" s="3"/>
      <c r="H935" s="3"/>
      <c r="I935" s="3"/>
      <c r="J935" s="3"/>
      <c r="K935" s="221"/>
      <c r="L935" s="222"/>
      <c r="M935" s="221"/>
      <c r="N935" s="3"/>
      <c r="O935" s="3"/>
      <c r="P935" s="3"/>
      <c r="Q935" s="3"/>
      <c r="R935" s="3"/>
      <c r="S935" s="3"/>
      <c r="T935" s="22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>
      <c r="A936" s="3"/>
      <c r="B936" s="3"/>
      <c r="C936" s="31"/>
      <c r="D936" s="3"/>
      <c r="E936" s="3"/>
      <c r="F936" s="3"/>
      <c r="G936" s="3"/>
      <c r="H936" s="3"/>
      <c r="I936" s="3"/>
      <c r="J936" s="3"/>
      <c r="K936" s="221"/>
      <c r="L936" s="222"/>
      <c r="M936" s="221"/>
      <c r="N936" s="3"/>
      <c r="O936" s="3"/>
      <c r="P936" s="3"/>
      <c r="Q936" s="3"/>
      <c r="R936" s="3"/>
      <c r="S936" s="3"/>
      <c r="T936" s="22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>
      <c r="A937" s="3"/>
      <c r="B937" s="3"/>
      <c r="C937" s="31"/>
      <c r="D937" s="3"/>
      <c r="E937" s="3"/>
      <c r="F937" s="3"/>
      <c r="G937" s="3"/>
      <c r="H937" s="3"/>
      <c r="I937" s="3"/>
      <c r="J937" s="3"/>
      <c r="K937" s="221"/>
      <c r="L937" s="222"/>
      <c r="M937" s="221"/>
      <c r="N937" s="3"/>
      <c r="O937" s="3"/>
      <c r="P937" s="3"/>
      <c r="Q937" s="3"/>
      <c r="R937" s="3"/>
      <c r="S937" s="3"/>
      <c r="T937" s="22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>
      <c r="A938" s="3"/>
      <c r="B938" s="3"/>
      <c r="C938" s="31"/>
      <c r="D938" s="3"/>
      <c r="E938" s="3"/>
      <c r="F938" s="3"/>
      <c r="G938" s="3"/>
      <c r="H938" s="3"/>
      <c r="I938" s="3"/>
      <c r="J938" s="3"/>
      <c r="K938" s="221"/>
      <c r="L938" s="222"/>
      <c r="M938" s="221"/>
      <c r="N938" s="3"/>
      <c r="O938" s="3"/>
      <c r="P938" s="3"/>
      <c r="Q938" s="3"/>
      <c r="R938" s="3"/>
      <c r="S938" s="3"/>
      <c r="T938" s="22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>
      <c r="A939" s="3"/>
      <c r="B939" s="3"/>
      <c r="C939" s="31"/>
      <c r="D939" s="3"/>
      <c r="E939" s="3"/>
      <c r="F939" s="3"/>
      <c r="G939" s="3"/>
      <c r="H939" s="3"/>
      <c r="I939" s="3"/>
      <c r="J939" s="3"/>
      <c r="K939" s="221"/>
      <c r="L939" s="222"/>
      <c r="M939" s="221"/>
      <c r="N939" s="3"/>
      <c r="O939" s="3"/>
      <c r="P939" s="3"/>
      <c r="Q939" s="3"/>
      <c r="R939" s="3"/>
      <c r="S939" s="3"/>
      <c r="T939" s="22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>
      <c r="A940" s="3"/>
      <c r="B940" s="3"/>
      <c r="C940" s="31"/>
      <c r="D940" s="3"/>
      <c r="E940" s="3"/>
      <c r="F940" s="3"/>
      <c r="G940" s="3"/>
      <c r="H940" s="3"/>
      <c r="I940" s="3"/>
      <c r="J940" s="3"/>
      <c r="K940" s="221"/>
      <c r="L940" s="222"/>
      <c r="M940" s="221"/>
      <c r="N940" s="3"/>
      <c r="O940" s="3"/>
      <c r="P940" s="3"/>
      <c r="Q940" s="3"/>
      <c r="R940" s="3"/>
      <c r="S940" s="3"/>
      <c r="T940" s="22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>
      <c r="A941" s="3"/>
      <c r="B941" s="3"/>
      <c r="C941" s="31"/>
      <c r="D941" s="3"/>
      <c r="E941" s="3"/>
      <c r="F941" s="3"/>
      <c r="G941" s="3"/>
      <c r="H941" s="3"/>
      <c r="I941" s="3"/>
      <c r="J941" s="3"/>
      <c r="K941" s="221"/>
      <c r="L941" s="222"/>
      <c r="M941" s="221"/>
      <c r="N941" s="3"/>
      <c r="O941" s="3"/>
      <c r="P941" s="3"/>
      <c r="Q941" s="3"/>
      <c r="R941" s="3"/>
      <c r="S941" s="3"/>
      <c r="T941" s="22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>
      <c r="A942" s="3"/>
      <c r="B942" s="3"/>
      <c r="C942" s="31"/>
      <c r="D942" s="3"/>
      <c r="E942" s="3"/>
      <c r="F942" s="3"/>
      <c r="G942" s="3"/>
      <c r="H942" s="3"/>
      <c r="I942" s="3"/>
      <c r="J942" s="3"/>
      <c r="K942" s="221"/>
      <c r="L942" s="222"/>
      <c r="M942" s="221"/>
      <c r="N942" s="3"/>
      <c r="O942" s="3"/>
      <c r="P942" s="3"/>
      <c r="Q942" s="3"/>
      <c r="R942" s="3"/>
      <c r="S942" s="3"/>
      <c r="T942" s="22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>
      <c r="A943" s="3"/>
      <c r="B943" s="3"/>
      <c r="C943" s="31"/>
      <c r="D943" s="3"/>
      <c r="E943" s="3"/>
      <c r="F943" s="3"/>
      <c r="G943" s="3"/>
      <c r="H943" s="3"/>
      <c r="I943" s="3"/>
      <c r="J943" s="3"/>
      <c r="K943" s="221"/>
      <c r="L943" s="222"/>
      <c r="M943" s="221"/>
      <c r="N943" s="3"/>
      <c r="O943" s="3"/>
      <c r="P943" s="3"/>
      <c r="Q943" s="3"/>
      <c r="R943" s="3"/>
      <c r="S943" s="3"/>
      <c r="T943" s="22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>
      <c r="A944" s="3"/>
      <c r="B944" s="3"/>
      <c r="C944" s="31"/>
      <c r="D944" s="3"/>
      <c r="E944" s="3"/>
      <c r="F944" s="3"/>
      <c r="G944" s="3"/>
      <c r="H944" s="3"/>
      <c r="I944" s="3"/>
      <c r="J944" s="3"/>
      <c r="K944" s="221"/>
      <c r="L944" s="222"/>
      <c r="M944" s="221"/>
      <c r="N944" s="3"/>
      <c r="O944" s="3"/>
      <c r="P944" s="3"/>
      <c r="Q944" s="3"/>
      <c r="R944" s="3"/>
      <c r="S944" s="3"/>
      <c r="T944" s="22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>
      <c r="A945" s="3"/>
      <c r="B945" s="3"/>
      <c r="C945" s="31"/>
      <c r="D945" s="3"/>
      <c r="E945" s="3"/>
      <c r="F945" s="3"/>
      <c r="G945" s="3"/>
      <c r="H945" s="3"/>
      <c r="I945" s="3"/>
      <c r="J945" s="3"/>
      <c r="K945" s="221"/>
      <c r="L945" s="222"/>
      <c r="M945" s="221"/>
      <c r="N945" s="3"/>
      <c r="O945" s="3"/>
      <c r="P945" s="3"/>
      <c r="Q945" s="3"/>
      <c r="R945" s="3"/>
      <c r="S945" s="3"/>
      <c r="T945" s="22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>
      <c r="A946" s="3"/>
      <c r="B946" s="3"/>
      <c r="C946" s="31"/>
      <c r="D946" s="3"/>
      <c r="E946" s="3"/>
      <c r="F946" s="3"/>
      <c r="G946" s="3"/>
      <c r="H946" s="3"/>
      <c r="I946" s="3"/>
      <c r="J946" s="3"/>
      <c r="K946" s="221"/>
      <c r="L946" s="222"/>
      <c r="M946" s="221"/>
      <c r="N946" s="3"/>
      <c r="O946" s="3"/>
      <c r="P946" s="3"/>
      <c r="Q946" s="3"/>
      <c r="R946" s="3"/>
      <c r="S946" s="3"/>
      <c r="T946" s="22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>
      <c r="A947" s="3"/>
      <c r="B947" s="3"/>
      <c r="C947" s="31"/>
      <c r="D947" s="3"/>
      <c r="E947" s="3"/>
      <c r="F947" s="3"/>
      <c r="G947" s="3"/>
      <c r="H947" s="3"/>
      <c r="I947" s="3"/>
      <c r="J947" s="3"/>
      <c r="K947" s="221"/>
      <c r="L947" s="222"/>
      <c r="M947" s="221"/>
      <c r="N947" s="3"/>
      <c r="O947" s="3"/>
      <c r="P947" s="3"/>
      <c r="Q947" s="3"/>
      <c r="R947" s="3"/>
      <c r="S947" s="3"/>
      <c r="T947" s="22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>
      <c r="A948" s="3"/>
      <c r="B948" s="3"/>
      <c r="C948" s="31"/>
      <c r="D948" s="3"/>
      <c r="E948" s="3"/>
      <c r="F948" s="3"/>
      <c r="G948" s="3"/>
      <c r="H948" s="3"/>
      <c r="I948" s="3"/>
      <c r="J948" s="3"/>
      <c r="K948" s="221"/>
      <c r="L948" s="222"/>
      <c r="M948" s="221"/>
      <c r="N948" s="3"/>
      <c r="O948" s="3"/>
      <c r="P948" s="3"/>
      <c r="Q948" s="3"/>
      <c r="R948" s="3"/>
      <c r="S948" s="3"/>
      <c r="T948" s="22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>
      <c r="A949" s="3"/>
      <c r="B949" s="3"/>
      <c r="C949" s="31"/>
      <c r="D949" s="3"/>
      <c r="E949" s="3"/>
      <c r="F949" s="3"/>
      <c r="G949" s="3"/>
      <c r="H949" s="3"/>
      <c r="I949" s="3"/>
      <c r="J949" s="3"/>
      <c r="K949" s="221"/>
      <c r="L949" s="222"/>
      <c r="M949" s="221"/>
      <c r="N949" s="3"/>
      <c r="O949" s="3"/>
      <c r="P949" s="3"/>
      <c r="Q949" s="3"/>
      <c r="R949" s="3"/>
      <c r="S949" s="3"/>
      <c r="T949" s="22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>
      <c r="A950" s="3"/>
      <c r="B950" s="3"/>
      <c r="C950" s="31"/>
      <c r="D950" s="3"/>
      <c r="E950" s="3"/>
      <c r="F950" s="3"/>
      <c r="G950" s="3"/>
      <c r="H950" s="3"/>
      <c r="I950" s="3"/>
      <c r="J950" s="3"/>
      <c r="K950" s="221"/>
      <c r="L950" s="222"/>
      <c r="M950" s="221"/>
      <c r="N950" s="3"/>
      <c r="O950" s="3"/>
      <c r="P950" s="3"/>
      <c r="Q950" s="3"/>
      <c r="R950" s="3"/>
      <c r="S950" s="3"/>
      <c r="T950" s="22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>
      <c r="A951" s="3"/>
      <c r="B951" s="3"/>
      <c r="C951" s="31"/>
      <c r="D951" s="3"/>
      <c r="E951" s="3"/>
      <c r="F951" s="3"/>
      <c r="G951" s="3"/>
      <c r="H951" s="3"/>
      <c r="I951" s="3"/>
      <c r="J951" s="3"/>
      <c r="K951" s="221"/>
      <c r="L951" s="222"/>
      <c r="M951" s="221"/>
      <c r="N951" s="3"/>
      <c r="O951" s="3"/>
      <c r="P951" s="3"/>
      <c r="Q951" s="3"/>
      <c r="R951" s="3"/>
      <c r="S951" s="3"/>
      <c r="T951" s="22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>
      <c r="A952" s="3"/>
      <c r="B952" s="3"/>
      <c r="C952" s="31"/>
      <c r="D952" s="3"/>
      <c r="E952" s="3"/>
      <c r="F952" s="3"/>
      <c r="G952" s="3"/>
      <c r="H952" s="3"/>
      <c r="I952" s="3"/>
      <c r="J952" s="3"/>
      <c r="K952" s="221"/>
      <c r="L952" s="222"/>
      <c r="M952" s="221"/>
      <c r="N952" s="3"/>
      <c r="O952" s="3"/>
      <c r="P952" s="3"/>
      <c r="Q952" s="3"/>
      <c r="R952" s="3"/>
      <c r="S952" s="3"/>
      <c r="T952" s="22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>
      <c r="A953" s="3"/>
      <c r="B953" s="3"/>
      <c r="C953" s="31"/>
      <c r="D953" s="3"/>
      <c r="E953" s="3"/>
      <c r="F953" s="3"/>
      <c r="G953" s="3"/>
      <c r="H953" s="3"/>
      <c r="I953" s="3"/>
      <c r="J953" s="3"/>
      <c r="K953" s="221"/>
      <c r="L953" s="222"/>
      <c r="M953" s="221"/>
      <c r="N953" s="3"/>
      <c r="O953" s="3"/>
      <c r="P953" s="3"/>
      <c r="Q953" s="3"/>
      <c r="R953" s="3"/>
      <c r="S953" s="3"/>
      <c r="T953" s="22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>
      <c r="A954" s="3"/>
      <c r="B954" s="3"/>
      <c r="C954" s="31"/>
      <c r="D954" s="3"/>
      <c r="E954" s="3"/>
      <c r="F954" s="3"/>
      <c r="G954" s="3"/>
      <c r="H954" s="3"/>
      <c r="I954" s="3"/>
      <c r="J954" s="3"/>
      <c r="K954" s="221"/>
      <c r="L954" s="222"/>
      <c r="M954" s="221"/>
      <c r="N954" s="3"/>
      <c r="O954" s="3"/>
      <c r="P954" s="3"/>
      <c r="Q954" s="3"/>
      <c r="R954" s="3"/>
      <c r="S954" s="3"/>
      <c r="T954" s="22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>
      <c r="A955" s="3"/>
      <c r="B955" s="3"/>
      <c r="C955" s="31"/>
      <c r="D955" s="3"/>
      <c r="E955" s="3"/>
      <c r="F955" s="3"/>
      <c r="G955" s="3"/>
      <c r="H955" s="3"/>
      <c r="I955" s="3"/>
      <c r="J955" s="3"/>
      <c r="K955" s="221"/>
      <c r="L955" s="222"/>
      <c r="M955" s="221"/>
      <c r="N955" s="3"/>
      <c r="O955" s="3"/>
      <c r="P955" s="3"/>
      <c r="Q955" s="3"/>
      <c r="R955" s="3"/>
      <c r="S955" s="3"/>
      <c r="T955" s="22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>
      <c r="A956" s="3"/>
      <c r="B956" s="3"/>
      <c r="C956" s="31"/>
      <c r="D956" s="3"/>
      <c r="E956" s="3"/>
      <c r="F956" s="3"/>
      <c r="G956" s="3"/>
      <c r="H956" s="3"/>
      <c r="I956" s="3"/>
      <c r="J956" s="3"/>
      <c r="K956" s="221"/>
      <c r="L956" s="222"/>
      <c r="M956" s="221"/>
      <c r="N956" s="3"/>
      <c r="O956" s="3"/>
      <c r="P956" s="3"/>
      <c r="Q956" s="3"/>
      <c r="R956" s="3"/>
      <c r="S956" s="3"/>
      <c r="T956" s="22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>
      <c r="A957" s="3"/>
      <c r="B957" s="3"/>
      <c r="C957" s="31"/>
      <c r="D957" s="3"/>
      <c r="E957" s="3"/>
      <c r="F957" s="3"/>
      <c r="G957" s="3"/>
      <c r="H957" s="3"/>
      <c r="I957" s="3"/>
      <c r="J957" s="3"/>
      <c r="K957" s="221"/>
      <c r="L957" s="222"/>
      <c r="M957" s="221"/>
      <c r="N957" s="3"/>
      <c r="O957" s="3"/>
      <c r="P957" s="3"/>
      <c r="Q957" s="3"/>
      <c r="R957" s="3"/>
      <c r="S957" s="3"/>
      <c r="T957" s="22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>
      <c r="A958" s="3"/>
      <c r="B958" s="3"/>
      <c r="C958" s="31"/>
      <c r="D958" s="3"/>
      <c r="E958" s="3"/>
      <c r="F958" s="3"/>
      <c r="G958" s="3"/>
      <c r="H958" s="3"/>
      <c r="I958" s="3"/>
      <c r="J958" s="3"/>
      <c r="K958" s="221"/>
      <c r="L958" s="222"/>
      <c r="M958" s="221"/>
      <c r="N958" s="3"/>
      <c r="O958" s="3"/>
      <c r="P958" s="3"/>
      <c r="Q958" s="3"/>
      <c r="R958" s="3"/>
      <c r="S958" s="3"/>
      <c r="T958" s="22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>
      <c r="A959" s="3"/>
      <c r="B959" s="3"/>
      <c r="C959" s="31"/>
      <c r="D959" s="3"/>
      <c r="E959" s="3"/>
      <c r="F959" s="3"/>
      <c r="G959" s="3"/>
      <c r="H959" s="3"/>
      <c r="I959" s="3"/>
      <c r="J959" s="3"/>
      <c r="K959" s="221"/>
      <c r="L959" s="222"/>
      <c r="M959" s="221"/>
      <c r="N959" s="3"/>
      <c r="O959" s="3"/>
      <c r="P959" s="3"/>
      <c r="Q959" s="3"/>
      <c r="R959" s="3"/>
      <c r="S959" s="3"/>
      <c r="T959" s="22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>
      <c r="A960" s="3"/>
      <c r="B960" s="3"/>
      <c r="C960" s="31"/>
      <c r="D960" s="3"/>
      <c r="E960" s="3"/>
      <c r="F960" s="3"/>
      <c r="G960" s="3"/>
      <c r="H960" s="3"/>
      <c r="I960" s="3"/>
      <c r="J960" s="3"/>
      <c r="K960" s="221"/>
      <c r="L960" s="222"/>
      <c r="M960" s="221"/>
      <c r="N960" s="3"/>
      <c r="O960" s="3"/>
      <c r="P960" s="3"/>
      <c r="Q960" s="3"/>
      <c r="R960" s="3"/>
      <c r="S960" s="3"/>
      <c r="T960" s="22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>
      <c r="A961" s="3"/>
      <c r="B961" s="3"/>
      <c r="C961" s="31"/>
      <c r="D961" s="3"/>
      <c r="E961" s="3"/>
      <c r="F961" s="3"/>
      <c r="G961" s="3"/>
      <c r="H961" s="3"/>
      <c r="I961" s="3"/>
      <c r="J961" s="3"/>
      <c r="K961" s="221"/>
      <c r="L961" s="222"/>
      <c r="M961" s="221"/>
      <c r="N961" s="3"/>
      <c r="O961" s="3"/>
      <c r="P961" s="3"/>
      <c r="Q961" s="3"/>
      <c r="R961" s="3"/>
      <c r="S961" s="3"/>
      <c r="T961" s="22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>
      <c r="A962" s="3"/>
      <c r="B962" s="3"/>
      <c r="C962" s="31"/>
      <c r="D962" s="3"/>
      <c r="E962" s="3"/>
      <c r="F962" s="3"/>
      <c r="G962" s="3"/>
      <c r="H962" s="3"/>
      <c r="I962" s="3"/>
      <c r="J962" s="3"/>
      <c r="K962" s="221"/>
      <c r="L962" s="222"/>
      <c r="M962" s="221"/>
      <c r="N962" s="3"/>
      <c r="O962" s="3"/>
      <c r="P962" s="3"/>
      <c r="Q962" s="3"/>
      <c r="R962" s="3"/>
      <c r="S962" s="3"/>
      <c r="T962" s="22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>
      <c r="A963" s="3"/>
      <c r="B963" s="3"/>
      <c r="C963" s="31"/>
      <c r="D963" s="3"/>
      <c r="E963" s="3"/>
      <c r="F963" s="3"/>
      <c r="G963" s="3"/>
      <c r="H963" s="3"/>
      <c r="I963" s="3"/>
      <c r="J963" s="3"/>
      <c r="K963" s="221"/>
      <c r="L963" s="222"/>
      <c r="M963" s="221"/>
      <c r="N963" s="3"/>
      <c r="O963" s="3"/>
      <c r="P963" s="3"/>
      <c r="Q963" s="3"/>
      <c r="R963" s="3"/>
      <c r="S963" s="3"/>
      <c r="T963" s="22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>
      <c r="A964" s="3"/>
      <c r="B964" s="3"/>
      <c r="C964" s="31"/>
      <c r="D964" s="3"/>
      <c r="E964" s="3"/>
      <c r="F964" s="3"/>
      <c r="G964" s="3"/>
      <c r="H964" s="3"/>
      <c r="I964" s="3"/>
      <c r="J964" s="3"/>
      <c r="K964" s="221"/>
      <c r="L964" s="222"/>
      <c r="M964" s="221"/>
      <c r="N964" s="3"/>
      <c r="O964" s="3"/>
      <c r="P964" s="3"/>
      <c r="Q964" s="3"/>
      <c r="R964" s="3"/>
      <c r="S964" s="3"/>
      <c r="T964" s="22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>
      <c r="A965" s="3"/>
      <c r="B965" s="3"/>
      <c r="C965" s="31"/>
      <c r="D965" s="3"/>
      <c r="E965" s="3"/>
      <c r="F965" s="3"/>
      <c r="G965" s="3"/>
      <c r="H965" s="3"/>
      <c r="I965" s="3"/>
      <c r="J965" s="3"/>
      <c r="K965" s="221"/>
      <c r="L965" s="222"/>
      <c r="M965" s="221"/>
      <c r="N965" s="3"/>
      <c r="O965" s="3"/>
      <c r="P965" s="3"/>
      <c r="Q965" s="3"/>
      <c r="R965" s="3"/>
      <c r="S965" s="3"/>
      <c r="T965" s="22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>
      <c r="A966" s="3"/>
      <c r="B966" s="3"/>
      <c r="C966" s="31"/>
      <c r="D966" s="3"/>
      <c r="E966" s="3"/>
      <c r="F966" s="3"/>
      <c r="G966" s="3"/>
      <c r="H966" s="3"/>
      <c r="I966" s="3"/>
      <c r="J966" s="3"/>
      <c r="K966" s="221"/>
      <c r="L966" s="222"/>
      <c r="M966" s="221"/>
      <c r="N966" s="3"/>
      <c r="O966" s="3"/>
      <c r="P966" s="3"/>
      <c r="Q966" s="3"/>
      <c r="R966" s="3"/>
      <c r="S966" s="3"/>
      <c r="T966" s="22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>
      <c r="A967" s="3"/>
      <c r="B967" s="3"/>
      <c r="C967" s="31"/>
      <c r="D967" s="3"/>
      <c r="E967" s="3"/>
      <c r="F967" s="3"/>
      <c r="G967" s="3"/>
      <c r="H967" s="3"/>
      <c r="I967" s="3"/>
      <c r="J967" s="3"/>
      <c r="K967" s="221"/>
      <c r="L967" s="222"/>
      <c r="M967" s="221"/>
      <c r="N967" s="3"/>
      <c r="O967" s="3"/>
      <c r="P967" s="3"/>
      <c r="Q967" s="3"/>
      <c r="R967" s="3"/>
      <c r="S967" s="3"/>
      <c r="T967" s="22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>
      <c r="A968" s="3"/>
      <c r="B968" s="3"/>
      <c r="C968" s="31"/>
      <c r="D968" s="3"/>
      <c r="E968" s="3"/>
      <c r="F968" s="3"/>
      <c r="G968" s="3"/>
      <c r="H968" s="3"/>
      <c r="I968" s="3"/>
      <c r="J968" s="3"/>
      <c r="K968" s="221"/>
      <c r="L968" s="222"/>
      <c r="M968" s="221"/>
      <c r="N968" s="3"/>
      <c r="O968" s="3"/>
      <c r="P968" s="3"/>
      <c r="Q968" s="3"/>
      <c r="R968" s="3"/>
      <c r="S968" s="3"/>
      <c r="T968" s="22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>
      <c r="A969" s="3"/>
      <c r="B969" s="3"/>
      <c r="C969" s="31"/>
      <c r="D969" s="3"/>
      <c r="E969" s="3"/>
      <c r="F969" s="3"/>
      <c r="G969" s="3"/>
      <c r="H969" s="3"/>
      <c r="I969" s="3"/>
      <c r="J969" s="3"/>
      <c r="K969" s="221"/>
      <c r="L969" s="222"/>
      <c r="M969" s="221"/>
      <c r="N969" s="3"/>
      <c r="O969" s="3"/>
      <c r="P969" s="3"/>
      <c r="Q969" s="3"/>
      <c r="R969" s="3"/>
      <c r="S969" s="3"/>
      <c r="T969" s="22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>
      <c r="A970" s="3"/>
      <c r="B970" s="3"/>
      <c r="C970" s="31"/>
      <c r="D970" s="3"/>
      <c r="E970" s="3"/>
      <c r="F970" s="3"/>
      <c r="G970" s="3"/>
      <c r="H970" s="3"/>
      <c r="I970" s="3"/>
      <c r="J970" s="3"/>
      <c r="K970" s="221"/>
      <c r="L970" s="222"/>
      <c r="M970" s="221"/>
      <c r="N970" s="3"/>
      <c r="O970" s="3"/>
      <c r="P970" s="3"/>
      <c r="Q970" s="3"/>
      <c r="R970" s="3"/>
      <c r="S970" s="3"/>
      <c r="T970" s="22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>
      <c r="A971" s="3"/>
      <c r="B971" s="3"/>
      <c r="C971" s="31"/>
      <c r="D971" s="3"/>
      <c r="E971" s="3"/>
      <c r="F971" s="3"/>
      <c r="G971" s="3"/>
      <c r="H971" s="3"/>
      <c r="I971" s="3"/>
      <c r="J971" s="3"/>
      <c r="K971" s="221"/>
      <c r="L971" s="222"/>
      <c r="M971" s="221"/>
      <c r="N971" s="3"/>
      <c r="O971" s="3"/>
      <c r="P971" s="3"/>
      <c r="Q971" s="3"/>
      <c r="R971" s="3"/>
      <c r="S971" s="3"/>
      <c r="T971" s="22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>
      <c r="A972" s="3"/>
      <c r="B972" s="3"/>
      <c r="C972" s="31"/>
      <c r="D972" s="3"/>
      <c r="E972" s="3"/>
      <c r="F972" s="3"/>
      <c r="G972" s="3"/>
      <c r="H972" s="3"/>
      <c r="I972" s="3"/>
      <c r="J972" s="3"/>
      <c r="K972" s="221"/>
      <c r="L972" s="222"/>
      <c r="M972" s="221"/>
      <c r="N972" s="3"/>
      <c r="O972" s="3"/>
      <c r="P972" s="3"/>
      <c r="Q972" s="3"/>
      <c r="R972" s="3"/>
      <c r="S972" s="3"/>
      <c r="T972" s="22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>
      <c r="A973" s="3"/>
      <c r="B973" s="3"/>
      <c r="C973" s="31"/>
      <c r="D973" s="3"/>
      <c r="E973" s="3"/>
      <c r="F973" s="3"/>
      <c r="G973" s="3"/>
      <c r="H973" s="3"/>
      <c r="I973" s="3"/>
      <c r="J973" s="3"/>
      <c r="K973" s="221"/>
      <c r="L973" s="222"/>
      <c r="M973" s="221"/>
      <c r="N973" s="3"/>
      <c r="O973" s="3"/>
      <c r="P973" s="3"/>
      <c r="Q973" s="3"/>
      <c r="R973" s="3"/>
      <c r="S973" s="3"/>
      <c r="T973" s="22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>
      <c r="A974" s="3"/>
      <c r="B974" s="3"/>
      <c r="C974" s="31"/>
      <c r="D974" s="3"/>
      <c r="E974" s="3"/>
      <c r="F974" s="3"/>
      <c r="G974" s="3"/>
      <c r="H974" s="3"/>
      <c r="I974" s="3"/>
      <c r="J974" s="3"/>
      <c r="K974" s="221"/>
      <c r="L974" s="222"/>
      <c r="M974" s="221"/>
      <c r="N974" s="3"/>
      <c r="O974" s="3"/>
      <c r="P974" s="3"/>
      <c r="Q974" s="3"/>
      <c r="R974" s="3"/>
      <c r="S974" s="3"/>
      <c r="T974" s="22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>
      <c r="A975" s="3"/>
      <c r="B975" s="3"/>
      <c r="C975" s="31"/>
      <c r="D975" s="3"/>
      <c r="E975" s="3"/>
      <c r="F975" s="3"/>
      <c r="G975" s="3"/>
      <c r="H975" s="3"/>
      <c r="I975" s="3"/>
      <c r="J975" s="3"/>
      <c r="K975" s="221"/>
      <c r="L975" s="222"/>
      <c r="M975" s="221"/>
      <c r="N975" s="3"/>
      <c r="O975" s="3"/>
      <c r="P975" s="3"/>
      <c r="Q975" s="3"/>
      <c r="R975" s="3"/>
      <c r="S975" s="3"/>
      <c r="T975" s="22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>
      <c r="A976" s="3"/>
      <c r="B976" s="3"/>
      <c r="C976" s="31"/>
      <c r="D976" s="3"/>
      <c r="E976" s="3"/>
      <c r="F976" s="3"/>
      <c r="G976" s="3"/>
      <c r="H976" s="3"/>
      <c r="I976" s="3"/>
      <c r="J976" s="3"/>
      <c r="K976" s="221"/>
      <c r="L976" s="222"/>
      <c r="M976" s="221"/>
      <c r="N976" s="3"/>
      <c r="O976" s="3"/>
      <c r="P976" s="3"/>
      <c r="Q976" s="3"/>
      <c r="R976" s="3"/>
      <c r="S976" s="3"/>
      <c r="T976" s="22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>
      <c r="A977" s="3"/>
      <c r="B977" s="3"/>
      <c r="C977" s="31"/>
      <c r="D977" s="3"/>
      <c r="E977" s="3"/>
      <c r="F977" s="3"/>
      <c r="G977" s="3"/>
      <c r="H977" s="3"/>
      <c r="I977" s="3"/>
      <c r="J977" s="3"/>
      <c r="K977" s="221"/>
      <c r="L977" s="222"/>
      <c r="M977" s="221"/>
      <c r="N977" s="3"/>
      <c r="O977" s="3"/>
      <c r="P977" s="3"/>
      <c r="Q977" s="3"/>
      <c r="R977" s="3"/>
      <c r="S977" s="3"/>
      <c r="T977" s="22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>
      <c r="A978" s="3"/>
      <c r="B978" s="3"/>
      <c r="C978" s="31"/>
      <c r="D978" s="3"/>
      <c r="E978" s="3"/>
      <c r="F978" s="3"/>
      <c r="G978" s="3"/>
      <c r="H978" s="3"/>
      <c r="I978" s="3"/>
      <c r="J978" s="3"/>
      <c r="K978" s="221"/>
      <c r="L978" s="222"/>
      <c r="M978" s="221"/>
      <c r="N978" s="3"/>
      <c r="O978" s="3"/>
      <c r="P978" s="3"/>
      <c r="Q978" s="3"/>
      <c r="R978" s="3"/>
      <c r="S978" s="3"/>
      <c r="T978" s="22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>
      <c r="A979" s="3"/>
      <c r="B979" s="3"/>
      <c r="C979" s="31"/>
      <c r="D979" s="3"/>
      <c r="E979" s="3"/>
      <c r="F979" s="3"/>
      <c r="G979" s="3"/>
      <c r="H979" s="3"/>
      <c r="I979" s="3"/>
      <c r="J979" s="3"/>
      <c r="K979" s="221"/>
      <c r="L979" s="222"/>
      <c r="M979" s="221"/>
      <c r="N979" s="3"/>
      <c r="O979" s="3"/>
      <c r="P979" s="3"/>
      <c r="Q979" s="3"/>
      <c r="R979" s="3"/>
      <c r="S979" s="3"/>
      <c r="T979" s="22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>
      <c r="A980" s="3"/>
      <c r="B980" s="3"/>
      <c r="C980" s="31"/>
      <c r="D980" s="3"/>
      <c r="E980" s="3"/>
      <c r="F980" s="3"/>
      <c r="G980" s="3"/>
      <c r="H980" s="3"/>
      <c r="I980" s="3"/>
      <c r="J980" s="3"/>
      <c r="K980" s="221"/>
      <c r="L980" s="222"/>
      <c r="M980" s="221"/>
      <c r="N980" s="3"/>
      <c r="O980" s="3"/>
      <c r="P980" s="3"/>
      <c r="Q980" s="3"/>
      <c r="R980" s="3"/>
      <c r="S980" s="3"/>
      <c r="T980" s="22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>
      <c r="A981" s="3"/>
      <c r="B981" s="3"/>
      <c r="C981" s="31"/>
      <c r="D981" s="3"/>
      <c r="E981" s="3"/>
      <c r="F981" s="3"/>
      <c r="G981" s="3"/>
      <c r="H981" s="3"/>
      <c r="I981" s="3"/>
      <c r="J981" s="3"/>
      <c r="K981" s="221"/>
      <c r="L981" s="222"/>
      <c r="M981" s="221"/>
      <c r="N981" s="3"/>
      <c r="O981" s="3"/>
      <c r="P981" s="3"/>
      <c r="Q981" s="3"/>
      <c r="R981" s="3"/>
      <c r="S981" s="3"/>
      <c r="T981" s="22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>
      <c r="A982" s="3"/>
      <c r="B982" s="3"/>
      <c r="C982" s="31"/>
      <c r="D982" s="3"/>
      <c r="E982" s="3"/>
      <c r="F982" s="3"/>
      <c r="G982" s="3"/>
      <c r="H982" s="3"/>
      <c r="I982" s="3"/>
      <c r="J982" s="3"/>
      <c r="K982" s="221"/>
      <c r="L982" s="222"/>
      <c r="M982" s="221"/>
      <c r="N982" s="3"/>
      <c r="O982" s="3"/>
      <c r="P982" s="3"/>
      <c r="Q982" s="3"/>
      <c r="R982" s="3"/>
      <c r="S982" s="3"/>
      <c r="T982" s="22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>
      <c r="A983" s="3"/>
      <c r="B983" s="3"/>
      <c r="C983" s="31"/>
      <c r="D983" s="3"/>
      <c r="E983" s="3"/>
      <c r="F983" s="3"/>
      <c r="G983" s="3"/>
      <c r="H983" s="3"/>
      <c r="I983" s="3"/>
      <c r="J983" s="3"/>
      <c r="K983" s="221"/>
      <c r="L983" s="222"/>
      <c r="M983" s="221"/>
      <c r="N983" s="3"/>
      <c r="O983" s="3"/>
      <c r="P983" s="3"/>
      <c r="Q983" s="3"/>
      <c r="R983" s="3"/>
      <c r="S983" s="3"/>
      <c r="T983" s="22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>
      <c r="A984" s="3"/>
      <c r="B984" s="3"/>
      <c r="C984" s="31"/>
      <c r="D984" s="3"/>
      <c r="E984" s="3"/>
      <c r="F984" s="3"/>
      <c r="G984" s="3"/>
      <c r="H984" s="3"/>
      <c r="I984" s="3"/>
      <c r="J984" s="3"/>
      <c r="K984" s="221"/>
      <c r="L984" s="222"/>
      <c r="M984" s="221"/>
      <c r="N984" s="3"/>
      <c r="O984" s="3"/>
      <c r="P984" s="3"/>
      <c r="Q984" s="3"/>
      <c r="R984" s="3"/>
      <c r="S984" s="3"/>
      <c r="T984" s="22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>
      <c r="A985" s="3"/>
      <c r="B985" s="3"/>
      <c r="C985" s="31"/>
      <c r="D985" s="3"/>
      <c r="E985" s="3"/>
      <c r="F985" s="3"/>
      <c r="G985" s="3"/>
      <c r="H985" s="3"/>
      <c r="I985" s="3"/>
      <c r="J985" s="3"/>
      <c r="K985" s="221"/>
      <c r="L985" s="222"/>
      <c r="M985" s="221"/>
      <c r="N985" s="3"/>
      <c r="O985" s="3"/>
      <c r="P985" s="3"/>
      <c r="Q985" s="3"/>
      <c r="R985" s="3"/>
      <c r="S985" s="3"/>
      <c r="T985" s="22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>
      <c r="A986" s="3"/>
      <c r="B986" s="3"/>
      <c r="C986" s="31"/>
      <c r="D986" s="3"/>
      <c r="E986" s="3"/>
      <c r="F986" s="3"/>
      <c r="G986" s="3"/>
      <c r="H986" s="3"/>
      <c r="I986" s="3"/>
      <c r="J986" s="3"/>
      <c r="K986" s="221"/>
      <c r="L986" s="222"/>
      <c r="M986" s="221"/>
      <c r="N986" s="3"/>
      <c r="O986" s="3"/>
      <c r="P986" s="3"/>
      <c r="Q986" s="3"/>
      <c r="R986" s="3"/>
      <c r="S986" s="3"/>
      <c r="T986" s="22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>
      <c r="A987" s="3"/>
      <c r="B987" s="3"/>
      <c r="C987" s="31"/>
      <c r="D987" s="3"/>
      <c r="E987" s="3"/>
      <c r="F987" s="3"/>
      <c r="G987" s="3"/>
      <c r="H987" s="3"/>
      <c r="I987" s="3"/>
      <c r="J987" s="3"/>
      <c r="K987" s="221"/>
      <c r="L987" s="222"/>
      <c r="M987" s="221"/>
      <c r="N987" s="3"/>
      <c r="O987" s="3"/>
      <c r="P987" s="3"/>
      <c r="Q987" s="3"/>
      <c r="R987" s="3"/>
      <c r="S987" s="3"/>
      <c r="T987" s="22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>
      <c r="A988" s="3"/>
      <c r="B988" s="3"/>
      <c r="C988" s="31"/>
      <c r="D988" s="3"/>
      <c r="E988" s="3"/>
      <c r="F988" s="3"/>
      <c r="G988" s="3"/>
      <c r="H988" s="3"/>
      <c r="I988" s="3"/>
      <c r="J988" s="3"/>
      <c r="K988" s="221"/>
      <c r="L988" s="222"/>
      <c r="M988" s="221"/>
      <c r="N988" s="3"/>
      <c r="O988" s="3"/>
      <c r="P988" s="3"/>
      <c r="Q988" s="3"/>
      <c r="R988" s="3"/>
      <c r="S988" s="3"/>
      <c r="T988" s="22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>
      <c r="A989" s="3"/>
      <c r="B989" s="3"/>
      <c r="C989" s="31"/>
      <c r="D989" s="3"/>
      <c r="E989" s="3"/>
      <c r="F989" s="3"/>
      <c r="G989" s="3"/>
      <c r="H989" s="3"/>
      <c r="I989" s="3"/>
      <c r="J989" s="3"/>
      <c r="K989" s="221"/>
      <c r="L989" s="222"/>
      <c r="M989" s="221"/>
      <c r="N989" s="3"/>
      <c r="O989" s="3"/>
      <c r="P989" s="3"/>
      <c r="Q989" s="3"/>
      <c r="R989" s="3"/>
      <c r="S989" s="3"/>
      <c r="T989" s="22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>
      <c r="A990" s="3"/>
      <c r="B990" s="3"/>
      <c r="C990" s="31"/>
      <c r="D990" s="3"/>
      <c r="E990" s="3"/>
      <c r="F990" s="3"/>
      <c r="G990" s="3"/>
      <c r="H990" s="3"/>
      <c r="I990" s="3"/>
      <c r="J990" s="3"/>
      <c r="K990" s="221"/>
      <c r="L990" s="222"/>
      <c r="M990" s="221"/>
      <c r="N990" s="3"/>
      <c r="O990" s="3"/>
      <c r="P990" s="3"/>
      <c r="Q990" s="3"/>
      <c r="R990" s="3"/>
      <c r="S990" s="3"/>
      <c r="T990" s="22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>
      <c r="A991" s="3"/>
      <c r="B991" s="3"/>
      <c r="C991" s="31"/>
      <c r="D991" s="3"/>
      <c r="E991" s="3"/>
      <c r="F991" s="3"/>
      <c r="G991" s="3"/>
      <c r="H991" s="3"/>
      <c r="I991" s="3"/>
      <c r="J991" s="3"/>
      <c r="K991" s="221"/>
      <c r="L991" s="222"/>
      <c r="M991" s="221"/>
      <c r="N991" s="3"/>
      <c r="O991" s="3"/>
      <c r="P991" s="3"/>
      <c r="Q991" s="3"/>
      <c r="R991" s="3"/>
      <c r="S991" s="3"/>
      <c r="T991" s="22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>
      <c r="A992" s="3"/>
      <c r="B992" s="3"/>
      <c r="C992" s="31"/>
      <c r="D992" s="3"/>
      <c r="E992" s="3"/>
      <c r="F992" s="3"/>
      <c r="G992" s="3"/>
      <c r="H992" s="3"/>
      <c r="I992" s="3"/>
      <c r="J992" s="3"/>
      <c r="K992" s="221"/>
      <c r="L992" s="222"/>
      <c r="M992" s="221"/>
      <c r="N992" s="3"/>
      <c r="O992" s="3"/>
      <c r="P992" s="3"/>
      <c r="Q992" s="3"/>
      <c r="R992" s="3"/>
      <c r="S992" s="3"/>
      <c r="T992" s="22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</sheetData>
  <mergeCells count="3">
    <mergeCell ref="A1:G3"/>
    <mergeCell ref="H1:Q3"/>
    <mergeCell ref="R1:T3"/>
  </mergeCells>
  <conditionalFormatting sqref="M80">
    <cfRule type="notContainsBlanks" dxfId="0" priority="1">
      <formula>LEN(TRIM(M80))&gt;0</formula>
    </cfRule>
  </conditionalFormatting>
  <dataValidations>
    <dataValidation type="list" allowBlank="1" showErrorMessage="1" sqref="N5:N8 N30 N42 N57 N61 N84 N96">
      <formula1>"PROPOSTA ENVIADA,CONTRATO FECHADO,RECUSADO,FECHADO CRISTIANO"</formula1>
    </dataValidation>
    <dataValidation type="list" allowBlank="1" showErrorMessage="1" sqref="S5:S132">
      <formula1>"LUCAS,VITÓRIA,VINICIOS,VINICIUS,ALEXANDRE,MIKAELLE,CRISTIANO,GUSTAVO"</formula1>
    </dataValidation>
    <dataValidation type="list" allowBlank="1" showErrorMessage="1" sqref="R5:R8 R30 R42 R57 R61 R84 R96">
      <formula1>"E-MAIL,KOMMO,TELEFONE FIXO,WHATSAPP,INDICAÇÃO,CONARH"</formula1>
    </dataValidation>
    <dataValidation type="list" allowBlank="1" showErrorMessage="1" sqref="O5:O132">
      <formula1>"NOVO,ANTIGO"</formula1>
    </dataValidation>
    <dataValidation type="list" allowBlank="1" showErrorMessage="1" sqref="R9:R29 R31:R41 R43:R56 R58:R60 R62:R83 R85:R95 R97:R132">
      <formula1>"E-MAIL,KOMMO,TELEFONE FIXO,WHATSAPP,INDICAÇÃO,CONARH,PLANILHA LEAD"</formula1>
    </dataValidation>
    <dataValidation type="list" allowBlank="1" showErrorMessage="1" sqref="N9:N29 N31:N41 N43:N56 N58:N60 N62:N83 N85:N95 N97:N132">
      <formula1>"PROPOSTA ENVIADA,CONTRATO FECHADO,RECUSADO"</formula1>
    </dataValidation>
    <dataValidation type="list" allowBlank="1" showErrorMessage="1" sqref="P5:P132">
      <formula1>"MINUTA ENVIADA,MINUTA ASSINADA"</formula1>
    </dataValidation>
  </dataValidations>
  <hyperlinks>
    <hyperlink r:id="rId1" ref="F36"/>
    <hyperlink r:id="rId2" ref="F37"/>
    <hyperlink r:id="rId3" ref="F42"/>
    <hyperlink r:id="rId4" ref="F57"/>
    <hyperlink r:id="rId5" ref="F61"/>
    <hyperlink r:id="rId6" ref="F89"/>
    <hyperlink r:id="rId7" ref="F107"/>
    <hyperlink r:id="rId8" ref="F108"/>
    <hyperlink r:id="rId9" ref="F110"/>
    <hyperlink r:id="rId10" ref="F123"/>
    <hyperlink r:id="rId11" ref="F128"/>
    <hyperlink r:id="rId12" ref="F131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72.63"/>
    <col customWidth="1" min="3" max="3" width="16.38"/>
    <col customWidth="1" min="4" max="4" width="32.75"/>
    <col customWidth="1" min="5" max="5" width="15.75"/>
    <col customWidth="1" min="6" max="6" width="42.63"/>
    <col customWidth="1" min="7" max="7" width="15.88"/>
    <col customWidth="1" min="8" max="8" width="40.88"/>
    <col customWidth="1" min="10" max="10" width="28.38"/>
    <col customWidth="1" min="11" max="11" width="16.0"/>
    <col customWidth="1" min="12" max="12" width="16.25"/>
    <col customWidth="1" min="13" max="13" width="20.63"/>
    <col customWidth="1" min="14" max="14" width="22.25"/>
    <col customWidth="1" min="15" max="15" width="17.63"/>
    <col customWidth="1" min="16" max="16" width="23.0"/>
    <col customWidth="1" min="17" max="17" width="13.5"/>
    <col customWidth="1" min="18" max="18" width="19.0"/>
    <col customWidth="1" min="19" max="19" width="20.38"/>
    <col customWidth="1" min="20" max="20" width="114.25"/>
    <col customWidth="1" min="21" max="21" width="18.75"/>
  </cols>
  <sheetData>
    <row r="1">
      <c r="A1" s="1" t="s">
        <v>0</v>
      </c>
      <c r="H1" s="2" t="s">
        <v>1</v>
      </c>
      <c r="Q1" s="2" t="s">
        <v>2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24.75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7" t="s">
        <v>10</v>
      </c>
      <c r="I4" s="8" t="s">
        <v>11</v>
      </c>
      <c r="J4" s="8" t="s">
        <v>12</v>
      </c>
      <c r="K4" s="9" t="s">
        <v>13</v>
      </c>
      <c r="L4" s="8" t="s">
        <v>533</v>
      </c>
      <c r="M4" s="9" t="s">
        <v>14</v>
      </c>
      <c r="N4" s="8" t="s">
        <v>15</v>
      </c>
      <c r="O4" s="8" t="s">
        <v>10</v>
      </c>
      <c r="P4" s="8" t="s">
        <v>16</v>
      </c>
      <c r="Q4" s="8" t="s">
        <v>17</v>
      </c>
      <c r="R4" s="8" t="s">
        <v>18</v>
      </c>
      <c r="S4" s="10" t="s">
        <v>19</v>
      </c>
      <c r="T4" s="10" t="s">
        <v>20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3"/>
      <c r="AJ4" s="3"/>
    </row>
    <row r="5">
      <c r="A5" s="12">
        <v>1.0</v>
      </c>
      <c r="B5" s="233" t="s">
        <v>431</v>
      </c>
      <c r="C5" s="234" t="s">
        <v>432</v>
      </c>
      <c r="D5" s="86" t="s">
        <v>433</v>
      </c>
      <c r="E5" s="86" t="s">
        <v>434</v>
      </c>
      <c r="F5" s="86" t="s">
        <v>435</v>
      </c>
      <c r="G5" s="86">
        <v>109.0</v>
      </c>
      <c r="H5" s="86" t="s">
        <v>65</v>
      </c>
      <c r="I5" s="87">
        <v>46049.0</v>
      </c>
      <c r="J5" s="88"/>
      <c r="K5" s="89">
        <v>1730.88</v>
      </c>
      <c r="L5" s="86">
        <v>12.0</v>
      </c>
      <c r="M5" s="89">
        <f>K5*L5</f>
        <v>20770.56</v>
      </c>
      <c r="N5" s="86" t="s">
        <v>58</v>
      </c>
      <c r="O5" s="86" t="s">
        <v>29</v>
      </c>
      <c r="P5" s="90"/>
      <c r="Q5" s="91"/>
      <c r="R5" s="86" t="s">
        <v>73</v>
      </c>
      <c r="S5" s="86" t="s">
        <v>148</v>
      </c>
      <c r="T5" s="235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</row>
    <row r="6">
      <c r="A6" s="12">
        <v>2.0</v>
      </c>
      <c r="B6" s="233" t="s">
        <v>634</v>
      </c>
      <c r="C6" s="110" t="s">
        <v>635</v>
      </c>
      <c r="D6" s="86" t="s">
        <v>636</v>
      </c>
      <c r="E6" s="86" t="s">
        <v>637</v>
      </c>
      <c r="F6" s="86" t="s">
        <v>638</v>
      </c>
      <c r="G6" s="86">
        <v>1.0</v>
      </c>
      <c r="H6" s="86" t="s">
        <v>39</v>
      </c>
      <c r="I6" s="87">
        <v>46057.0</v>
      </c>
      <c r="J6" s="88"/>
      <c r="K6" s="89" t="s">
        <v>57</v>
      </c>
      <c r="L6" s="86">
        <v>1.0</v>
      </c>
      <c r="M6" s="89">
        <v>1269.36</v>
      </c>
      <c r="N6" s="86" t="s">
        <v>28</v>
      </c>
      <c r="O6" s="86" t="s">
        <v>29</v>
      </c>
      <c r="P6" s="86" t="s">
        <v>40</v>
      </c>
      <c r="Q6" s="91"/>
      <c r="R6" s="86" t="s">
        <v>41</v>
      </c>
      <c r="S6" s="86" t="s">
        <v>148</v>
      </c>
      <c r="T6" s="235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</row>
    <row r="7">
      <c r="A7" s="12">
        <v>3.0</v>
      </c>
      <c r="B7" s="233" t="s">
        <v>685</v>
      </c>
      <c r="C7" s="233" t="s">
        <v>686</v>
      </c>
      <c r="D7" s="86" t="s">
        <v>687</v>
      </c>
      <c r="E7" s="86" t="s">
        <v>688</v>
      </c>
      <c r="F7" s="86" t="s">
        <v>1077</v>
      </c>
      <c r="G7" s="86">
        <v>6.0</v>
      </c>
      <c r="H7" s="86" t="s">
        <v>65</v>
      </c>
      <c r="I7" s="87">
        <v>46058.0</v>
      </c>
      <c r="J7" s="88"/>
      <c r="K7" s="89">
        <v>154.53</v>
      </c>
      <c r="L7" s="86">
        <v>12.0</v>
      </c>
      <c r="M7" s="89">
        <f>K7*12</f>
        <v>1854.36</v>
      </c>
      <c r="N7" s="86" t="s">
        <v>28</v>
      </c>
      <c r="O7" s="86" t="s">
        <v>29</v>
      </c>
      <c r="P7" s="90"/>
      <c r="Q7" s="91"/>
      <c r="R7" s="86" t="s">
        <v>233</v>
      </c>
      <c r="S7" s="86" t="s">
        <v>148</v>
      </c>
      <c r="T7" s="235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</row>
    <row r="8">
      <c r="A8" s="12">
        <v>4.0</v>
      </c>
      <c r="B8" s="110" t="s">
        <v>690</v>
      </c>
      <c r="C8" s="110" t="s">
        <v>691</v>
      </c>
      <c r="D8" s="86" t="s">
        <v>692</v>
      </c>
      <c r="E8" s="86" t="s">
        <v>693</v>
      </c>
      <c r="F8" s="86" t="s">
        <v>694</v>
      </c>
      <c r="G8" s="86">
        <v>150.0</v>
      </c>
      <c r="H8" s="86" t="s">
        <v>695</v>
      </c>
      <c r="I8" s="87">
        <v>46058.0</v>
      </c>
      <c r="J8" s="88"/>
      <c r="K8" s="89" t="s">
        <v>57</v>
      </c>
      <c r="L8" s="86">
        <v>1.0</v>
      </c>
      <c r="M8" s="89">
        <v>2000.0</v>
      </c>
      <c r="N8" s="86" t="s">
        <v>28</v>
      </c>
      <c r="O8" s="86" t="s">
        <v>91</v>
      </c>
      <c r="P8" s="90"/>
      <c r="Q8" s="91"/>
      <c r="R8" s="86" t="s">
        <v>98</v>
      </c>
      <c r="S8" s="86" t="s">
        <v>148</v>
      </c>
      <c r="T8" s="235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</row>
    <row r="9">
      <c r="A9" s="12">
        <v>5.0</v>
      </c>
      <c r="B9" s="110" t="s">
        <v>696</v>
      </c>
      <c r="C9" s="110" t="s">
        <v>697</v>
      </c>
      <c r="D9" s="86" t="s">
        <v>257</v>
      </c>
      <c r="E9" s="110" t="s">
        <v>698</v>
      </c>
      <c r="F9" s="86" t="s">
        <v>699</v>
      </c>
      <c r="G9" s="86">
        <v>20.0</v>
      </c>
      <c r="H9" s="86" t="s">
        <v>65</v>
      </c>
      <c r="I9" s="87">
        <v>46059.0</v>
      </c>
      <c r="J9" s="88"/>
      <c r="K9" s="89">
        <v>298.34</v>
      </c>
      <c r="L9" s="86">
        <v>12.0</v>
      </c>
      <c r="M9" s="89">
        <f t="shared" ref="M9:M10" si="1">K9*12</f>
        <v>3580.08</v>
      </c>
      <c r="N9" s="86" t="s">
        <v>28</v>
      </c>
      <c r="O9" s="86" t="s">
        <v>29</v>
      </c>
      <c r="P9" s="90"/>
      <c r="Q9" s="91"/>
      <c r="R9" s="86" t="s">
        <v>73</v>
      </c>
      <c r="S9" s="86" t="s">
        <v>148</v>
      </c>
      <c r="T9" s="235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</row>
    <row r="10">
      <c r="A10" s="12">
        <v>6.0</v>
      </c>
      <c r="B10" s="110" t="s">
        <v>717</v>
      </c>
      <c r="C10" s="110" t="s">
        <v>718</v>
      </c>
      <c r="D10" s="86" t="s">
        <v>719</v>
      </c>
      <c r="E10" s="86" t="s">
        <v>720</v>
      </c>
      <c r="F10" s="86" t="s">
        <v>721</v>
      </c>
      <c r="G10" s="86">
        <v>7.0</v>
      </c>
      <c r="H10" s="86" t="s">
        <v>65</v>
      </c>
      <c r="I10" s="108">
        <v>46059.0</v>
      </c>
      <c r="J10" s="91"/>
      <c r="K10" s="89">
        <v>159.57</v>
      </c>
      <c r="L10" s="86">
        <v>12.0</v>
      </c>
      <c r="M10" s="89">
        <f t="shared" si="1"/>
        <v>1914.84</v>
      </c>
      <c r="N10" s="86" t="s">
        <v>28</v>
      </c>
      <c r="O10" s="106" t="s">
        <v>29</v>
      </c>
      <c r="P10" s="90"/>
      <c r="Q10" s="91"/>
      <c r="R10" s="86" t="s">
        <v>41</v>
      </c>
      <c r="S10" s="86" t="s">
        <v>148</v>
      </c>
      <c r="T10" s="236" t="s">
        <v>1078</v>
      </c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</row>
    <row r="11">
      <c r="A11" s="12">
        <v>7.0</v>
      </c>
      <c r="B11" s="86" t="s">
        <v>1079</v>
      </c>
      <c r="C11" s="86" t="s">
        <v>1080</v>
      </c>
      <c r="D11" s="86" t="s">
        <v>99</v>
      </c>
      <c r="E11" s="86" t="s">
        <v>1081</v>
      </c>
      <c r="F11" s="86" t="s">
        <v>1082</v>
      </c>
      <c r="G11" s="86">
        <v>1.0</v>
      </c>
      <c r="H11" s="86" t="s">
        <v>1083</v>
      </c>
      <c r="I11" s="237">
        <v>46108.0</v>
      </c>
      <c r="J11" s="91"/>
      <c r="K11" s="89" t="s">
        <v>57</v>
      </c>
      <c r="L11" s="86">
        <v>1.0</v>
      </c>
      <c r="M11" s="89">
        <v>919.0</v>
      </c>
      <c r="N11" s="86" t="s">
        <v>58</v>
      </c>
      <c r="O11" s="106" t="s">
        <v>29</v>
      </c>
      <c r="P11" s="90"/>
      <c r="Q11" s="91"/>
      <c r="R11" s="86" t="s">
        <v>41</v>
      </c>
      <c r="S11" s="86" t="s">
        <v>148</v>
      </c>
      <c r="T11" s="235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</row>
    <row r="12">
      <c r="A12" s="12">
        <v>8.0</v>
      </c>
      <c r="B12" s="86" t="s">
        <v>1084</v>
      </c>
      <c r="C12" s="86" t="s">
        <v>1085</v>
      </c>
      <c r="D12" s="86" t="s">
        <v>1086</v>
      </c>
      <c r="E12" s="86" t="s">
        <v>1087</v>
      </c>
      <c r="F12" s="86" t="s">
        <v>1088</v>
      </c>
      <c r="G12" s="86">
        <v>5.0</v>
      </c>
      <c r="H12" s="86" t="s">
        <v>65</v>
      </c>
      <c r="I12" s="108">
        <v>46065.0</v>
      </c>
      <c r="J12" s="108">
        <v>46091.0</v>
      </c>
      <c r="K12" s="89">
        <v>0.0</v>
      </c>
      <c r="L12" s="86" t="s">
        <v>57</v>
      </c>
      <c r="M12" s="238">
        <v>1511.04</v>
      </c>
      <c r="N12" s="86" t="s">
        <v>71</v>
      </c>
      <c r="O12" s="106" t="s">
        <v>29</v>
      </c>
      <c r="P12" s="86" t="s">
        <v>72</v>
      </c>
      <c r="Q12" s="86">
        <v>2535.0</v>
      </c>
      <c r="R12" s="86" t="s">
        <v>41</v>
      </c>
      <c r="S12" s="86" t="s">
        <v>148</v>
      </c>
      <c r="T12" s="235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</row>
    <row r="13">
      <c r="A13" s="12">
        <v>9.0</v>
      </c>
      <c r="B13" s="233" t="s">
        <v>1089</v>
      </c>
      <c r="C13" s="233" t="s">
        <v>1090</v>
      </c>
      <c r="D13" s="86" t="s">
        <v>107</v>
      </c>
      <c r="E13" s="239" t="s">
        <v>1091</v>
      </c>
      <c r="F13" s="86" t="s">
        <v>1092</v>
      </c>
      <c r="G13" s="86">
        <v>14.0</v>
      </c>
      <c r="H13" s="86" t="s">
        <v>65</v>
      </c>
      <c r="I13" s="108">
        <v>46083.0</v>
      </c>
      <c r="J13" s="91"/>
      <c r="K13" s="89">
        <v>217.0</v>
      </c>
      <c r="L13" s="86">
        <v>12.0</v>
      </c>
      <c r="M13" s="89">
        <f>K13*12</f>
        <v>2604</v>
      </c>
      <c r="N13" s="86" t="s">
        <v>58</v>
      </c>
      <c r="O13" s="106" t="s">
        <v>29</v>
      </c>
      <c r="P13" s="90"/>
      <c r="Q13" s="91"/>
      <c r="R13" s="86" t="s">
        <v>73</v>
      </c>
      <c r="S13" s="86" t="s">
        <v>148</v>
      </c>
      <c r="T13" s="235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</row>
    <row r="14">
      <c r="A14" s="12">
        <v>10.0</v>
      </c>
      <c r="B14" s="106" t="s">
        <v>965</v>
      </c>
      <c r="C14" s="106" t="s">
        <v>966</v>
      </c>
      <c r="D14" s="106" t="s">
        <v>967</v>
      </c>
      <c r="E14" s="86" t="s">
        <v>1093</v>
      </c>
      <c r="F14" s="106" t="s">
        <v>969</v>
      </c>
      <c r="G14" s="106">
        <v>7.0</v>
      </c>
      <c r="H14" s="106" t="s">
        <v>123</v>
      </c>
      <c r="I14" s="108">
        <v>46078.0</v>
      </c>
      <c r="J14" s="87">
        <v>46086.0</v>
      </c>
      <c r="K14" s="89" t="s">
        <v>57</v>
      </c>
      <c r="L14" s="86">
        <v>1.0</v>
      </c>
      <c r="M14" s="238">
        <v>1500.0</v>
      </c>
      <c r="N14" s="86" t="s">
        <v>71</v>
      </c>
      <c r="O14" s="106" t="s">
        <v>29</v>
      </c>
      <c r="P14" s="86" t="s">
        <v>72</v>
      </c>
      <c r="Q14" s="86">
        <v>2466.0</v>
      </c>
      <c r="R14" s="86" t="s">
        <v>233</v>
      </c>
      <c r="S14" s="106" t="s">
        <v>129</v>
      </c>
      <c r="T14" s="236" t="s">
        <v>1094</v>
      </c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</row>
    <row r="15">
      <c r="A15" s="12">
        <v>11.0</v>
      </c>
      <c r="B15" s="240" t="s">
        <v>970</v>
      </c>
      <c r="C15" s="106" t="s">
        <v>971</v>
      </c>
      <c r="D15" s="106" t="s">
        <v>972</v>
      </c>
      <c r="E15" s="86" t="s">
        <v>1095</v>
      </c>
      <c r="F15" s="241" t="s">
        <v>1096</v>
      </c>
      <c r="G15" s="106">
        <v>14.0</v>
      </c>
      <c r="H15" s="106" t="s">
        <v>123</v>
      </c>
      <c r="I15" s="108">
        <v>46078.0</v>
      </c>
      <c r="J15" s="88"/>
      <c r="K15" s="89">
        <v>235.17</v>
      </c>
      <c r="L15" s="86">
        <v>12.0</v>
      </c>
      <c r="M15" s="89">
        <f t="shared" ref="M15:M16" si="2">K15*12</f>
        <v>2822.04</v>
      </c>
      <c r="N15" s="86" t="s">
        <v>28</v>
      </c>
      <c r="O15" s="106" t="s">
        <v>29</v>
      </c>
      <c r="P15" s="106" t="s">
        <v>40</v>
      </c>
      <c r="Q15" s="91"/>
      <c r="R15" s="91"/>
      <c r="S15" s="106" t="s">
        <v>129</v>
      </c>
      <c r="T15" s="235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</row>
    <row r="16">
      <c r="A16" s="12">
        <v>12.0</v>
      </c>
      <c r="B16" s="240" t="s">
        <v>897</v>
      </c>
      <c r="C16" s="106" t="s">
        <v>898</v>
      </c>
      <c r="D16" s="242" t="s">
        <v>1097</v>
      </c>
      <c r="E16" s="86" t="s">
        <v>900</v>
      </c>
      <c r="F16" s="106" t="s">
        <v>901</v>
      </c>
      <c r="G16" s="106">
        <v>10.0</v>
      </c>
      <c r="H16" s="106" t="s">
        <v>39</v>
      </c>
      <c r="I16" s="108">
        <v>46066.0</v>
      </c>
      <c r="J16" s="88"/>
      <c r="K16" s="89">
        <v>175.5</v>
      </c>
      <c r="L16" s="86">
        <v>12.0</v>
      </c>
      <c r="M16" s="89">
        <f t="shared" si="2"/>
        <v>2106</v>
      </c>
      <c r="N16" s="86" t="s">
        <v>28</v>
      </c>
      <c r="O16" s="106" t="s">
        <v>29</v>
      </c>
      <c r="P16" s="106" t="s">
        <v>40</v>
      </c>
      <c r="Q16" s="91"/>
      <c r="R16" s="91"/>
      <c r="S16" s="106" t="s">
        <v>129</v>
      </c>
      <c r="T16" s="236" t="s">
        <v>1098</v>
      </c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</row>
    <row r="17">
      <c r="A17" s="12">
        <v>13.0</v>
      </c>
      <c r="B17" s="240" t="s">
        <v>1099</v>
      </c>
      <c r="C17" s="106" t="s">
        <v>1100</v>
      </c>
      <c r="D17" s="176" t="s">
        <v>1101</v>
      </c>
      <c r="E17" s="86" t="s">
        <v>1102</v>
      </c>
      <c r="F17" s="24" t="s">
        <v>1103</v>
      </c>
      <c r="G17" s="106">
        <v>2.0</v>
      </c>
      <c r="H17" s="86" t="s">
        <v>39</v>
      </c>
      <c r="I17" s="108">
        <v>46067.0</v>
      </c>
      <c r="J17" s="88"/>
      <c r="K17" s="89">
        <f>M17/L17</f>
        <v>110.5</v>
      </c>
      <c r="L17" s="86">
        <v>12.0</v>
      </c>
      <c r="M17" s="89">
        <v>1326.0</v>
      </c>
      <c r="N17" s="106" t="s">
        <v>58</v>
      </c>
      <c r="O17" s="106" t="s">
        <v>29</v>
      </c>
      <c r="P17" s="106" t="s">
        <v>40</v>
      </c>
      <c r="Q17" s="91"/>
      <c r="R17" s="91"/>
      <c r="S17" s="106" t="s">
        <v>129</v>
      </c>
      <c r="T17" s="236" t="s">
        <v>1104</v>
      </c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</row>
    <row r="18">
      <c r="A18" s="12">
        <v>14.0</v>
      </c>
      <c r="B18" s="86" t="s">
        <v>886</v>
      </c>
      <c r="C18" s="86" t="s">
        <v>887</v>
      </c>
      <c r="D18" s="86" t="s">
        <v>888</v>
      </c>
      <c r="E18" s="86" t="s">
        <v>889</v>
      </c>
      <c r="F18" s="86" t="s">
        <v>890</v>
      </c>
      <c r="G18" s="86">
        <v>8.0</v>
      </c>
      <c r="H18" s="86" t="s">
        <v>39</v>
      </c>
      <c r="I18" s="87">
        <v>46083.0</v>
      </c>
      <c r="J18" s="87">
        <v>46085.0</v>
      </c>
      <c r="K18" s="89" t="s">
        <v>1105</v>
      </c>
      <c r="L18" s="86">
        <v>12.0</v>
      </c>
      <c r="M18" s="238">
        <v>2280.0</v>
      </c>
      <c r="N18" s="86" t="s">
        <v>71</v>
      </c>
      <c r="O18" s="86" t="s">
        <v>29</v>
      </c>
      <c r="P18" s="86" t="s">
        <v>72</v>
      </c>
      <c r="Q18" s="106">
        <v>2454.0</v>
      </c>
      <c r="R18" s="86" t="s">
        <v>73</v>
      </c>
      <c r="S18" s="86" t="s">
        <v>31</v>
      </c>
      <c r="T18" s="243" t="s">
        <v>1106</v>
      </c>
      <c r="U18" s="92"/>
      <c r="V18" s="92"/>
      <c r="W18" s="92"/>
      <c r="X18" s="92"/>
      <c r="Y18" s="93"/>
      <c r="Z18" s="94"/>
      <c r="AA18" s="93"/>
      <c r="AB18" s="93"/>
      <c r="AC18" s="93"/>
      <c r="AD18" s="93"/>
      <c r="AE18" s="93"/>
      <c r="AF18" s="93"/>
      <c r="AG18" s="93"/>
      <c r="AH18" s="93"/>
      <c r="AI18" s="93"/>
      <c r="AJ18" s="93"/>
    </row>
    <row r="19">
      <c r="A19" s="12">
        <v>15.0</v>
      </c>
      <c r="B19" s="86" t="s">
        <v>1107</v>
      </c>
      <c r="C19" s="86" t="s">
        <v>1108</v>
      </c>
      <c r="D19" s="86" t="s">
        <v>1109</v>
      </c>
      <c r="E19" s="86" t="s">
        <v>1110</v>
      </c>
      <c r="F19" s="86" t="s">
        <v>1111</v>
      </c>
      <c r="G19" s="86">
        <v>3.0</v>
      </c>
      <c r="H19" s="86" t="s">
        <v>39</v>
      </c>
      <c r="I19" s="108">
        <v>46083.0</v>
      </c>
      <c r="J19" s="87">
        <v>46085.0</v>
      </c>
      <c r="K19" s="89">
        <v>151.0</v>
      </c>
      <c r="L19" s="86">
        <v>12.0</v>
      </c>
      <c r="M19" s="238">
        <v>1540.2</v>
      </c>
      <c r="N19" s="86" t="s">
        <v>71</v>
      </c>
      <c r="O19" s="86" t="s">
        <v>29</v>
      </c>
      <c r="P19" s="86" t="s">
        <v>72</v>
      </c>
      <c r="Q19" s="106">
        <v>2455.0</v>
      </c>
      <c r="R19" s="86" t="s">
        <v>73</v>
      </c>
      <c r="S19" s="86" t="s">
        <v>31</v>
      </c>
      <c r="T19" s="244" t="s">
        <v>1112</v>
      </c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</row>
    <row r="20">
      <c r="A20" s="12">
        <v>16.0</v>
      </c>
      <c r="B20" s="106" t="s">
        <v>997</v>
      </c>
      <c r="C20" s="106" t="s">
        <v>998</v>
      </c>
      <c r="D20" s="106" t="s">
        <v>999</v>
      </c>
      <c r="E20" s="106" t="s">
        <v>1000</v>
      </c>
      <c r="F20" s="106" t="s">
        <v>1001</v>
      </c>
      <c r="G20" s="106" t="s">
        <v>399</v>
      </c>
      <c r="H20" s="106" t="s">
        <v>254</v>
      </c>
      <c r="I20" s="87">
        <v>46077.0</v>
      </c>
      <c r="J20" s="87">
        <v>46085.0</v>
      </c>
      <c r="K20" s="238">
        <v>600.0</v>
      </c>
      <c r="L20" s="86">
        <v>1.0</v>
      </c>
      <c r="M20" s="238">
        <f t="shared" ref="M20:M21" si="3">K20*1</f>
        <v>600</v>
      </c>
      <c r="N20" s="106" t="s">
        <v>71</v>
      </c>
      <c r="O20" s="106" t="s">
        <v>29</v>
      </c>
      <c r="P20" s="106" t="s">
        <v>72</v>
      </c>
      <c r="Q20" s="86">
        <v>2463.0</v>
      </c>
      <c r="R20" s="106" t="s">
        <v>41</v>
      </c>
      <c r="S20" s="106" t="s">
        <v>31</v>
      </c>
      <c r="T20" s="245" t="s">
        <v>1002</v>
      </c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</row>
    <row r="21">
      <c r="A21" s="12">
        <v>17.0</v>
      </c>
      <c r="B21" s="106" t="s">
        <v>1113</v>
      </c>
      <c r="C21" s="106" t="s">
        <v>1004</v>
      </c>
      <c r="D21" s="106" t="s">
        <v>1005</v>
      </c>
      <c r="E21" s="106" t="s">
        <v>1006</v>
      </c>
      <c r="F21" s="106" t="s">
        <v>1007</v>
      </c>
      <c r="G21" s="106" t="s">
        <v>399</v>
      </c>
      <c r="H21" s="106" t="s">
        <v>254</v>
      </c>
      <c r="I21" s="87">
        <v>46076.0</v>
      </c>
      <c r="J21" s="87">
        <v>46092.0</v>
      </c>
      <c r="K21" s="238">
        <v>800.0</v>
      </c>
      <c r="L21" s="86">
        <v>1.0</v>
      </c>
      <c r="M21" s="238">
        <f t="shared" si="3"/>
        <v>800</v>
      </c>
      <c r="N21" s="106" t="s">
        <v>71</v>
      </c>
      <c r="O21" s="106" t="s">
        <v>29</v>
      </c>
      <c r="P21" s="86" t="s">
        <v>72</v>
      </c>
      <c r="Q21" s="86">
        <v>2542.0</v>
      </c>
      <c r="R21" s="106" t="s">
        <v>73</v>
      </c>
      <c r="S21" s="106" t="s">
        <v>31</v>
      </c>
      <c r="T21" s="245" t="s">
        <v>1008</v>
      </c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</row>
    <row r="22">
      <c r="A22" s="12">
        <v>18.0</v>
      </c>
      <c r="B22" s="86" t="s">
        <v>1114</v>
      </c>
      <c r="C22" s="106" t="s">
        <v>1115</v>
      </c>
      <c r="D22" s="86" t="s">
        <v>1116</v>
      </c>
      <c r="E22" s="86" t="s">
        <v>1117</v>
      </c>
      <c r="F22" s="106" t="s">
        <v>1118</v>
      </c>
      <c r="G22" s="86">
        <v>8.0</v>
      </c>
      <c r="H22" s="86" t="s">
        <v>39</v>
      </c>
      <c r="I22" s="108">
        <v>46080.0</v>
      </c>
      <c r="J22" s="108">
        <v>46085.0</v>
      </c>
      <c r="K22" s="89">
        <v>146.96</v>
      </c>
      <c r="L22" s="86">
        <v>12.0</v>
      </c>
      <c r="M22" s="238">
        <f t="shared" ref="M22:M23" si="4">K22*12</f>
        <v>1763.52</v>
      </c>
      <c r="N22" s="86" t="s">
        <v>71</v>
      </c>
      <c r="O22" s="106" t="s">
        <v>29</v>
      </c>
      <c r="P22" s="86" t="s">
        <v>72</v>
      </c>
      <c r="Q22" s="86">
        <v>2445.0</v>
      </c>
      <c r="R22" s="106" t="s">
        <v>73</v>
      </c>
      <c r="S22" s="86" t="s">
        <v>129</v>
      </c>
      <c r="T22" s="236" t="s">
        <v>1094</v>
      </c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</row>
    <row r="23">
      <c r="A23" s="12">
        <v>19.0</v>
      </c>
      <c r="B23" s="107" t="s">
        <v>1119</v>
      </c>
      <c r="C23" s="246" t="s">
        <v>1120</v>
      </c>
      <c r="D23" s="107" t="s">
        <v>1121</v>
      </c>
      <c r="E23" s="107" t="s">
        <v>1122</v>
      </c>
      <c r="F23" s="107" t="s">
        <v>1123</v>
      </c>
      <c r="G23" s="107">
        <v>20.0</v>
      </c>
      <c r="H23" s="107" t="s">
        <v>65</v>
      </c>
      <c r="I23" s="247">
        <v>46051.0</v>
      </c>
      <c r="J23" s="248"/>
      <c r="K23" s="238">
        <v>269.62</v>
      </c>
      <c r="L23" s="249"/>
      <c r="M23" s="238">
        <f t="shared" si="4"/>
        <v>3235.44</v>
      </c>
      <c r="N23" s="106" t="s">
        <v>28</v>
      </c>
      <c r="O23" s="106" t="s">
        <v>29</v>
      </c>
      <c r="P23" s="106" t="s">
        <v>40</v>
      </c>
      <c r="Q23" s="246"/>
      <c r="R23" s="106" t="s">
        <v>30</v>
      </c>
      <c r="S23" s="106" t="s">
        <v>110</v>
      </c>
      <c r="T23" s="250" t="s">
        <v>1124</v>
      </c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</row>
    <row r="24">
      <c r="A24" s="12">
        <v>20.0</v>
      </c>
      <c r="B24" s="86" t="s">
        <v>1125</v>
      </c>
      <c r="C24" s="86" t="s">
        <v>1126</v>
      </c>
      <c r="D24" s="86" t="s">
        <v>1127</v>
      </c>
      <c r="E24" s="189" t="s">
        <v>1128</v>
      </c>
      <c r="F24" s="86" t="s">
        <v>1129</v>
      </c>
      <c r="G24" s="86" t="s">
        <v>26</v>
      </c>
      <c r="H24" s="86" t="s">
        <v>711</v>
      </c>
      <c r="I24" s="108">
        <v>46085.0</v>
      </c>
      <c r="J24" s="108">
        <v>46086.0</v>
      </c>
      <c r="K24" s="89">
        <v>75.0</v>
      </c>
      <c r="L24" s="86">
        <v>8.0</v>
      </c>
      <c r="M24" s="238">
        <f>K24*8</f>
        <v>600</v>
      </c>
      <c r="N24" s="86" t="s">
        <v>71</v>
      </c>
      <c r="O24" s="86" t="s">
        <v>91</v>
      </c>
      <c r="P24" s="86" t="s">
        <v>72</v>
      </c>
      <c r="Q24" s="86">
        <v>2458.0</v>
      </c>
      <c r="R24" s="86" t="s">
        <v>73</v>
      </c>
      <c r="S24" s="86" t="s">
        <v>148</v>
      </c>
      <c r="T24" s="235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</row>
    <row r="25">
      <c r="A25" s="12">
        <v>21.0</v>
      </c>
      <c r="B25" s="86" t="s">
        <v>1130</v>
      </c>
      <c r="C25" s="86" t="s">
        <v>1131</v>
      </c>
      <c r="D25" s="86" t="s">
        <v>1132</v>
      </c>
      <c r="E25" s="189" t="s">
        <v>1128</v>
      </c>
      <c r="F25" s="86" t="s">
        <v>1129</v>
      </c>
      <c r="G25" s="86" t="s">
        <v>26</v>
      </c>
      <c r="H25" s="86" t="s">
        <v>711</v>
      </c>
      <c r="I25" s="108">
        <v>46085.0</v>
      </c>
      <c r="J25" s="108">
        <v>46086.0</v>
      </c>
      <c r="K25" s="89">
        <v>60.0</v>
      </c>
      <c r="L25" s="86">
        <v>10.0</v>
      </c>
      <c r="M25" s="238">
        <f t="shared" ref="M25:M27" si="5">K25*10</f>
        <v>600</v>
      </c>
      <c r="N25" s="86" t="s">
        <v>71</v>
      </c>
      <c r="O25" s="86" t="s">
        <v>91</v>
      </c>
      <c r="P25" s="86" t="s">
        <v>72</v>
      </c>
      <c r="Q25" s="86">
        <v>2459.0</v>
      </c>
      <c r="R25" s="86" t="s">
        <v>73</v>
      </c>
      <c r="S25" s="86" t="s">
        <v>148</v>
      </c>
      <c r="T25" s="235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</row>
    <row r="26">
      <c r="A26" s="12">
        <v>22.0</v>
      </c>
      <c r="B26" s="86" t="s">
        <v>1133</v>
      </c>
      <c r="C26" s="86" t="s">
        <v>1134</v>
      </c>
      <c r="D26" s="86" t="s">
        <v>1132</v>
      </c>
      <c r="E26" s="189" t="s">
        <v>1128</v>
      </c>
      <c r="F26" s="86" t="s">
        <v>1129</v>
      </c>
      <c r="G26" s="86" t="s">
        <v>26</v>
      </c>
      <c r="H26" s="86" t="s">
        <v>711</v>
      </c>
      <c r="I26" s="108">
        <v>46085.0</v>
      </c>
      <c r="J26" s="108">
        <v>46086.0</v>
      </c>
      <c r="K26" s="89">
        <v>60.0</v>
      </c>
      <c r="L26" s="86">
        <v>10.0</v>
      </c>
      <c r="M26" s="238">
        <f t="shared" si="5"/>
        <v>600</v>
      </c>
      <c r="N26" s="86" t="s">
        <v>71</v>
      </c>
      <c r="O26" s="86" t="s">
        <v>91</v>
      </c>
      <c r="P26" s="86" t="s">
        <v>72</v>
      </c>
      <c r="Q26" s="86">
        <v>2460.0</v>
      </c>
      <c r="R26" s="86" t="s">
        <v>73</v>
      </c>
      <c r="S26" s="86" t="s">
        <v>148</v>
      </c>
      <c r="T26" s="235"/>
      <c r="U26" s="92"/>
      <c r="V26" s="92"/>
      <c r="W26" s="251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</row>
    <row r="27">
      <c r="A27" s="12">
        <v>23.0</v>
      </c>
      <c r="B27" s="86" t="s">
        <v>1135</v>
      </c>
      <c r="C27" s="86" t="s">
        <v>1136</v>
      </c>
      <c r="D27" s="86" t="s">
        <v>1132</v>
      </c>
      <c r="E27" s="189" t="s">
        <v>1128</v>
      </c>
      <c r="F27" s="86" t="s">
        <v>1129</v>
      </c>
      <c r="G27" s="86" t="s">
        <v>26</v>
      </c>
      <c r="H27" s="86" t="s">
        <v>711</v>
      </c>
      <c r="I27" s="108">
        <v>46085.0</v>
      </c>
      <c r="J27" s="108">
        <v>46086.0</v>
      </c>
      <c r="K27" s="89">
        <v>60.0</v>
      </c>
      <c r="L27" s="86">
        <v>10.0</v>
      </c>
      <c r="M27" s="238">
        <f t="shared" si="5"/>
        <v>600</v>
      </c>
      <c r="N27" s="86" t="s">
        <v>71</v>
      </c>
      <c r="O27" s="86" t="s">
        <v>91</v>
      </c>
      <c r="P27" s="86" t="s">
        <v>72</v>
      </c>
      <c r="Q27" s="86">
        <v>2461.0</v>
      </c>
      <c r="R27" s="86" t="s">
        <v>73</v>
      </c>
      <c r="S27" s="86" t="s">
        <v>148</v>
      </c>
      <c r="T27" s="235"/>
      <c r="U27" s="92"/>
      <c r="V27" s="92"/>
      <c r="W27" s="251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</row>
    <row r="28">
      <c r="A28" s="12">
        <v>24.0</v>
      </c>
      <c r="B28" s="86" t="s">
        <v>1137</v>
      </c>
      <c r="C28" s="106" t="s">
        <v>1138</v>
      </c>
      <c r="D28" s="86" t="s">
        <v>1139</v>
      </c>
      <c r="E28" s="86" t="s">
        <v>1140</v>
      </c>
      <c r="F28" s="252" t="s">
        <v>1141</v>
      </c>
      <c r="G28" s="86" t="s">
        <v>399</v>
      </c>
      <c r="H28" s="86" t="s">
        <v>711</v>
      </c>
      <c r="I28" s="108">
        <v>46084.0</v>
      </c>
      <c r="J28" s="108">
        <v>46085.0</v>
      </c>
      <c r="K28" s="89">
        <v>54.16</v>
      </c>
      <c r="L28" s="86">
        <v>12.0</v>
      </c>
      <c r="M28" s="238">
        <v>650.0</v>
      </c>
      <c r="N28" s="86" t="s">
        <v>71</v>
      </c>
      <c r="O28" s="86" t="s">
        <v>91</v>
      </c>
      <c r="P28" s="106" t="s">
        <v>72</v>
      </c>
      <c r="Q28" s="86">
        <v>2449.0</v>
      </c>
      <c r="R28" s="86" t="s">
        <v>233</v>
      </c>
      <c r="S28" s="86" t="s">
        <v>129</v>
      </c>
      <c r="T28" s="236" t="s">
        <v>1142</v>
      </c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</row>
    <row r="29">
      <c r="A29" s="12">
        <v>25.0</v>
      </c>
      <c r="B29" s="86" t="s">
        <v>1137</v>
      </c>
      <c r="C29" s="106" t="s">
        <v>1143</v>
      </c>
      <c r="D29" s="86" t="s">
        <v>1144</v>
      </c>
      <c r="E29" s="86" t="s">
        <v>1140</v>
      </c>
      <c r="F29" s="252" t="s">
        <v>1145</v>
      </c>
      <c r="G29" s="86" t="s">
        <v>399</v>
      </c>
      <c r="H29" s="86" t="s">
        <v>711</v>
      </c>
      <c r="I29" s="108">
        <v>46084.0</v>
      </c>
      <c r="J29" s="108">
        <v>46085.0</v>
      </c>
      <c r="K29" s="89">
        <v>50.0</v>
      </c>
      <c r="L29" s="86">
        <v>12.0</v>
      </c>
      <c r="M29" s="238">
        <f>K29*12</f>
        <v>600</v>
      </c>
      <c r="N29" s="86" t="s">
        <v>71</v>
      </c>
      <c r="O29" s="86" t="s">
        <v>91</v>
      </c>
      <c r="P29" s="106" t="s">
        <v>72</v>
      </c>
      <c r="Q29" s="86">
        <v>2450.0</v>
      </c>
      <c r="R29" s="86" t="s">
        <v>233</v>
      </c>
      <c r="S29" s="86" t="s">
        <v>129</v>
      </c>
      <c r="T29" s="235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</row>
    <row r="30">
      <c r="A30" s="12">
        <v>26.0</v>
      </c>
      <c r="B30" s="86" t="s">
        <v>1146</v>
      </c>
      <c r="C30" s="106" t="s">
        <v>1147</v>
      </c>
      <c r="D30" s="86" t="s">
        <v>1148</v>
      </c>
      <c r="E30" s="86" t="s">
        <v>1149</v>
      </c>
      <c r="F30" s="106" t="s">
        <v>726</v>
      </c>
      <c r="G30" s="86">
        <v>19.0</v>
      </c>
      <c r="H30" s="86" t="s">
        <v>711</v>
      </c>
      <c r="I30" s="108">
        <v>46085.0</v>
      </c>
      <c r="J30" s="108">
        <v>46086.0</v>
      </c>
      <c r="K30" s="89">
        <v>200.0</v>
      </c>
      <c r="L30" s="86">
        <v>4.0</v>
      </c>
      <c r="M30" s="238">
        <f t="shared" ref="M30:M33" si="6">K30*4</f>
        <v>800</v>
      </c>
      <c r="N30" s="86" t="s">
        <v>71</v>
      </c>
      <c r="O30" s="86" t="s">
        <v>91</v>
      </c>
      <c r="P30" s="86" t="s">
        <v>72</v>
      </c>
      <c r="Q30" s="86">
        <v>2462.0</v>
      </c>
      <c r="R30" s="86" t="s">
        <v>73</v>
      </c>
      <c r="S30" s="86" t="s">
        <v>129</v>
      </c>
      <c r="T30" s="235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</row>
    <row r="31">
      <c r="A31" s="12">
        <v>27.0</v>
      </c>
      <c r="B31" s="86" t="s">
        <v>1146</v>
      </c>
      <c r="C31" s="106" t="s">
        <v>1150</v>
      </c>
      <c r="D31" s="86" t="s">
        <v>1148</v>
      </c>
      <c r="E31" s="86" t="s">
        <v>1149</v>
      </c>
      <c r="F31" s="106" t="s">
        <v>726</v>
      </c>
      <c r="G31" s="86">
        <v>1.0</v>
      </c>
      <c r="H31" s="86" t="s">
        <v>711</v>
      </c>
      <c r="I31" s="108">
        <v>46085.0</v>
      </c>
      <c r="J31" s="108">
        <v>46086.0</v>
      </c>
      <c r="K31" s="89">
        <v>150.0</v>
      </c>
      <c r="L31" s="86">
        <v>4.0</v>
      </c>
      <c r="M31" s="238">
        <f t="shared" si="6"/>
        <v>600</v>
      </c>
      <c r="N31" s="86" t="s">
        <v>71</v>
      </c>
      <c r="O31" s="86" t="s">
        <v>91</v>
      </c>
      <c r="P31" s="86" t="s">
        <v>72</v>
      </c>
      <c r="Q31" s="86">
        <v>2464.0</v>
      </c>
      <c r="R31" s="86" t="s">
        <v>73</v>
      </c>
      <c r="S31" s="86" t="s">
        <v>129</v>
      </c>
      <c r="T31" s="235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</row>
    <row r="32">
      <c r="A32" s="12">
        <v>28.0</v>
      </c>
      <c r="B32" s="86" t="s">
        <v>1146</v>
      </c>
      <c r="C32" s="106" t="s">
        <v>723</v>
      </c>
      <c r="D32" s="86" t="s">
        <v>1148</v>
      </c>
      <c r="E32" s="86" t="s">
        <v>1149</v>
      </c>
      <c r="F32" s="106" t="s">
        <v>726</v>
      </c>
      <c r="G32" s="86">
        <v>4.0</v>
      </c>
      <c r="H32" s="86" t="s">
        <v>711</v>
      </c>
      <c r="I32" s="108">
        <v>46085.0</v>
      </c>
      <c r="J32" s="108">
        <v>46086.0</v>
      </c>
      <c r="K32" s="89">
        <v>150.0</v>
      </c>
      <c r="L32" s="86">
        <v>4.0</v>
      </c>
      <c r="M32" s="238">
        <f t="shared" si="6"/>
        <v>600</v>
      </c>
      <c r="N32" s="86" t="s">
        <v>71</v>
      </c>
      <c r="O32" s="86" t="s">
        <v>91</v>
      </c>
      <c r="P32" s="86" t="s">
        <v>72</v>
      </c>
      <c r="Q32" s="86">
        <v>2465.0</v>
      </c>
      <c r="R32" s="86" t="s">
        <v>73</v>
      </c>
      <c r="S32" s="86" t="s">
        <v>129</v>
      </c>
      <c r="T32" s="235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</row>
    <row r="33">
      <c r="A33" s="12">
        <v>29.0</v>
      </c>
      <c r="B33" s="86" t="s">
        <v>1146</v>
      </c>
      <c r="C33" s="106" t="s">
        <v>1147</v>
      </c>
      <c r="D33" s="86" t="s">
        <v>1148</v>
      </c>
      <c r="E33" s="86" t="s">
        <v>1149</v>
      </c>
      <c r="F33" s="106" t="s">
        <v>726</v>
      </c>
      <c r="G33" s="86">
        <v>5.0</v>
      </c>
      <c r="H33" s="86" t="s">
        <v>1151</v>
      </c>
      <c r="I33" s="108">
        <v>46085.0</v>
      </c>
      <c r="J33" s="108">
        <v>46086.0</v>
      </c>
      <c r="K33" s="89">
        <v>362.5</v>
      </c>
      <c r="L33" s="86">
        <v>4.0</v>
      </c>
      <c r="M33" s="238">
        <f t="shared" si="6"/>
        <v>1450</v>
      </c>
      <c r="N33" s="86" t="s">
        <v>71</v>
      </c>
      <c r="O33" s="86" t="s">
        <v>91</v>
      </c>
      <c r="P33" s="86" t="s">
        <v>72</v>
      </c>
      <c r="Q33" s="86">
        <v>2457.0</v>
      </c>
      <c r="R33" s="86" t="s">
        <v>73</v>
      </c>
      <c r="S33" s="86" t="s">
        <v>129</v>
      </c>
      <c r="T33" s="235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</row>
    <row r="34">
      <c r="A34" s="12">
        <v>30.0</v>
      </c>
      <c r="B34" s="86" t="s">
        <v>1152</v>
      </c>
      <c r="C34" s="106" t="s">
        <v>1153</v>
      </c>
      <c r="D34" s="86" t="s">
        <v>1154</v>
      </c>
      <c r="E34" s="86" t="s">
        <v>1155</v>
      </c>
      <c r="F34" s="253" t="s">
        <v>1156</v>
      </c>
      <c r="G34" s="86">
        <v>22.0</v>
      </c>
      <c r="H34" s="86" t="s">
        <v>1157</v>
      </c>
      <c r="I34" s="108">
        <v>46086.0</v>
      </c>
      <c r="J34" s="108">
        <v>46106.0</v>
      </c>
      <c r="K34" s="89">
        <v>1975.0</v>
      </c>
      <c r="L34" s="86">
        <v>4.0</v>
      </c>
      <c r="M34" s="89">
        <v>7900.0</v>
      </c>
      <c r="N34" s="86" t="s">
        <v>71</v>
      </c>
      <c r="O34" s="86" t="s">
        <v>91</v>
      </c>
      <c r="P34" s="86" t="s">
        <v>72</v>
      </c>
      <c r="Q34" s="86">
        <v>2640.0</v>
      </c>
      <c r="R34" s="86" t="s">
        <v>73</v>
      </c>
      <c r="S34" s="86" t="s">
        <v>129</v>
      </c>
      <c r="T34" s="235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</row>
    <row r="35">
      <c r="A35" s="12">
        <v>31.0</v>
      </c>
      <c r="B35" s="106" t="s">
        <v>1158</v>
      </c>
      <c r="C35" s="106" t="s">
        <v>1159</v>
      </c>
      <c r="D35" s="106" t="s">
        <v>1160</v>
      </c>
      <c r="E35" s="106" t="s">
        <v>1161</v>
      </c>
      <c r="F35" s="106" t="s">
        <v>1162</v>
      </c>
      <c r="G35" s="106">
        <v>10.0</v>
      </c>
      <c r="H35" s="106" t="s">
        <v>1163</v>
      </c>
      <c r="I35" s="108">
        <v>46084.0</v>
      </c>
      <c r="J35" s="91"/>
      <c r="K35" s="89">
        <v>1600.0</v>
      </c>
      <c r="L35" s="86">
        <v>1.0</v>
      </c>
      <c r="M35" s="89">
        <v>1600.0</v>
      </c>
      <c r="N35" s="106" t="s">
        <v>28</v>
      </c>
      <c r="O35" s="106" t="s">
        <v>29</v>
      </c>
      <c r="P35" s="106" t="s">
        <v>40</v>
      </c>
      <c r="Q35" s="91"/>
      <c r="R35" s="106" t="s">
        <v>73</v>
      </c>
      <c r="S35" s="106" t="s">
        <v>31</v>
      </c>
      <c r="T35" s="245" t="s">
        <v>1164</v>
      </c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</row>
    <row r="36">
      <c r="A36" s="12">
        <v>32.0</v>
      </c>
      <c r="B36" s="106" t="s">
        <v>862</v>
      </c>
      <c r="C36" s="106" t="s">
        <v>863</v>
      </c>
      <c r="D36" s="106" t="s">
        <v>864</v>
      </c>
      <c r="E36" s="106" t="s">
        <v>865</v>
      </c>
      <c r="F36" s="106" t="s">
        <v>1165</v>
      </c>
      <c r="G36" s="106">
        <v>96.0</v>
      </c>
      <c r="H36" s="106" t="s">
        <v>867</v>
      </c>
      <c r="I36" s="87">
        <v>46071.0</v>
      </c>
      <c r="J36" s="88"/>
      <c r="K36" s="89">
        <v>5996.0</v>
      </c>
      <c r="L36" s="86">
        <v>1.0</v>
      </c>
      <c r="M36" s="89">
        <f>K36*1</f>
        <v>5996</v>
      </c>
      <c r="N36" s="86" t="s">
        <v>28</v>
      </c>
      <c r="O36" s="106" t="s">
        <v>29</v>
      </c>
      <c r="P36" s="106" t="s">
        <v>40</v>
      </c>
      <c r="Q36" s="91"/>
      <c r="R36" s="106" t="s">
        <v>73</v>
      </c>
      <c r="S36" s="106" t="s">
        <v>31</v>
      </c>
      <c r="T36" s="244" t="s">
        <v>1166</v>
      </c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</row>
    <row r="37">
      <c r="A37" s="12">
        <v>33.0</v>
      </c>
      <c r="B37" s="86" t="s">
        <v>1167</v>
      </c>
      <c r="C37" s="106" t="s">
        <v>1168</v>
      </c>
      <c r="D37" s="86" t="s">
        <v>1169</v>
      </c>
      <c r="E37" s="110" t="s">
        <v>1170</v>
      </c>
      <c r="F37" s="86" t="s">
        <v>1171</v>
      </c>
      <c r="G37" s="86">
        <v>2.0</v>
      </c>
      <c r="H37" s="86" t="s">
        <v>1172</v>
      </c>
      <c r="I37" s="108">
        <v>46087.0</v>
      </c>
      <c r="J37" s="109"/>
      <c r="K37" s="89">
        <v>194.08</v>
      </c>
      <c r="L37" s="86">
        <v>12.0</v>
      </c>
      <c r="M37" s="89">
        <f t="shared" ref="M37:M45" si="7">K37*12</f>
        <v>2328.96</v>
      </c>
      <c r="N37" s="86" t="s">
        <v>28</v>
      </c>
      <c r="O37" s="86" t="s">
        <v>29</v>
      </c>
      <c r="P37" s="86" t="s">
        <v>40</v>
      </c>
      <c r="Q37" s="91"/>
      <c r="R37" s="86" t="s">
        <v>73</v>
      </c>
      <c r="S37" s="86" t="s">
        <v>129</v>
      </c>
      <c r="T37" s="235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</row>
    <row r="38">
      <c r="A38" s="12">
        <v>34.0</v>
      </c>
      <c r="B38" s="107" t="s">
        <v>1173</v>
      </c>
      <c r="C38" s="246" t="s">
        <v>1174</v>
      </c>
      <c r="D38" s="107" t="s">
        <v>1121</v>
      </c>
      <c r="E38" s="107" t="s">
        <v>1122</v>
      </c>
      <c r="F38" s="107" t="s">
        <v>1123</v>
      </c>
      <c r="G38" s="107">
        <v>35.0</v>
      </c>
      <c r="H38" s="107" t="s">
        <v>65</v>
      </c>
      <c r="I38" s="247">
        <v>46051.0</v>
      </c>
      <c r="J38" s="246"/>
      <c r="K38" s="238">
        <v>475.0</v>
      </c>
      <c r="L38" s="249"/>
      <c r="M38" s="238">
        <f t="shared" si="7"/>
        <v>5700</v>
      </c>
      <c r="N38" s="86" t="s">
        <v>28</v>
      </c>
      <c r="O38" s="106" t="s">
        <v>29</v>
      </c>
      <c r="P38" s="106" t="s">
        <v>40</v>
      </c>
      <c r="Q38" s="246"/>
      <c r="R38" s="106" t="s">
        <v>30</v>
      </c>
      <c r="S38" s="106" t="s">
        <v>110</v>
      </c>
      <c r="T38" s="250" t="s">
        <v>1124</v>
      </c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</row>
    <row r="39">
      <c r="A39" s="12">
        <v>35.0</v>
      </c>
      <c r="B39" s="107" t="s">
        <v>1175</v>
      </c>
      <c r="C39" s="246" t="s">
        <v>1176</v>
      </c>
      <c r="D39" s="107" t="s">
        <v>1121</v>
      </c>
      <c r="E39" s="107" t="s">
        <v>1122</v>
      </c>
      <c r="F39" s="107" t="s">
        <v>1123</v>
      </c>
      <c r="G39" s="107">
        <v>1.0</v>
      </c>
      <c r="H39" s="107" t="s">
        <v>65</v>
      </c>
      <c r="I39" s="247">
        <v>46051.0</v>
      </c>
      <c r="J39" s="246"/>
      <c r="K39" s="238">
        <v>100.63</v>
      </c>
      <c r="L39" s="249"/>
      <c r="M39" s="238">
        <f t="shared" si="7"/>
        <v>1207.56</v>
      </c>
      <c r="N39" s="86" t="s">
        <v>28</v>
      </c>
      <c r="O39" s="106" t="s">
        <v>29</v>
      </c>
      <c r="P39" s="106" t="s">
        <v>40</v>
      </c>
      <c r="Q39" s="246"/>
      <c r="R39" s="106" t="s">
        <v>30</v>
      </c>
      <c r="S39" s="106" t="s">
        <v>110</v>
      </c>
      <c r="T39" s="250" t="s">
        <v>1124</v>
      </c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</row>
    <row r="40">
      <c r="A40" s="12">
        <v>36.0</v>
      </c>
      <c r="B40" s="106" t="s">
        <v>367</v>
      </c>
      <c r="C40" s="106" t="s">
        <v>368</v>
      </c>
      <c r="D40" s="106" t="s">
        <v>369</v>
      </c>
      <c r="E40" s="106" t="s">
        <v>1177</v>
      </c>
      <c r="F40" s="106" t="s">
        <v>370</v>
      </c>
      <c r="G40" s="106">
        <v>354.0</v>
      </c>
      <c r="H40" s="106" t="s">
        <v>371</v>
      </c>
      <c r="I40" s="108">
        <v>46041.0</v>
      </c>
      <c r="J40" s="91"/>
      <c r="K40" s="89">
        <v>7556.0</v>
      </c>
      <c r="L40" s="254" t="s">
        <v>1178</v>
      </c>
      <c r="M40" s="89">
        <f t="shared" si="7"/>
        <v>90672</v>
      </c>
      <c r="N40" s="86" t="s">
        <v>58</v>
      </c>
      <c r="O40" s="106" t="s">
        <v>29</v>
      </c>
      <c r="P40" s="106" t="s">
        <v>40</v>
      </c>
      <c r="Q40" s="91"/>
      <c r="R40" s="106" t="s">
        <v>30</v>
      </c>
      <c r="S40" s="86" t="s">
        <v>110</v>
      </c>
      <c r="T40" s="245" t="s">
        <v>1179</v>
      </c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</row>
    <row r="41">
      <c r="A41" s="12">
        <v>37.0</v>
      </c>
      <c r="B41" s="107" t="s">
        <v>460</v>
      </c>
      <c r="C41" s="107" t="s">
        <v>461</v>
      </c>
      <c r="D41" s="107" t="s">
        <v>462</v>
      </c>
      <c r="E41" s="107" t="s">
        <v>463</v>
      </c>
      <c r="F41" s="107" t="s">
        <v>464</v>
      </c>
      <c r="G41" s="107">
        <v>4.0</v>
      </c>
      <c r="H41" s="107" t="s">
        <v>65</v>
      </c>
      <c r="I41" s="255">
        <v>46049.0</v>
      </c>
      <c r="J41" s="256"/>
      <c r="K41" s="238">
        <v>118.5</v>
      </c>
      <c r="L41" s="257" t="s">
        <v>1178</v>
      </c>
      <c r="M41" s="238">
        <f t="shared" si="7"/>
        <v>1422</v>
      </c>
      <c r="N41" s="106" t="s">
        <v>58</v>
      </c>
      <c r="O41" s="106" t="s">
        <v>29</v>
      </c>
      <c r="P41" s="106" t="s">
        <v>40</v>
      </c>
      <c r="Q41" s="246"/>
      <c r="R41" s="106" t="s">
        <v>30</v>
      </c>
      <c r="S41" s="106" t="s">
        <v>110</v>
      </c>
      <c r="T41" s="250" t="s">
        <v>1180</v>
      </c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</row>
    <row r="42">
      <c r="A42" s="12">
        <v>38.0</v>
      </c>
      <c r="B42" s="107" t="s">
        <v>535</v>
      </c>
      <c r="C42" s="107" t="s">
        <v>536</v>
      </c>
      <c r="D42" s="107" t="s">
        <v>537</v>
      </c>
      <c r="E42" s="107" t="s">
        <v>538</v>
      </c>
      <c r="F42" s="107" t="s">
        <v>539</v>
      </c>
      <c r="G42" s="107">
        <v>6.0</v>
      </c>
      <c r="H42" s="107" t="s">
        <v>39</v>
      </c>
      <c r="I42" s="247">
        <v>46043.0</v>
      </c>
      <c r="J42" s="246"/>
      <c r="K42" s="238">
        <v>149.3</v>
      </c>
      <c r="L42" s="257" t="s">
        <v>1178</v>
      </c>
      <c r="M42" s="238">
        <f t="shared" si="7"/>
        <v>1791.6</v>
      </c>
      <c r="N42" s="106" t="s">
        <v>28</v>
      </c>
      <c r="O42" s="106" t="s">
        <v>29</v>
      </c>
      <c r="P42" s="106" t="s">
        <v>40</v>
      </c>
      <c r="Q42" s="246"/>
      <c r="R42" s="106" t="s">
        <v>30</v>
      </c>
      <c r="S42" s="106" t="s">
        <v>110</v>
      </c>
      <c r="T42" s="250" t="s">
        <v>1181</v>
      </c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</row>
    <row r="43">
      <c r="A43" s="12">
        <v>39.0</v>
      </c>
      <c r="B43" s="107" t="s">
        <v>541</v>
      </c>
      <c r="C43" s="107" t="s">
        <v>542</v>
      </c>
      <c r="D43" s="107" t="s">
        <v>537</v>
      </c>
      <c r="E43" s="107" t="s">
        <v>538</v>
      </c>
      <c r="F43" s="107" t="s">
        <v>539</v>
      </c>
      <c r="G43" s="107">
        <v>9.0</v>
      </c>
      <c r="H43" s="107" t="s">
        <v>39</v>
      </c>
      <c r="I43" s="247">
        <v>46043.0</v>
      </c>
      <c r="J43" s="246"/>
      <c r="K43" s="238">
        <v>166.5</v>
      </c>
      <c r="L43" s="257" t="s">
        <v>1178</v>
      </c>
      <c r="M43" s="238">
        <f t="shared" si="7"/>
        <v>1998</v>
      </c>
      <c r="N43" s="106" t="s">
        <v>28</v>
      </c>
      <c r="O43" s="106" t="s">
        <v>29</v>
      </c>
      <c r="P43" s="106" t="s">
        <v>40</v>
      </c>
      <c r="Q43" s="246"/>
      <c r="R43" s="106" t="s">
        <v>30</v>
      </c>
      <c r="S43" s="106" t="s">
        <v>110</v>
      </c>
      <c r="T43" s="250" t="s">
        <v>1181</v>
      </c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</row>
    <row r="44">
      <c r="A44" s="12">
        <v>40.0</v>
      </c>
      <c r="B44" s="107" t="s">
        <v>545</v>
      </c>
      <c r="C44" s="107" t="s">
        <v>546</v>
      </c>
      <c r="D44" s="107" t="s">
        <v>537</v>
      </c>
      <c r="E44" s="107" t="s">
        <v>538</v>
      </c>
      <c r="F44" s="107" t="s">
        <v>539</v>
      </c>
      <c r="G44" s="107">
        <v>9.0</v>
      </c>
      <c r="H44" s="107" t="s">
        <v>39</v>
      </c>
      <c r="I44" s="247">
        <v>46043.0</v>
      </c>
      <c r="J44" s="246"/>
      <c r="K44" s="238">
        <v>166.5</v>
      </c>
      <c r="L44" s="257" t="s">
        <v>1178</v>
      </c>
      <c r="M44" s="238">
        <f t="shared" si="7"/>
        <v>1998</v>
      </c>
      <c r="N44" s="106" t="s">
        <v>28</v>
      </c>
      <c r="O44" s="106" t="s">
        <v>29</v>
      </c>
      <c r="P44" s="106" t="s">
        <v>40</v>
      </c>
      <c r="Q44" s="246"/>
      <c r="R44" s="106" t="s">
        <v>30</v>
      </c>
      <c r="S44" s="106" t="s">
        <v>110</v>
      </c>
      <c r="T44" s="250" t="s">
        <v>1181</v>
      </c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</row>
    <row r="45">
      <c r="A45" s="12">
        <v>41.0</v>
      </c>
      <c r="B45" s="107" t="s">
        <v>555</v>
      </c>
      <c r="C45" s="107" t="s">
        <v>556</v>
      </c>
      <c r="D45" s="107" t="s">
        <v>557</v>
      </c>
      <c r="E45" s="107" t="s">
        <v>558</v>
      </c>
      <c r="F45" s="107" t="s">
        <v>559</v>
      </c>
      <c r="G45" s="107">
        <v>123.0</v>
      </c>
      <c r="H45" s="107" t="s">
        <v>39</v>
      </c>
      <c r="I45" s="247">
        <v>46049.0</v>
      </c>
      <c r="J45" s="246"/>
      <c r="K45" s="238">
        <v>1115.9</v>
      </c>
      <c r="L45" s="249"/>
      <c r="M45" s="238">
        <f t="shared" si="7"/>
        <v>13390.8</v>
      </c>
      <c r="N45" s="86" t="s">
        <v>28</v>
      </c>
      <c r="O45" s="106" t="s">
        <v>29</v>
      </c>
      <c r="P45" s="106" t="s">
        <v>40</v>
      </c>
      <c r="Q45" s="246"/>
      <c r="R45" s="106" t="s">
        <v>30</v>
      </c>
      <c r="S45" s="106" t="s">
        <v>110</v>
      </c>
      <c r="T45" s="250" t="s">
        <v>560</v>
      </c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</row>
    <row r="46">
      <c r="A46" s="12">
        <v>42.0</v>
      </c>
      <c r="B46" s="107" t="s">
        <v>742</v>
      </c>
      <c r="C46" s="107" t="s">
        <v>743</v>
      </c>
      <c r="D46" s="107" t="s">
        <v>744</v>
      </c>
      <c r="E46" s="107" t="s">
        <v>745</v>
      </c>
      <c r="F46" s="93"/>
      <c r="G46" s="107">
        <v>50.0</v>
      </c>
      <c r="H46" s="107" t="s">
        <v>746</v>
      </c>
      <c r="I46" s="247">
        <v>46064.0</v>
      </c>
      <c r="J46" s="246"/>
      <c r="K46" s="238">
        <v>1000.0</v>
      </c>
      <c r="L46" s="257" t="s">
        <v>1182</v>
      </c>
      <c r="M46" s="238">
        <f>K46*7</f>
        <v>7000</v>
      </c>
      <c r="N46" s="106" t="s">
        <v>28</v>
      </c>
      <c r="O46" s="106" t="s">
        <v>29</v>
      </c>
      <c r="P46" s="106" t="s">
        <v>40</v>
      </c>
      <c r="Q46" s="246"/>
      <c r="R46" s="106" t="s">
        <v>30</v>
      </c>
      <c r="S46" s="106" t="s">
        <v>110</v>
      </c>
      <c r="T46" s="258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</row>
    <row r="47">
      <c r="A47" s="12">
        <v>43.0</v>
      </c>
      <c r="B47" s="107" t="s">
        <v>788</v>
      </c>
      <c r="C47" s="107" t="s">
        <v>789</v>
      </c>
      <c r="D47" s="107" t="s">
        <v>1183</v>
      </c>
      <c r="E47" s="107" t="s">
        <v>791</v>
      </c>
      <c r="F47" s="107" t="s">
        <v>792</v>
      </c>
      <c r="G47" s="107">
        <v>1.0</v>
      </c>
      <c r="H47" s="107" t="s">
        <v>39</v>
      </c>
      <c r="I47" s="247">
        <v>46064.0</v>
      </c>
      <c r="J47" s="246"/>
      <c r="K47" s="238">
        <v>115.5</v>
      </c>
      <c r="L47" s="257" t="s">
        <v>1178</v>
      </c>
      <c r="M47" s="238">
        <f t="shared" ref="M47:M52" si="8">K47*12</f>
        <v>1386</v>
      </c>
      <c r="N47" s="106" t="s">
        <v>58</v>
      </c>
      <c r="O47" s="106" t="s">
        <v>29</v>
      </c>
      <c r="P47" s="106" t="s">
        <v>40</v>
      </c>
      <c r="Q47" s="246"/>
      <c r="R47" s="106" t="s">
        <v>30</v>
      </c>
      <c r="S47" s="106" t="s">
        <v>110</v>
      </c>
      <c r="T47" s="250" t="s">
        <v>1184</v>
      </c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</row>
    <row r="48">
      <c r="A48" s="12">
        <v>44.0</v>
      </c>
      <c r="B48" s="107" t="s">
        <v>1030</v>
      </c>
      <c r="C48" s="107" t="s">
        <v>1031</v>
      </c>
      <c r="D48" s="107" t="s">
        <v>1032</v>
      </c>
      <c r="E48" s="107" t="s">
        <v>1185</v>
      </c>
      <c r="F48" s="107" t="s">
        <v>1033</v>
      </c>
      <c r="G48" s="107">
        <v>106.0</v>
      </c>
      <c r="H48" s="107" t="s">
        <v>1034</v>
      </c>
      <c r="I48" s="247">
        <v>46077.0</v>
      </c>
      <c r="J48" s="246"/>
      <c r="K48" s="238">
        <v>1151.16</v>
      </c>
      <c r="L48" s="257" t="s">
        <v>1178</v>
      </c>
      <c r="M48" s="238">
        <f t="shared" si="8"/>
        <v>13813.92</v>
      </c>
      <c r="N48" s="106" t="s">
        <v>58</v>
      </c>
      <c r="O48" s="106" t="s">
        <v>29</v>
      </c>
      <c r="P48" s="106" t="s">
        <v>40</v>
      </c>
      <c r="Q48" s="246"/>
      <c r="R48" s="106" t="s">
        <v>30</v>
      </c>
      <c r="S48" s="106" t="s">
        <v>110</v>
      </c>
      <c r="T48" s="250" t="s">
        <v>1184</v>
      </c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</row>
    <row r="49">
      <c r="A49" s="12">
        <v>45.0</v>
      </c>
      <c r="B49" s="106" t="s">
        <v>118</v>
      </c>
      <c r="C49" s="106" t="s">
        <v>119</v>
      </c>
      <c r="D49" s="106" t="s">
        <v>120</v>
      </c>
      <c r="E49" s="106" t="s">
        <v>1035</v>
      </c>
      <c r="F49" s="173" t="s">
        <v>122</v>
      </c>
      <c r="G49" s="106">
        <v>90.0</v>
      </c>
      <c r="H49" s="106" t="s">
        <v>123</v>
      </c>
      <c r="I49" s="108">
        <v>46000.0</v>
      </c>
      <c r="J49" s="91"/>
      <c r="K49" s="89">
        <v>1326.6</v>
      </c>
      <c r="L49" s="254" t="s">
        <v>1178</v>
      </c>
      <c r="M49" s="89">
        <f t="shared" si="8"/>
        <v>15919.2</v>
      </c>
      <c r="N49" s="106" t="s">
        <v>58</v>
      </c>
      <c r="O49" s="106" t="s">
        <v>29</v>
      </c>
      <c r="P49" s="106" t="s">
        <v>40</v>
      </c>
      <c r="Q49" s="91"/>
      <c r="R49" s="106" t="s">
        <v>30</v>
      </c>
      <c r="S49" s="86" t="s">
        <v>110</v>
      </c>
      <c r="T49" s="245" t="s">
        <v>1036</v>
      </c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</row>
    <row r="50">
      <c r="A50" s="12">
        <v>46.0</v>
      </c>
      <c r="B50" s="107" t="s">
        <v>1046</v>
      </c>
      <c r="C50" s="107" t="s">
        <v>1047</v>
      </c>
      <c r="D50" s="107" t="s">
        <v>1048</v>
      </c>
      <c r="E50" s="107" t="s">
        <v>1186</v>
      </c>
      <c r="F50" s="107" t="s">
        <v>1049</v>
      </c>
      <c r="G50" s="107">
        <v>3.0</v>
      </c>
      <c r="H50" s="107" t="s">
        <v>123</v>
      </c>
      <c r="I50" s="247">
        <v>46078.0</v>
      </c>
      <c r="J50" s="247">
        <v>46111.0</v>
      </c>
      <c r="K50" s="238">
        <v>112.5</v>
      </c>
      <c r="L50" s="257" t="s">
        <v>1178</v>
      </c>
      <c r="M50" s="238">
        <f t="shared" si="8"/>
        <v>1350</v>
      </c>
      <c r="N50" s="106" t="s">
        <v>71</v>
      </c>
      <c r="O50" s="106" t="s">
        <v>29</v>
      </c>
      <c r="P50" s="106" t="s">
        <v>72</v>
      </c>
      <c r="Q50" s="107">
        <v>2675.0</v>
      </c>
      <c r="R50" s="106" t="s">
        <v>30</v>
      </c>
      <c r="S50" s="106" t="s">
        <v>110</v>
      </c>
      <c r="T50" s="250" t="s">
        <v>193</v>
      </c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</row>
    <row r="51">
      <c r="A51" s="12">
        <v>47.0</v>
      </c>
      <c r="B51" s="107" t="s">
        <v>1050</v>
      </c>
      <c r="C51" s="107" t="s">
        <v>1051</v>
      </c>
      <c r="D51" s="107" t="s">
        <v>1052</v>
      </c>
      <c r="E51" s="107" t="s">
        <v>1187</v>
      </c>
      <c r="F51" s="107" t="s">
        <v>1053</v>
      </c>
      <c r="G51" s="107">
        <v>2.0</v>
      </c>
      <c r="H51" s="107" t="s">
        <v>123</v>
      </c>
      <c r="I51" s="247">
        <v>46078.0</v>
      </c>
      <c r="J51" s="247">
        <v>46085.0</v>
      </c>
      <c r="K51" s="238">
        <v>110.5</v>
      </c>
      <c r="L51" s="257" t="s">
        <v>1178</v>
      </c>
      <c r="M51" s="238">
        <f t="shared" si="8"/>
        <v>1326</v>
      </c>
      <c r="N51" s="106" t="s">
        <v>71</v>
      </c>
      <c r="O51" s="106" t="s">
        <v>29</v>
      </c>
      <c r="P51" s="106" t="s">
        <v>72</v>
      </c>
      <c r="Q51" s="107">
        <v>2478.0</v>
      </c>
      <c r="R51" s="106" t="s">
        <v>30</v>
      </c>
      <c r="S51" s="106" t="s">
        <v>110</v>
      </c>
      <c r="T51" s="250" t="s">
        <v>193</v>
      </c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</row>
    <row r="52">
      <c r="A52" s="12">
        <v>48.0</v>
      </c>
      <c r="B52" s="107" t="s">
        <v>1054</v>
      </c>
      <c r="C52" s="107" t="s">
        <v>1055</v>
      </c>
      <c r="D52" s="107" t="s">
        <v>1056</v>
      </c>
      <c r="E52" s="107" t="s">
        <v>1188</v>
      </c>
      <c r="F52" s="259" t="s">
        <v>1057</v>
      </c>
      <c r="G52" s="107">
        <v>15.0</v>
      </c>
      <c r="H52" s="107" t="s">
        <v>123</v>
      </c>
      <c r="I52" s="247">
        <v>46078.0</v>
      </c>
      <c r="J52" s="246"/>
      <c r="K52" s="238">
        <v>250.7</v>
      </c>
      <c r="L52" s="257" t="s">
        <v>1178</v>
      </c>
      <c r="M52" s="238">
        <f t="shared" si="8"/>
        <v>3008.4</v>
      </c>
      <c r="N52" s="106" t="s">
        <v>28</v>
      </c>
      <c r="O52" s="106" t="s">
        <v>29</v>
      </c>
      <c r="P52" s="106" t="s">
        <v>40</v>
      </c>
      <c r="Q52" s="246"/>
      <c r="R52" s="106" t="s">
        <v>30</v>
      </c>
      <c r="S52" s="106" t="s">
        <v>110</v>
      </c>
      <c r="T52" s="250" t="s">
        <v>1189</v>
      </c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</row>
    <row r="53">
      <c r="A53" s="12">
        <v>49.0</v>
      </c>
      <c r="B53" s="107" t="s">
        <v>1058</v>
      </c>
      <c r="C53" s="107" t="s">
        <v>1059</v>
      </c>
      <c r="D53" s="107" t="s">
        <v>1060</v>
      </c>
      <c r="E53" s="107" t="s">
        <v>1190</v>
      </c>
      <c r="F53" s="107" t="s">
        <v>1061</v>
      </c>
      <c r="G53" s="107">
        <v>20.0</v>
      </c>
      <c r="H53" s="107" t="s">
        <v>960</v>
      </c>
      <c r="I53" s="247">
        <v>46077.0</v>
      </c>
      <c r="J53" s="246"/>
      <c r="K53" s="238">
        <v>400.0</v>
      </c>
      <c r="L53" s="257" t="s">
        <v>1191</v>
      </c>
      <c r="M53" s="238">
        <f>K53*3</f>
        <v>1200</v>
      </c>
      <c r="N53" s="106" t="s">
        <v>58</v>
      </c>
      <c r="O53" s="106" t="s">
        <v>29</v>
      </c>
      <c r="P53" s="106" t="s">
        <v>40</v>
      </c>
      <c r="Q53" s="246"/>
      <c r="R53" s="106" t="s">
        <v>30</v>
      </c>
      <c r="S53" s="106" t="s">
        <v>110</v>
      </c>
      <c r="T53" s="258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</row>
    <row r="54">
      <c r="A54" s="12">
        <v>50.0</v>
      </c>
      <c r="B54" s="106" t="s">
        <v>1062</v>
      </c>
      <c r="C54" s="106" t="s">
        <v>1063</v>
      </c>
      <c r="D54" s="106" t="s">
        <v>1064</v>
      </c>
      <c r="E54" s="106" t="s">
        <v>1192</v>
      </c>
      <c r="F54" s="106" t="s">
        <v>1065</v>
      </c>
      <c r="G54" s="106">
        <v>7.0</v>
      </c>
      <c r="H54" s="106" t="s">
        <v>123</v>
      </c>
      <c r="I54" s="108">
        <v>46072.0</v>
      </c>
      <c r="J54" s="109"/>
      <c r="K54" s="89">
        <v>155.7</v>
      </c>
      <c r="L54" s="150"/>
      <c r="M54" s="89">
        <f t="shared" ref="M54:M57" si="9">K54*12</f>
        <v>1868.4</v>
      </c>
      <c r="N54" s="106" t="s">
        <v>28</v>
      </c>
      <c r="O54" s="106" t="s">
        <v>29</v>
      </c>
      <c r="P54" s="106" t="s">
        <v>40</v>
      </c>
      <c r="Q54" s="91"/>
      <c r="R54" s="106" t="s">
        <v>30</v>
      </c>
      <c r="S54" s="106" t="s">
        <v>110</v>
      </c>
      <c r="T54" s="245" t="s">
        <v>1193</v>
      </c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</row>
    <row r="55">
      <c r="A55" s="12">
        <v>51.0</v>
      </c>
      <c r="B55" s="107" t="s">
        <v>1066</v>
      </c>
      <c r="C55" s="107" t="s">
        <v>1067</v>
      </c>
      <c r="D55" s="107" t="s">
        <v>1194</v>
      </c>
      <c r="E55" s="107" t="s">
        <v>1195</v>
      </c>
      <c r="F55" s="259" t="s">
        <v>1069</v>
      </c>
      <c r="G55" s="107">
        <v>2.0</v>
      </c>
      <c r="H55" s="107" t="s">
        <v>123</v>
      </c>
      <c r="I55" s="247">
        <v>46079.0</v>
      </c>
      <c r="J55" s="248"/>
      <c r="K55" s="238">
        <v>110.5</v>
      </c>
      <c r="L55" s="257" t="s">
        <v>1178</v>
      </c>
      <c r="M55" s="238">
        <f t="shared" si="9"/>
        <v>1326</v>
      </c>
      <c r="N55" s="106" t="s">
        <v>28</v>
      </c>
      <c r="O55" s="106" t="s">
        <v>29</v>
      </c>
      <c r="P55" s="106" t="s">
        <v>40</v>
      </c>
      <c r="Q55" s="246"/>
      <c r="R55" s="106" t="s">
        <v>30</v>
      </c>
      <c r="S55" s="106" t="s">
        <v>110</v>
      </c>
      <c r="T55" s="250" t="s">
        <v>1196</v>
      </c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</row>
    <row r="56">
      <c r="A56" s="12">
        <v>52.0</v>
      </c>
      <c r="B56" s="107" t="s">
        <v>1197</v>
      </c>
      <c r="C56" s="107" t="s">
        <v>1198</v>
      </c>
      <c r="D56" s="107" t="s">
        <v>1199</v>
      </c>
      <c r="E56" s="107" t="s">
        <v>1200</v>
      </c>
      <c r="F56" s="107" t="s">
        <v>1201</v>
      </c>
      <c r="G56" s="107">
        <v>1.0</v>
      </c>
      <c r="H56" s="107" t="s">
        <v>123</v>
      </c>
      <c r="I56" s="247">
        <v>46083.0</v>
      </c>
      <c r="J56" s="247">
        <v>46088.0</v>
      </c>
      <c r="K56" s="238">
        <v>380.47</v>
      </c>
      <c r="L56" s="257" t="s">
        <v>1178</v>
      </c>
      <c r="M56" s="238">
        <f t="shared" si="9"/>
        <v>4565.64</v>
      </c>
      <c r="N56" s="106" t="s">
        <v>71</v>
      </c>
      <c r="O56" s="106" t="s">
        <v>29</v>
      </c>
      <c r="P56" s="106" t="s">
        <v>72</v>
      </c>
      <c r="Q56" s="107">
        <v>2534.0</v>
      </c>
      <c r="R56" s="106" t="s">
        <v>30</v>
      </c>
      <c r="S56" s="106" t="s">
        <v>110</v>
      </c>
      <c r="T56" s="250" t="s">
        <v>193</v>
      </c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</row>
    <row r="57">
      <c r="A57" s="12">
        <v>53.0</v>
      </c>
      <c r="B57" s="107" t="s">
        <v>1202</v>
      </c>
      <c r="C57" s="107" t="s">
        <v>1203</v>
      </c>
      <c r="D57" s="107" t="s">
        <v>1204</v>
      </c>
      <c r="E57" s="107" t="s">
        <v>1205</v>
      </c>
      <c r="F57" s="107" t="s">
        <v>1206</v>
      </c>
      <c r="G57" s="107">
        <v>10.0</v>
      </c>
      <c r="H57" s="107" t="s">
        <v>123</v>
      </c>
      <c r="I57" s="247">
        <v>46083.0</v>
      </c>
      <c r="J57" s="247">
        <v>46083.0</v>
      </c>
      <c r="K57" s="238">
        <v>180.5</v>
      </c>
      <c r="L57" s="257" t="s">
        <v>1178</v>
      </c>
      <c r="M57" s="238">
        <f t="shared" si="9"/>
        <v>2166</v>
      </c>
      <c r="N57" s="106" t="s">
        <v>71</v>
      </c>
      <c r="O57" s="106" t="s">
        <v>29</v>
      </c>
      <c r="P57" s="106" t="s">
        <v>72</v>
      </c>
      <c r="Q57" s="107">
        <v>2413.0</v>
      </c>
      <c r="R57" s="106" t="s">
        <v>30</v>
      </c>
      <c r="S57" s="106" t="s">
        <v>110</v>
      </c>
      <c r="T57" s="250" t="s">
        <v>193</v>
      </c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</row>
    <row r="58">
      <c r="A58" s="12">
        <v>54.0</v>
      </c>
      <c r="B58" s="107" t="s">
        <v>1207</v>
      </c>
      <c r="C58" s="110" t="s">
        <v>1208</v>
      </c>
      <c r="D58" s="107" t="s">
        <v>1209</v>
      </c>
      <c r="E58" s="107" t="s">
        <v>1210</v>
      </c>
      <c r="F58" s="107" t="s">
        <v>1211</v>
      </c>
      <c r="G58" s="107">
        <v>50.0</v>
      </c>
      <c r="H58" s="107" t="s">
        <v>254</v>
      </c>
      <c r="I58" s="247">
        <v>46085.0</v>
      </c>
      <c r="J58" s="247">
        <v>46086.0</v>
      </c>
      <c r="K58" s="238">
        <f>M58/12</f>
        <v>204.22</v>
      </c>
      <c r="L58" s="257" t="s">
        <v>1178</v>
      </c>
      <c r="M58" s="238">
        <v>2450.64</v>
      </c>
      <c r="N58" s="106" t="s">
        <v>71</v>
      </c>
      <c r="O58" s="106" t="s">
        <v>91</v>
      </c>
      <c r="P58" s="106" t="s">
        <v>72</v>
      </c>
      <c r="Q58" s="107">
        <v>2490.0</v>
      </c>
      <c r="R58" s="106" t="s">
        <v>30</v>
      </c>
      <c r="S58" s="106" t="s">
        <v>110</v>
      </c>
      <c r="T58" s="250" t="s">
        <v>193</v>
      </c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</row>
    <row r="59">
      <c r="A59" s="12">
        <v>55.0</v>
      </c>
      <c r="B59" s="107" t="s">
        <v>1212</v>
      </c>
      <c r="C59" s="107" t="s">
        <v>1213</v>
      </c>
      <c r="D59" s="107" t="s">
        <v>1214</v>
      </c>
      <c r="E59" s="107" t="s">
        <v>1215</v>
      </c>
      <c r="F59" s="107" t="s">
        <v>1216</v>
      </c>
      <c r="G59" s="107">
        <v>4.0</v>
      </c>
      <c r="H59" s="107" t="s">
        <v>1217</v>
      </c>
      <c r="I59" s="247">
        <v>46085.0</v>
      </c>
      <c r="J59" s="247">
        <v>46085.0</v>
      </c>
      <c r="K59" s="238" t="s">
        <v>399</v>
      </c>
      <c r="L59" s="257" t="s">
        <v>1218</v>
      </c>
      <c r="M59" s="238">
        <v>1500.0</v>
      </c>
      <c r="N59" s="106" t="s">
        <v>71</v>
      </c>
      <c r="O59" s="106" t="s">
        <v>91</v>
      </c>
      <c r="P59" s="106" t="s">
        <v>72</v>
      </c>
      <c r="Q59" s="107">
        <v>2448.0</v>
      </c>
      <c r="R59" s="106" t="s">
        <v>30</v>
      </c>
      <c r="S59" s="106" t="s">
        <v>110</v>
      </c>
      <c r="T59" s="250" t="s">
        <v>193</v>
      </c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</row>
    <row r="60">
      <c r="A60" s="12">
        <v>56.0</v>
      </c>
      <c r="B60" s="107" t="s">
        <v>1219</v>
      </c>
      <c r="C60" s="260" t="s">
        <v>1220</v>
      </c>
      <c r="D60" s="107" t="s">
        <v>1194</v>
      </c>
      <c r="E60" s="107" t="s">
        <v>1221</v>
      </c>
      <c r="F60" s="107" t="s">
        <v>1222</v>
      </c>
      <c r="G60" s="107">
        <v>2.0</v>
      </c>
      <c r="H60" s="107" t="s">
        <v>123</v>
      </c>
      <c r="I60" s="247">
        <v>46085.0</v>
      </c>
      <c r="J60" s="247">
        <v>46087.0</v>
      </c>
      <c r="K60" s="238">
        <v>110.5</v>
      </c>
      <c r="L60" s="257" t="s">
        <v>1178</v>
      </c>
      <c r="M60" s="238">
        <f>K60*12</f>
        <v>1326</v>
      </c>
      <c r="N60" s="106" t="s">
        <v>71</v>
      </c>
      <c r="O60" s="106" t="s">
        <v>29</v>
      </c>
      <c r="P60" s="106" t="s">
        <v>72</v>
      </c>
      <c r="Q60" s="107">
        <v>2492.0</v>
      </c>
      <c r="R60" s="106" t="s">
        <v>30</v>
      </c>
      <c r="S60" s="106" t="s">
        <v>110</v>
      </c>
      <c r="T60" s="250" t="s">
        <v>193</v>
      </c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</row>
    <row r="61">
      <c r="A61" s="12">
        <v>57.0</v>
      </c>
      <c r="B61" s="107" t="s">
        <v>1223</v>
      </c>
      <c r="C61" s="107" t="s">
        <v>1224</v>
      </c>
      <c r="D61" s="107" t="s">
        <v>1225</v>
      </c>
      <c r="E61" s="107" t="s">
        <v>1226</v>
      </c>
      <c r="F61" s="107" t="s">
        <v>1227</v>
      </c>
      <c r="G61" s="107" t="s">
        <v>26</v>
      </c>
      <c r="H61" s="107" t="s">
        <v>1228</v>
      </c>
      <c r="I61" s="247">
        <v>46090.0</v>
      </c>
      <c r="J61" s="248"/>
      <c r="K61" s="238" t="s">
        <v>57</v>
      </c>
      <c r="L61" s="86">
        <v>1.0</v>
      </c>
      <c r="M61" s="238">
        <v>4419.0</v>
      </c>
      <c r="N61" s="86" t="s">
        <v>58</v>
      </c>
      <c r="O61" s="86" t="s">
        <v>91</v>
      </c>
      <c r="P61" s="86" t="s">
        <v>40</v>
      </c>
      <c r="Q61" s="246"/>
      <c r="R61" s="86" t="s">
        <v>73</v>
      </c>
      <c r="S61" s="86" t="s">
        <v>148</v>
      </c>
      <c r="T61" s="258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</row>
    <row r="62">
      <c r="A62" s="12">
        <v>58.0</v>
      </c>
      <c r="B62" s="107" t="s">
        <v>1229</v>
      </c>
      <c r="C62" s="86" t="s">
        <v>1230</v>
      </c>
      <c r="D62" s="107" t="s">
        <v>1231</v>
      </c>
      <c r="E62" s="107" t="s">
        <v>1232</v>
      </c>
      <c r="F62" s="261" t="s">
        <v>1233</v>
      </c>
      <c r="G62" s="86">
        <v>18.0</v>
      </c>
      <c r="H62" s="86" t="s">
        <v>1234</v>
      </c>
      <c r="I62" s="108">
        <v>46090.0</v>
      </c>
      <c r="J62" s="247">
        <v>46090.0</v>
      </c>
      <c r="K62" s="89" t="s">
        <v>57</v>
      </c>
      <c r="L62" s="86">
        <v>1.0</v>
      </c>
      <c r="M62" s="238">
        <v>900.0</v>
      </c>
      <c r="N62" s="86" t="s">
        <v>71</v>
      </c>
      <c r="O62" s="86" t="s">
        <v>29</v>
      </c>
      <c r="P62" s="86" t="s">
        <v>72</v>
      </c>
      <c r="Q62" s="86" t="s">
        <v>26</v>
      </c>
      <c r="R62" s="86" t="s">
        <v>41</v>
      </c>
      <c r="S62" s="86" t="s">
        <v>129</v>
      </c>
      <c r="T62" s="235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</row>
    <row r="63">
      <c r="A63" s="12">
        <v>59.0</v>
      </c>
      <c r="B63" s="86" t="s">
        <v>1235</v>
      </c>
      <c r="C63" s="86" t="s">
        <v>1236</v>
      </c>
      <c r="D63" s="86" t="s">
        <v>1237</v>
      </c>
      <c r="E63" s="86" t="s">
        <v>1238</v>
      </c>
      <c r="F63" s="262" t="s">
        <v>1239</v>
      </c>
      <c r="G63" s="86">
        <v>1.0</v>
      </c>
      <c r="H63" s="86" t="s">
        <v>65</v>
      </c>
      <c r="I63" s="108">
        <v>46091.0</v>
      </c>
      <c r="J63" s="109"/>
      <c r="K63" s="89">
        <v>139.0</v>
      </c>
      <c r="L63" s="86">
        <v>12.0</v>
      </c>
      <c r="M63" s="89">
        <f t="shared" ref="M63:M67" si="10">K63*12</f>
        <v>1668</v>
      </c>
      <c r="N63" s="86" t="s">
        <v>28</v>
      </c>
      <c r="O63" s="86" t="s">
        <v>29</v>
      </c>
      <c r="P63" s="91"/>
      <c r="Q63" s="91"/>
      <c r="R63" s="86" t="s">
        <v>73</v>
      </c>
      <c r="S63" s="86" t="s">
        <v>148</v>
      </c>
      <c r="T63" s="235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</row>
    <row r="64">
      <c r="A64" s="12">
        <v>60.0</v>
      </c>
      <c r="B64" s="86" t="s">
        <v>1240</v>
      </c>
      <c r="C64" s="86" t="s">
        <v>1241</v>
      </c>
      <c r="D64" s="86" t="s">
        <v>1242</v>
      </c>
      <c r="E64" s="86" t="s">
        <v>1243</v>
      </c>
      <c r="F64" s="86" t="s">
        <v>1244</v>
      </c>
      <c r="G64" s="86">
        <v>3.0</v>
      </c>
      <c r="H64" s="86" t="s">
        <v>65</v>
      </c>
      <c r="I64" s="108">
        <v>46091.0</v>
      </c>
      <c r="J64" s="108">
        <v>46099.0</v>
      </c>
      <c r="K64" s="89">
        <v>151.0</v>
      </c>
      <c r="L64" s="86">
        <v>12.0</v>
      </c>
      <c r="M64" s="89">
        <f t="shared" si="10"/>
        <v>1812</v>
      </c>
      <c r="N64" s="86" t="s">
        <v>71</v>
      </c>
      <c r="O64" s="86" t="s">
        <v>29</v>
      </c>
      <c r="P64" s="86" t="s">
        <v>72</v>
      </c>
      <c r="Q64" s="86">
        <v>2609.0</v>
      </c>
      <c r="R64" s="86" t="s">
        <v>73</v>
      </c>
      <c r="S64" s="86" t="s">
        <v>148</v>
      </c>
      <c r="T64" s="235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</row>
    <row r="65">
      <c r="A65" s="12">
        <v>61.0</v>
      </c>
      <c r="B65" s="86" t="s">
        <v>1245</v>
      </c>
      <c r="C65" s="86" t="s">
        <v>1246</v>
      </c>
      <c r="D65" s="86" t="s">
        <v>1242</v>
      </c>
      <c r="E65" s="86" t="s">
        <v>1243</v>
      </c>
      <c r="F65" s="86" t="s">
        <v>1244</v>
      </c>
      <c r="G65" s="86">
        <v>3.0</v>
      </c>
      <c r="H65" s="86" t="s">
        <v>65</v>
      </c>
      <c r="I65" s="108">
        <v>46091.0</v>
      </c>
      <c r="J65" s="108">
        <v>46099.0</v>
      </c>
      <c r="K65" s="89">
        <v>151.0</v>
      </c>
      <c r="L65" s="257">
        <v>12.0</v>
      </c>
      <c r="M65" s="89">
        <f t="shared" si="10"/>
        <v>1812</v>
      </c>
      <c r="N65" s="86" t="s">
        <v>71</v>
      </c>
      <c r="O65" s="86" t="s">
        <v>29</v>
      </c>
      <c r="P65" s="86" t="s">
        <v>72</v>
      </c>
      <c r="Q65" s="86">
        <v>2612.0</v>
      </c>
      <c r="R65" s="86" t="s">
        <v>73</v>
      </c>
      <c r="S65" s="86" t="s">
        <v>148</v>
      </c>
      <c r="T65" s="235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</row>
    <row r="66">
      <c r="A66" s="12">
        <v>62.0</v>
      </c>
      <c r="B66" s="86" t="s">
        <v>1247</v>
      </c>
      <c r="C66" s="86" t="s">
        <v>1248</v>
      </c>
      <c r="D66" s="86" t="s">
        <v>1242</v>
      </c>
      <c r="E66" s="86" t="s">
        <v>1243</v>
      </c>
      <c r="F66" s="86" t="s">
        <v>1244</v>
      </c>
      <c r="G66" s="86">
        <v>3.0</v>
      </c>
      <c r="H66" s="86" t="s">
        <v>65</v>
      </c>
      <c r="I66" s="108">
        <v>46091.0</v>
      </c>
      <c r="J66" s="108">
        <v>46099.0</v>
      </c>
      <c r="K66" s="89">
        <v>151.0</v>
      </c>
      <c r="L66" s="257">
        <v>12.0</v>
      </c>
      <c r="M66" s="89">
        <f t="shared" si="10"/>
        <v>1812</v>
      </c>
      <c r="N66" s="86" t="s">
        <v>71</v>
      </c>
      <c r="O66" s="86" t="s">
        <v>29</v>
      </c>
      <c r="P66" s="86" t="s">
        <v>72</v>
      </c>
      <c r="Q66" s="86">
        <v>2610.0</v>
      </c>
      <c r="R66" s="86" t="s">
        <v>73</v>
      </c>
      <c r="S66" s="86" t="s">
        <v>148</v>
      </c>
      <c r="T66" s="235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</row>
    <row r="67">
      <c r="A67" s="12">
        <v>63.0</v>
      </c>
      <c r="B67" s="86" t="s">
        <v>1249</v>
      </c>
      <c r="C67" s="86" t="s">
        <v>1250</v>
      </c>
      <c r="D67" s="86" t="s">
        <v>1242</v>
      </c>
      <c r="E67" s="86" t="s">
        <v>1243</v>
      </c>
      <c r="F67" s="86" t="s">
        <v>1244</v>
      </c>
      <c r="G67" s="86">
        <v>3.0</v>
      </c>
      <c r="H67" s="86" t="s">
        <v>65</v>
      </c>
      <c r="I67" s="108">
        <v>46091.0</v>
      </c>
      <c r="J67" s="108">
        <v>46099.0</v>
      </c>
      <c r="K67" s="89">
        <v>151.0</v>
      </c>
      <c r="L67" s="257">
        <v>12.0</v>
      </c>
      <c r="M67" s="89">
        <f t="shared" si="10"/>
        <v>1812</v>
      </c>
      <c r="N67" s="86" t="s">
        <v>71</v>
      </c>
      <c r="O67" s="86" t="s">
        <v>29</v>
      </c>
      <c r="P67" s="86" t="s">
        <v>72</v>
      </c>
      <c r="Q67" s="86">
        <v>2611.0</v>
      </c>
      <c r="R67" s="86" t="s">
        <v>73</v>
      </c>
      <c r="S67" s="86" t="s">
        <v>148</v>
      </c>
      <c r="T67" s="235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</row>
    <row r="68">
      <c r="A68" s="12">
        <v>64.0</v>
      </c>
      <c r="B68" s="86" t="s">
        <v>1251</v>
      </c>
      <c r="C68" s="86" t="s">
        <v>1252</v>
      </c>
      <c r="D68" s="86" t="s">
        <v>1253</v>
      </c>
      <c r="E68" s="86" t="s">
        <v>1254</v>
      </c>
      <c r="F68" s="86" t="s">
        <v>1255</v>
      </c>
      <c r="G68" s="86">
        <v>11.0</v>
      </c>
      <c r="H68" s="86" t="s">
        <v>65</v>
      </c>
      <c r="I68" s="108">
        <v>46091.0</v>
      </c>
      <c r="J68" s="108">
        <v>46092.0</v>
      </c>
      <c r="K68" s="89" t="s">
        <v>57</v>
      </c>
      <c r="L68" s="86">
        <v>1.0</v>
      </c>
      <c r="M68" s="238">
        <v>2400.0</v>
      </c>
      <c r="N68" s="86" t="s">
        <v>71</v>
      </c>
      <c r="O68" s="86" t="s">
        <v>91</v>
      </c>
      <c r="P68" s="86" t="s">
        <v>72</v>
      </c>
      <c r="Q68" s="86">
        <v>2540.0</v>
      </c>
      <c r="R68" s="86" t="s">
        <v>41</v>
      </c>
      <c r="S68" s="86" t="s">
        <v>148</v>
      </c>
      <c r="T68" s="235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</row>
    <row r="69">
      <c r="A69" s="12">
        <v>65.0</v>
      </c>
      <c r="B69" s="86" t="s">
        <v>1256</v>
      </c>
      <c r="C69" s="86" t="s">
        <v>1257</v>
      </c>
      <c r="D69" s="86" t="s">
        <v>1258</v>
      </c>
      <c r="E69" s="86" t="s">
        <v>1259</v>
      </c>
      <c r="F69" s="253" t="s">
        <v>1260</v>
      </c>
      <c r="G69" s="86" t="s">
        <v>26</v>
      </c>
      <c r="H69" s="86" t="s">
        <v>711</v>
      </c>
      <c r="I69" s="108">
        <v>46086.0</v>
      </c>
      <c r="J69" s="108">
        <v>46092.0</v>
      </c>
      <c r="K69" s="89">
        <v>110.0</v>
      </c>
      <c r="L69" s="254" t="s">
        <v>1261</v>
      </c>
      <c r="M69" s="89">
        <v>1100.0</v>
      </c>
      <c r="N69" s="86" t="s">
        <v>71</v>
      </c>
      <c r="O69" s="86" t="s">
        <v>91</v>
      </c>
      <c r="P69" s="86" t="s">
        <v>72</v>
      </c>
      <c r="Q69" s="86">
        <v>2550.0</v>
      </c>
      <c r="R69" s="86" t="s">
        <v>73</v>
      </c>
      <c r="S69" s="86" t="s">
        <v>148</v>
      </c>
      <c r="T69" s="235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</row>
    <row r="70">
      <c r="A70" s="12">
        <v>66.0</v>
      </c>
      <c r="B70" s="86" t="s">
        <v>1262</v>
      </c>
      <c r="C70" s="86" t="s">
        <v>1263</v>
      </c>
      <c r="D70" s="86" t="s">
        <v>1264</v>
      </c>
      <c r="E70" s="86" t="s">
        <v>1265</v>
      </c>
      <c r="F70" s="86" t="s">
        <v>1266</v>
      </c>
      <c r="G70" s="86">
        <v>1.0</v>
      </c>
      <c r="H70" s="86" t="s">
        <v>1267</v>
      </c>
      <c r="I70" s="108">
        <v>46092.0</v>
      </c>
      <c r="J70" s="247">
        <v>46093.0</v>
      </c>
      <c r="K70" s="89" t="s">
        <v>1268</v>
      </c>
      <c r="L70" s="254">
        <v>1.0</v>
      </c>
      <c r="M70" s="238">
        <v>1300.0</v>
      </c>
      <c r="N70" s="86" t="s">
        <v>71</v>
      </c>
      <c r="O70" s="86" t="s">
        <v>91</v>
      </c>
      <c r="P70" s="86" t="s">
        <v>72</v>
      </c>
      <c r="Q70" s="86">
        <v>2552.0</v>
      </c>
      <c r="R70" s="86" t="s">
        <v>41</v>
      </c>
      <c r="S70" s="86" t="s">
        <v>129</v>
      </c>
      <c r="T70" s="236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</row>
    <row r="71">
      <c r="A71" s="12">
        <v>67.0</v>
      </c>
      <c r="B71" s="107" t="s">
        <v>1269</v>
      </c>
      <c r="C71" s="107" t="s">
        <v>1270</v>
      </c>
      <c r="D71" s="107" t="s">
        <v>1271</v>
      </c>
      <c r="E71" s="107">
        <v>1.1996857633E10</v>
      </c>
      <c r="F71" s="107" t="s">
        <v>1272</v>
      </c>
      <c r="G71" s="107">
        <v>3.0</v>
      </c>
      <c r="H71" s="107" t="s">
        <v>1083</v>
      </c>
      <c r="I71" s="247">
        <v>46087.0</v>
      </c>
      <c r="J71" s="247">
        <v>46087.0</v>
      </c>
      <c r="K71" s="238">
        <f>M71/3</f>
        <v>333.3333333</v>
      </c>
      <c r="L71" s="257" t="s">
        <v>1191</v>
      </c>
      <c r="M71" s="238">
        <v>1000.0</v>
      </c>
      <c r="N71" s="89" t="s">
        <v>71</v>
      </c>
      <c r="O71" s="106" t="s">
        <v>29</v>
      </c>
      <c r="P71" s="106" t="s">
        <v>72</v>
      </c>
      <c r="Q71" s="107">
        <v>2491.0</v>
      </c>
      <c r="R71" s="106" t="s">
        <v>30</v>
      </c>
      <c r="S71" s="106" t="s">
        <v>110</v>
      </c>
      <c r="T71" s="250" t="s">
        <v>193</v>
      </c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</row>
    <row r="72">
      <c r="A72" s="12">
        <v>68.0</v>
      </c>
      <c r="B72" s="107" t="s">
        <v>1273</v>
      </c>
      <c r="C72" s="246" t="s">
        <v>1274</v>
      </c>
      <c r="D72" s="107" t="s">
        <v>1275</v>
      </c>
      <c r="E72" s="107" t="s">
        <v>1276</v>
      </c>
      <c r="F72" s="259" t="s">
        <v>1277</v>
      </c>
      <c r="G72" s="107">
        <v>11.0</v>
      </c>
      <c r="H72" s="107" t="s">
        <v>254</v>
      </c>
      <c r="I72" s="247">
        <v>46087.0</v>
      </c>
      <c r="J72" s="247">
        <v>46091.0</v>
      </c>
      <c r="K72" s="238">
        <v>250.0</v>
      </c>
      <c r="L72" s="257" t="s">
        <v>1278</v>
      </c>
      <c r="M72" s="238">
        <v>1000.0</v>
      </c>
      <c r="N72" s="89" t="s">
        <v>71</v>
      </c>
      <c r="O72" s="106" t="s">
        <v>29</v>
      </c>
      <c r="P72" s="106" t="s">
        <v>72</v>
      </c>
      <c r="Q72" s="107">
        <v>2543.0</v>
      </c>
      <c r="R72" s="106" t="s">
        <v>30</v>
      </c>
      <c r="S72" s="106" t="s">
        <v>110</v>
      </c>
      <c r="T72" s="250" t="s">
        <v>193</v>
      </c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</row>
    <row r="73">
      <c r="A73" s="12">
        <v>69.0</v>
      </c>
      <c r="B73" s="106" t="s">
        <v>1279</v>
      </c>
      <c r="C73" s="106" t="s">
        <v>1280</v>
      </c>
      <c r="D73" s="106" t="s">
        <v>1281</v>
      </c>
      <c r="E73" s="106">
        <v>1.1932069346E10</v>
      </c>
      <c r="F73" s="207" t="s">
        <v>1282</v>
      </c>
      <c r="G73" s="107">
        <v>10.0</v>
      </c>
      <c r="H73" s="107" t="s">
        <v>123</v>
      </c>
      <c r="I73" s="247">
        <v>46099.0</v>
      </c>
      <c r="J73" s="247">
        <v>46100.0</v>
      </c>
      <c r="K73" s="238">
        <v>200.0</v>
      </c>
      <c r="L73" s="257" t="s">
        <v>1178</v>
      </c>
      <c r="M73" s="238">
        <f>K73*12</f>
        <v>2400</v>
      </c>
      <c r="N73" s="89" t="s">
        <v>71</v>
      </c>
      <c r="O73" s="106" t="s">
        <v>29</v>
      </c>
      <c r="P73" s="106" t="s">
        <v>72</v>
      </c>
      <c r="Q73" s="110">
        <v>2626.0</v>
      </c>
      <c r="R73" s="106" t="s">
        <v>30</v>
      </c>
      <c r="S73" s="106" t="s">
        <v>110</v>
      </c>
      <c r="T73" s="250" t="s">
        <v>193</v>
      </c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</row>
    <row r="74">
      <c r="A74" s="12">
        <v>70.0</v>
      </c>
      <c r="B74" s="106" t="s">
        <v>1283</v>
      </c>
      <c r="C74" s="106" t="s">
        <v>1284</v>
      </c>
      <c r="D74" s="106" t="s">
        <v>1285</v>
      </c>
      <c r="E74" s="106" t="s">
        <v>1286</v>
      </c>
      <c r="F74" s="241" t="s">
        <v>1287</v>
      </c>
      <c r="G74" s="106" t="s">
        <v>26</v>
      </c>
      <c r="H74" s="106" t="s">
        <v>499</v>
      </c>
      <c r="I74" s="108">
        <v>46090.0</v>
      </c>
      <c r="J74" s="108">
        <v>46091.0</v>
      </c>
      <c r="K74" s="89" t="s">
        <v>399</v>
      </c>
      <c r="L74" s="254" t="s">
        <v>399</v>
      </c>
      <c r="M74" s="89">
        <v>723.0</v>
      </c>
      <c r="N74" s="106" t="s">
        <v>71</v>
      </c>
      <c r="O74" s="106" t="s">
        <v>29</v>
      </c>
      <c r="P74" s="106" t="s">
        <v>72</v>
      </c>
      <c r="Q74" s="107">
        <v>2539.0</v>
      </c>
      <c r="R74" s="106" t="s">
        <v>30</v>
      </c>
      <c r="S74" s="106" t="s">
        <v>110</v>
      </c>
      <c r="T74" s="250" t="s">
        <v>193</v>
      </c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</row>
    <row r="75">
      <c r="A75" s="12">
        <v>71.0</v>
      </c>
      <c r="B75" s="106" t="s">
        <v>1288</v>
      </c>
      <c r="C75" s="106" t="s">
        <v>1289</v>
      </c>
      <c r="D75" s="106" t="s">
        <v>1290</v>
      </c>
      <c r="E75" s="106" t="s">
        <v>1291</v>
      </c>
      <c r="F75" s="207" t="s">
        <v>1292</v>
      </c>
      <c r="G75" s="106">
        <v>15.0</v>
      </c>
      <c r="H75" s="107" t="s">
        <v>123</v>
      </c>
      <c r="I75" s="108">
        <v>46091.0</v>
      </c>
      <c r="J75" s="109"/>
      <c r="K75" s="89">
        <v>225.0</v>
      </c>
      <c r="L75" s="254" t="s">
        <v>1178</v>
      </c>
      <c r="M75" s="89">
        <f t="shared" ref="M75:M77" si="11">K75*12</f>
        <v>2700</v>
      </c>
      <c r="N75" s="106" t="s">
        <v>58</v>
      </c>
      <c r="O75" s="106" t="s">
        <v>29</v>
      </c>
      <c r="P75" s="106" t="s">
        <v>40</v>
      </c>
      <c r="Q75" s="91"/>
      <c r="R75" s="106" t="s">
        <v>233</v>
      </c>
      <c r="S75" s="106" t="s">
        <v>110</v>
      </c>
      <c r="T75" s="244" t="s">
        <v>1293</v>
      </c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</row>
    <row r="76">
      <c r="A76" s="12">
        <v>72.0</v>
      </c>
      <c r="B76" s="106" t="s">
        <v>1294</v>
      </c>
      <c r="C76" s="206" t="s">
        <v>1295</v>
      </c>
      <c r="D76" s="263" t="s">
        <v>1296</v>
      </c>
      <c r="E76" s="107" t="s">
        <v>1297</v>
      </c>
      <c r="F76" s="241" t="s">
        <v>1298</v>
      </c>
      <c r="G76" s="106">
        <v>5.0</v>
      </c>
      <c r="H76" s="107" t="s">
        <v>123</v>
      </c>
      <c r="I76" s="108">
        <v>46091.0</v>
      </c>
      <c r="J76" s="108">
        <v>46092.0</v>
      </c>
      <c r="K76" s="89">
        <v>163.0</v>
      </c>
      <c r="L76" s="254" t="s">
        <v>1178</v>
      </c>
      <c r="M76" s="89">
        <f t="shared" si="11"/>
        <v>1956</v>
      </c>
      <c r="N76" s="106" t="s">
        <v>71</v>
      </c>
      <c r="O76" s="106" t="s">
        <v>29</v>
      </c>
      <c r="P76" s="106" t="s">
        <v>72</v>
      </c>
      <c r="Q76" s="107">
        <v>2547.0</v>
      </c>
      <c r="R76" s="106" t="s">
        <v>30</v>
      </c>
      <c r="S76" s="106" t="s">
        <v>110</v>
      </c>
      <c r="T76" s="250" t="s">
        <v>193</v>
      </c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</row>
    <row r="77">
      <c r="A77" s="12">
        <v>73.0</v>
      </c>
      <c r="B77" s="106" t="s">
        <v>1299</v>
      </c>
      <c r="C77" s="106" t="s">
        <v>1300</v>
      </c>
      <c r="D77" s="106" t="s">
        <v>1301</v>
      </c>
      <c r="E77" s="106" t="s">
        <v>1302</v>
      </c>
      <c r="F77" s="173" t="s">
        <v>1303</v>
      </c>
      <c r="G77" s="106">
        <v>1.0</v>
      </c>
      <c r="H77" s="107" t="s">
        <v>123</v>
      </c>
      <c r="I77" s="108">
        <v>46091.0</v>
      </c>
      <c r="J77" s="108">
        <v>46091.0</v>
      </c>
      <c r="K77" s="89">
        <v>126.5</v>
      </c>
      <c r="L77" s="254" t="s">
        <v>1178</v>
      </c>
      <c r="M77" s="89">
        <f t="shared" si="11"/>
        <v>1518</v>
      </c>
      <c r="N77" s="106" t="s">
        <v>71</v>
      </c>
      <c r="O77" s="106" t="s">
        <v>29</v>
      </c>
      <c r="P77" s="106" t="s">
        <v>72</v>
      </c>
      <c r="Q77" s="107">
        <v>2543.0</v>
      </c>
      <c r="R77" s="106" t="s">
        <v>30</v>
      </c>
      <c r="S77" s="106" t="s">
        <v>110</v>
      </c>
      <c r="T77" s="250" t="s">
        <v>193</v>
      </c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</row>
    <row r="78">
      <c r="A78" s="12">
        <v>74.0</v>
      </c>
      <c r="B78" s="106" t="s">
        <v>1304</v>
      </c>
      <c r="C78" s="106" t="s">
        <v>1305</v>
      </c>
      <c r="D78" s="106" t="s">
        <v>1306</v>
      </c>
      <c r="E78" s="106" t="s">
        <v>1307</v>
      </c>
      <c r="F78" s="106" t="s">
        <v>1308</v>
      </c>
      <c r="G78" s="106">
        <v>2.0</v>
      </c>
      <c r="H78" s="106" t="s">
        <v>884</v>
      </c>
      <c r="I78" s="108">
        <v>46091.0</v>
      </c>
      <c r="J78" s="108">
        <v>46091.0</v>
      </c>
      <c r="K78" s="89">
        <f>M78/3</f>
        <v>250</v>
      </c>
      <c r="L78" s="254" t="s">
        <v>1191</v>
      </c>
      <c r="M78" s="89">
        <v>750.0</v>
      </c>
      <c r="N78" s="106" t="s">
        <v>71</v>
      </c>
      <c r="O78" s="106" t="s">
        <v>29</v>
      </c>
      <c r="P78" s="106" t="s">
        <v>72</v>
      </c>
      <c r="Q78" s="107">
        <v>2546.0</v>
      </c>
      <c r="R78" s="106" t="s">
        <v>30</v>
      </c>
      <c r="S78" s="106" t="s">
        <v>110</v>
      </c>
      <c r="T78" s="250" t="s">
        <v>193</v>
      </c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</row>
    <row r="79">
      <c r="A79" s="12">
        <v>75.0</v>
      </c>
      <c r="B79" s="106" t="s">
        <v>1309</v>
      </c>
      <c r="C79" s="91" t="s">
        <v>1310</v>
      </c>
      <c r="D79" s="106" t="s">
        <v>1311</v>
      </c>
      <c r="E79" s="106" t="s">
        <v>1312</v>
      </c>
      <c r="F79" s="106" t="s">
        <v>1313</v>
      </c>
      <c r="G79" s="106">
        <v>1.0</v>
      </c>
      <c r="H79" s="106" t="s">
        <v>1314</v>
      </c>
      <c r="I79" s="108">
        <v>46091.0</v>
      </c>
      <c r="J79" s="108">
        <v>46091.0</v>
      </c>
      <c r="K79" s="89" t="s">
        <v>399</v>
      </c>
      <c r="L79" s="254" t="s">
        <v>1218</v>
      </c>
      <c r="M79" s="89">
        <v>500.0</v>
      </c>
      <c r="N79" s="106" t="s">
        <v>71</v>
      </c>
      <c r="O79" s="106" t="s">
        <v>29</v>
      </c>
      <c r="P79" s="106" t="s">
        <v>72</v>
      </c>
      <c r="Q79" s="107">
        <v>2545.0</v>
      </c>
      <c r="R79" s="106" t="s">
        <v>30</v>
      </c>
      <c r="S79" s="106" t="s">
        <v>110</v>
      </c>
      <c r="T79" s="250" t="s">
        <v>193</v>
      </c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</row>
    <row r="80">
      <c r="A80" s="12">
        <v>76.0</v>
      </c>
      <c r="B80" s="106" t="s">
        <v>1315</v>
      </c>
      <c r="C80" s="106" t="s">
        <v>1316</v>
      </c>
      <c r="D80" s="106" t="s">
        <v>1317</v>
      </c>
      <c r="E80" s="106" t="s">
        <v>1302</v>
      </c>
      <c r="F80" s="106" t="s">
        <v>1318</v>
      </c>
      <c r="G80" s="106">
        <v>3.0</v>
      </c>
      <c r="H80" s="106" t="s">
        <v>254</v>
      </c>
      <c r="I80" s="108">
        <v>46092.0</v>
      </c>
      <c r="J80" s="108">
        <v>46094.0</v>
      </c>
      <c r="K80" s="89">
        <f t="shared" ref="K80:K81" si="12">M80/3</f>
        <v>166.6666667</v>
      </c>
      <c r="L80" s="254" t="s">
        <v>1191</v>
      </c>
      <c r="M80" s="89">
        <v>500.0</v>
      </c>
      <c r="N80" s="106" t="s">
        <v>71</v>
      </c>
      <c r="O80" s="106" t="s">
        <v>29</v>
      </c>
      <c r="P80" s="106" t="s">
        <v>72</v>
      </c>
      <c r="Q80" s="107">
        <v>2583.0</v>
      </c>
      <c r="R80" s="106" t="s">
        <v>30</v>
      </c>
      <c r="S80" s="106" t="s">
        <v>110</v>
      </c>
      <c r="T80" s="250" t="s">
        <v>193</v>
      </c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</row>
    <row r="81">
      <c r="A81" s="12">
        <v>77.0</v>
      </c>
      <c r="B81" s="106" t="s">
        <v>1319</v>
      </c>
      <c r="C81" s="106" t="s">
        <v>1320</v>
      </c>
      <c r="D81" s="106" t="s">
        <v>1321</v>
      </c>
      <c r="E81" s="106" t="s">
        <v>1302</v>
      </c>
      <c r="F81" s="173" t="s">
        <v>1303</v>
      </c>
      <c r="G81" s="106">
        <v>6.0</v>
      </c>
      <c r="H81" s="106" t="s">
        <v>254</v>
      </c>
      <c r="I81" s="108">
        <v>46092.0</v>
      </c>
      <c r="J81" s="108">
        <v>46094.0</v>
      </c>
      <c r="K81" s="89">
        <f t="shared" si="12"/>
        <v>166.6666667</v>
      </c>
      <c r="L81" s="254" t="s">
        <v>1191</v>
      </c>
      <c r="M81" s="89">
        <v>500.0</v>
      </c>
      <c r="N81" s="106" t="s">
        <v>71</v>
      </c>
      <c r="O81" s="106" t="s">
        <v>29</v>
      </c>
      <c r="P81" s="106" t="s">
        <v>72</v>
      </c>
      <c r="Q81" s="107">
        <v>2580.0</v>
      </c>
      <c r="R81" s="106" t="s">
        <v>30</v>
      </c>
      <c r="S81" s="106" t="s">
        <v>110</v>
      </c>
      <c r="T81" s="250" t="s">
        <v>193</v>
      </c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</row>
    <row r="82">
      <c r="A82" s="12">
        <v>78.0</v>
      </c>
      <c r="B82" s="110" t="s">
        <v>1322</v>
      </c>
      <c r="C82" s="110" t="s">
        <v>1323</v>
      </c>
      <c r="D82" s="86" t="s">
        <v>1324</v>
      </c>
      <c r="E82" s="86" t="s">
        <v>1325</v>
      </c>
      <c r="F82" s="264" t="s">
        <v>1326</v>
      </c>
      <c r="G82" s="86">
        <v>100.0</v>
      </c>
      <c r="H82" s="86" t="s">
        <v>65</v>
      </c>
      <c r="I82" s="108">
        <v>46093.0</v>
      </c>
      <c r="J82" s="108">
        <v>46094.0</v>
      </c>
      <c r="K82" s="89">
        <v>1100.0</v>
      </c>
      <c r="L82" s="86">
        <v>12.0</v>
      </c>
      <c r="M82" s="89">
        <f t="shared" ref="M82:M84" si="13">K82*12</f>
        <v>13200</v>
      </c>
      <c r="N82" s="86" t="s">
        <v>71</v>
      </c>
      <c r="O82" s="106" t="s">
        <v>29</v>
      </c>
      <c r="P82" s="86" t="s">
        <v>72</v>
      </c>
      <c r="Q82" s="86">
        <v>2587.0</v>
      </c>
      <c r="R82" s="86" t="s">
        <v>73</v>
      </c>
      <c r="S82" s="86" t="s">
        <v>148</v>
      </c>
      <c r="T82" s="235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</row>
    <row r="83">
      <c r="A83" s="12">
        <v>79.0</v>
      </c>
      <c r="B83" s="110" t="s">
        <v>1327</v>
      </c>
      <c r="C83" s="110" t="s">
        <v>1328</v>
      </c>
      <c r="D83" s="176" t="s">
        <v>1329</v>
      </c>
      <c r="E83" s="86" t="s">
        <v>1330</v>
      </c>
      <c r="F83" s="264" t="s">
        <v>1331</v>
      </c>
      <c r="G83" s="176">
        <v>3.0</v>
      </c>
      <c r="H83" s="107" t="s">
        <v>123</v>
      </c>
      <c r="I83" s="121">
        <v>46094.0</v>
      </c>
      <c r="J83" s="121">
        <v>46098.0</v>
      </c>
      <c r="K83" s="265">
        <v>139.0</v>
      </c>
      <c r="L83" s="176">
        <v>12.0</v>
      </c>
      <c r="M83" s="265">
        <f t="shared" si="13"/>
        <v>1668</v>
      </c>
      <c r="N83" s="86" t="s">
        <v>71</v>
      </c>
      <c r="O83" s="86" t="s">
        <v>29</v>
      </c>
      <c r="P83" s="86" t="s">
        <v>72</v>
      </c>
      <c r="Q83" s="86">
        <v>2603.0</v>
      </c>
      <c r="R83" s="86" t="s">
        <v>233</v>
      </c>
      <c r="S83" s="86" t="s">
        <v>129</v>
      </c>
      <c r="T83" s="235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</row>
    <row r="84">
      <c r="A84" s="12">
        <v>80.0</v>
      </c>
      <c r="B84" s="106" t="s">
        <v>1332</v>
      </c>
      <c r="C84" s="106" t="s">
        <v>1333</v>
      </c>
      <c r="D84" s="106" t="s">
        <v>1334</v>
      </c>
      <c r="E84" s="106" t="s">
        <v>1335</v>
      </c>
      <c r="F84" s="173" t="s">
        <v>1336</v>
      </c>
      <c r="G84" s="106">
        <v>10.0</v>
      </c>
      <c r="H84" s="107" t="s">
        <v>123</v>
      </c>
      <c r="I84" s="108">
        <v>46091.0</v>
      </c>
      <c r="J84" s="108">
        <v>46092.0</v>
      </c>
      <c r="K84" s="89">
        <v>193.0</v>
      </c>
      <c r="L84" s="254" t="s">
        <v>1178</v>
      </c>
      <c r="M84" s="89">
        <f t="shared" si="13"/>
        <v>2316</v>
      </c>
      <c r="N84" s="106" t="s">
        <v>71</v>
      </c>
      <c r="O84" s="106" t="s">
        <v>29</v>
      </c>
      <c r="P84" s="106" t="s">
        <v>72</v>
      </c>
      <c r="Q84" s="107">
        <v>2548.0</v>
      </c>
      <c r="R84" s="106" t="s">
        <v>30</v>
      </c>
      <c r="S84" s="106" t="s">
        <v>110</v>
      </c>
      <c r="T84" s="250" t="s">
        <v>193</v>
      </c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</row>
    <row r="85">
      <c r="A85" s="12">
        <v>81.0</v>
      </c>
      <c r="B85" s="106" t="s">
        <v>1337</v>
      </c>
      <c r="C85" s="106" t="s">
        <v>1338</v>
      </c>
      <c r="D85" s="106" t="s">
        <v>1339</v>
      </c>
      <c r="E85" s="106" t="s">
        <v>1340</v>
      </c>
      <c r="F85" s="106" t="s">
        <v>1341</v>
      </c>
      <c r="G85" s="106" t="s">
        <v>399</v>
      </c>
      <c r="H85" s="106" t="s">
        <v>499</v>
      </c>
      <c r="I85" s="108">
        <v>46093.0</v>
      </c>
      <c r="J85" s="109"/>
      <c r="K85" s="89" t="s">
        <v>399</v>
      </c>
      <c r="L85" s="254" t="s">
        <v>399</v>
      </c>
      <c r="M85" s="89" t="s">
        <v>399</v>
      </c>
      <c r="N85" s="106" t="s">
        <v>58</v>
      </c>
      <c r="O85" s="106" t="s">
        <v>29</v>
      </c>
      <c r="P85" s="106" t="s">
        <v>40</v>
      </c>
      <c r="Q85" s="91"/>
      <c r="R85" s="106" t="s">
        <v>233</v>
      </c>
      <c r="S85" s="106" t="s">
        <v>110</v>
      </c>
      <c r="T85" s="245" t="s">
        <v>1342</v>
      </c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</row>
    <row r="86">
      <c r="A86" s="12">
        <v>82.0</v>
      </c>
      <c r="B86" s="106" t="s">
        <v>1343</v>
      </c>
      <c r="C86" s="106" t="s">
        <v>1344</v>
      </c>
      <c r="D86" s="106" t="s">
        <v>1345</v>
      </c>
      <c r="E86" s="106" t="s">
        <v>1346</v>
      </c>
      <c r="F86" s="173" t="s">
        <v>1347</v>
      </c>
      <c r="G86" s="106" t="s">
        <v>399</v>
      </c>
      <c r="H86" s="106" t="s">
        <v>499</v>
      </c>
      <c r="I86" s="108">
        <v>46093.0</v>
      </c>
      <c r="J86" s="108">
        <v>46093.0</v>
      </c>
      <c r="K86" s="89" t="s">
        <v>399</v>
      </c>
      <c r="L86" s="254" t="s">
        <v>399</v>
      </c>
      <c r="M86" s="89">
        <v>585.0</v>
      </c>
      <c r="N86" s="106" t="s">
        <v>71</v>
      </c>
      <c r="O86" s="106" t="s">
        <v>29</v>
      </c>
      <c r="P86" s="106" t="s">
        <v>72</v>
      </c>
      <c r="Q86" s="107">
        <v>2574.0</v>
      </c>
      <c r="R86" s="106" t="s">
        <v>30</v>
      </c>
      <c r="S86" s="106" t="s">
        <v>110</v>
      </c>
      <c r="T86" s="266" t="s">
        <v>193</v>
      </c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</row>
    <row r="87">
      <c r="A87" s="12">
        <v>83.0</v>
      </c>
      <c r="B87" s="106" t="s">
        <v>1348</v>
      </c>
      <c r="C87" s="106" t="s">
        <v>1349</v>
      </c>
      <c r="D87" s="106" t="s">
        <v>1350</v>
      </c>
      <c r="E87" s="106" t="s">
        <v>1351</v>
      </c>
      <c r="F87" s="173" t="s">
        <v>1352</v>
      </c>
      <c r="G87" s="106">
        <v>15.0</v>
      </c>
      <c r="H87" s="24" t="s">
        <v>1353</v>
      </c>
      <c r="I87" s="108">
        <v>46093.0</v>
      </c>
      <c r="J87" s="108">
        <v>46093.0</v>
      </c>
      <c r="K87" s="89" t="s">
        <v>211</v>
      </c>
      <c r="L87" s="254" t="s">
        <v>1218</v>
      </c>
      <c r="M87" s="89">
        <v>1300.0</v>
      </c>
      <c r="N87" s="106" t="s">
        <v>71</v>
      </c>
      <c r="O87" s="106" t="s">
        <v>91</v>
      </c>
      <c r="P87" s="106" t="s">
        <v>72</v>
      </c>
      <c r="Q87" s="107">
        <v>2572.0</v>
      </c>
      <c r="R87" s="106" t="s">
        <v>30</v>
      </c>
      <c r="S87" s="106" t="s">
        <v>110</v>
      </c>
      <c r="T87" s="250" t="s">
        <v>193</v>
      </c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</row>
    <row r="88">
      <c r="A88" s="12">
        <v>84.0</v>
      </c>
      <c r="B88" s="106" t="s">
        <v>1354</v>
      </c>
      <c r="C88" s="267" t="s">
        <v>1355</v>
      </c>
      <c r="D88" s="106" t="s">
        <v>1356</v>
      </c>
      <c r="E88" s="106" t="s">
        <v>1357</v>
      </c>
      <c r="F88" s="106" t="s">
        <v>1358</v>
      </c>
      <c r="G88" s="106">
        <v>14.0</v>
      </c>
      <c r="H88" s="106" t="s">
        <v>1359</v>
      </c>
      <c r="I88" s="108">
        <v>46087.0</v>
      </c>
      <c r="J88" s="88"/>
      <c r="K88" s="89">
        <v>217.0</v>
      </c>
      <c r="L88" s="268">
        <v>12.0</v>
      </c>
      <c r="M88" s="89">
        <v>2604.0</v>
      </c>
      <c r="N88" s="106" t="s">
        <v>28</v>
      </c>
      <c r="O88" s="106" t="s">
        <v>29</v>
      </c>
      <c r="P88" s="106" t="s">
        <v>40</v>
      </c>
      <c r="Q88" s="91"/>
      <c r="R88" s="106" t="s">
        <v>233</v>
      </c>
      <c r="S88" s="106" t="s">
        <v>31</v>
      </c>
      <c r="T88" s="245" t="s">
        <v>1360</v>
      </c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</row>
    <row r="89">
      <c r="A89" s="12">
        <v>85.0</v>
      </c>
      <c r="B89" s="107" t="s">
        <v>1361</v>
      </c>
      <c r="C89" s="106" t="s">
        <v>1362</v>
      </c>
      <c r="D89" s="106" t="s">
        <v>1363</v>
      </c>
      <c r="E89" s="106" t="s">
        <v>1364</v>
      </c>
      <c r="F89" s="106" t="s">
        <v>1365</v>
      </c>
      <c r="G89" s="106">
        <v>1.0</v>
      </c>
      <c r="H89" s="106" t="s">
        <v>1359</v>
      </c>
      <c r="I89" s="108">
        <v>46090.0</v>
      </c>
      <c r="J89" s="109"/>
      <c r="K89" s="89">
        <v>139.0</v>
      </c>
      <c r="L89" s="268">
        <v>12.0</v>
      </c>
      <c r="M89" s="89">
        <v>1668.0</v>
      </c>
      <c r="N89" s="106" t="s">
        <v>28</v>
      </c>
      <c r="O89" s="106" t="s">
        <v>29</v>
      </c>
      <c r="P89" s="106" t="s">
        <v>40</v>
      </c>
      <c r="Q89" s="91"/>
      <c r="R89" s="106" t="s">
        <v>233</v>
      </c>
      <c r="S89" s="106" t="s">
        <v>31</v>
      </c>
      <c r="T89" s="245" t="s">
        <v>1366</v>
      </c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</row>
    <row r="90">
      <c r="A90" s="12">
        <v>86.0</v>
      </c>
      <c r="B90" s="107" t="s">
        <v>1367</v>
      </c>
      <c r="C90" s="106" t="s">
        <v>1038</v>
      </c>
      <c r="D90" s="106" t="s">
        <v>1368</v>
      </c>
      <c r="E90" s="106" t="s">
        <v>1369</v>
      </c>
      <c r="F90" s="106" t="s">
        <v>1040</v>
      </c>
      <c r="G90" s="106">
        <v>3.0</v>
      </c>
      <c r="H90" s="106" t="s">
        <v>1370</v>
      </c>
      <c r="I90" s="108">
        <v>46087.0</v>
      </c>
      <c r="J90" s="88"/>
      <c r="K90" s="89">
        <v>1350.0</v>
      </c>
      <c r="L90" s="268">
        <v>1.0</v>
      </c>
      <c r="M90" s="89">
        <f t="shared" ref="M90:M93" si="14">K90*1</f>
        <v>1350</v>
      </c>
      <c r="N90" s="106" t="s">
        <v>28</v>
      </c>
      <c r="O90" s="106" t="s">
        <v>91</v>
      </c>
      <c r="P90" s="106" t="s">
        <v>40</v>
      </c>
      <c r="Q90" s="91"/>
      <c r="R90" s="106" t="s">
        <v>73</v>
      </c>
      <c r="S90" s="106" t="s">
        <v>31</v>
      </c>
      <c r="T90" s="235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</row>
    <row r="91">
      <c r="A91" s="12">
        <v>87.0</v>
      </c>
      <c r="B91" s="106" t="s">
        <v>799</v>
      </c>
      <c r="C91" s="106" t="s">
        <v>807</v>
      </c>
      <c r="D91" s="106" t="s">
        <v>801</v>
      </c>
      <c r="E91" s="106" t="s">
        <v>802</v>
      </c>
      <c r="F91" s="106" t="s">
        <v>1371</v>
      </c>
      <c r="G91" s="106">
        <v>12.0</v>
      </c>
      <c r="H91" s="106" t="s">
        <v>867</v>
      </c>
      <c r="I91" s="108">
        <v>46094.0</v>
      </c>
      <c r="J91" s="108">
        <v>46101.0</v>
      </c>
      <c r="K91" s="89">
        <v>3150.0</v>
      </c>
      <c r="L91" s="268">
        <v>1.0</v>
      </c>
      <c r="M91" s="89">
        <f t="shared" si="14"/>
        <v>3150</v>
      </c>
      <c r="N91" s="86" t="s">
        <v>71</v>
      </c>
      <c r="O91" s="106" t="s">
        <v>91</v>
      </c>
      <c r="P91" s="86" t="s">
        <v>72</v>
      </c>
      <c r="Q91" s="86">
        <v>2631.0</v>
      </c>
      <c r="R91" s="106" t="s">
        <v>73</v>
      </c>
      <c r="S91" s="106" t="s">
        <v>31</v>
      </c>
      <c r="T91" s="244" t="s">
        <v>1372</v>
      </c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</row>
    <row r="92">
      <c r="A92" s="12">
        <v>88.0</v>
      </c>
      <c r="B92" s="176" t="s">
        <v>806</v>
      </c>
      <c r="C92" s="106" t="s">
        <v>800</v>
      </c>
      <c r="D92" s="106" t="s">
        <v>801</v>
      </c>
      <c r="E92" s="106" t="s">
        <v>802</v>
      </c>
      <c r="F92" s="106" t="s">
        <v>1371</v>
      </c>
      <c r="G92" s="106">
        <v>51.0</v>
      </c>
      <c r="H92" s="106" t="s">
        <v>867</v>
      </c>
      <c r="I92" s="108">
        <v>46094.0</v>
      </c>
      <c r="J92" s="108">
        <v>46101.0</v>
      </c>
      <c r="K92" s="89">
        <v>1200.0</v>
      </c>
      <c r="L92" s="268">
        <v>1.0</v>
      </c>
      <c r="M92" s="89">
        <f t="shared" si="14"/>
        <v>1200</v>
      </c>
      <c r="N92" s="86" t="s">
        <v>71</v>
      </c>
      <c r="O92" s="106" t="s">
        <v>91</v>
      </c>
      <c r="P92" s="86" t="s">
        <v>72</v>
      </c>
      <c r="Q92" s="86">
        <v>2632.0</v>
      </c>
      <c r="R92" s="106" t="s">
        <v>73</v>
      </c>
      <c r="S92" s="106" t="s">
        <v>31</v>
      </c>
      <c r="T92" s="244" t="s">
        <v>1372</v>
      </c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</row>
    <row r="93">
      <c r="A93" s="12">
        <v>89.0</v>
      </c>
      <c r="B93" s="106" t="s">
        <v>1373</v>
      </c>
      <c r="C93" s="106" t="s">
        <v>1374</v>
      </c>
      <c r="D93" s="106" t="s">
        <v>1375</v>
      </c>
      <c r="E93" s="106" t="s">
        <v>1376</v>
      </c>
      <c r="F93" s="106" t="s">
        <v>1377</v>
      </c>
      <c r="G93" s="106">
        <v>2.0</v>
      </c>
      <c r="H93" s="106" t="s">
        <v>1378</v>
      </c>
      <c r="I93" s="108">
        <v>46087.0</v>
      </c>
      <c r="J93" s="109"/>
      <c r="K93" s="89">
        <v>1200.0</v>
      </c>
      <c r="L93" s="268">
        <v>1.0</v>
      </c>
      <c r="M93" s="89">
        <f t="shared" si="14"/>
        <v>1200</v>
      </c>
      <c r="N93" s="106" t="s">
        <v>28</v>
      </c>
      <c r="O93" s="106" t="s">
        <v>29</v>
      </c>
      <c r="P93" s="106" t="s">
        <v>40</v>
      </c>
      <c r="Q93" s="91"/>
      <c r="R93" s="106" t="s">
        <v>73</v>
      </c>
      <c r="S93" s="106" t="s">
        <v>31</v>
      </c>
      <c r="T93" s="245" t="s">
        <v>1379</v>
      </c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</row>
    <row r="94">
      <c r="A94" s="12">
        <v>90.0</v>
      </c>
      <c r="B94" s="106" t="s">
        <v>1380</v>
      </c>
      <c r="C94" s="106" t="s">
        <v>1381</v>
      </c>
      <c r="D94" s="106" t="s">
        <v>1382</v>
      </c>
      <c r="E94" s="269" t="s">
        <v>1383</v>
      </c>
      <c r="F94" s="106" t="s">
        <v>1384</v>
      </c>
      <c r="G94" s="106">
        <v>70.0</v>
      </c>
      <c r="H94" s="106" t="s">
        <v>1359</v>
      </c>
      <c r="I94" s="108">
        <v>46091.0</v>
      </c>
      <c r="J94" s="88"/>
      <c r="K94" s="89">
        <v>805.56</v>
      </c>
      <c r="L94" s="268">
        <v>12.0</v>
      </c>
      <c r="M94" s="89">
        <v>9666.72</v>
      </c>
      <c r="N94" s="86" t="s">
        <v>28</v>
      </c>
      <c r="O94" s="106" t="s">
        <v>29</v>
      </c>
      <c r="P94" s="106" t="s">
        <v>40</v>
      </c>
      <c r="Q94" s="91"/>
      <c r="R94" s="106" t="s">
        <v>73</v>
      </c>
      <c r="S94" s="106" t="s">
        <v>31</v>
      </c>
      <c r="T94" s="244" t="s">
        <v>1385</v>
      </c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</row>
    <row r="95">
      <c r="A95" s="12">
        <v>91.0</v>
      </c>
      <c r="B95" s="106" t="s">
        <v>1386</v>
      </c>
      <c r="C95" s="89" t="s">
        <v>1387</v>
      </c>
      <c r="D95" s="106" t="s">
        <v>1388</v>
      </c>
      <c r="E95" s="106" t="s">
        <v>1389</v>
      </c>
      <c r="F95" s="106" t="s">
        <v>1390</v>
      </c>
      <c r="G95" s="106">
        <v>5.0</v>
      </c>
      <c r="H95" s="106" t="s">
        <v>1359</v>
      </c>
      <c r="I95" s="108">
        <v>46090.0</v>
      </c>
      <c r="J95" s="88"/>
      <c r="K95" s="89">
        <v>163.0</v>
      </c>
      <c r="L95" s="268">
        <v>12.0</v>
      </c>
      <c r="M95" s="89">
        <v>1956.0</v>
      </c>
      <c r="N95" s="106" t="s">
        <v>28</v>
      </c>
      <c r="O95" s="106" t="s">
        <v>29</v>
      </c>
      <c r="P95" s="106" t="s">
        <v>40</v>
      </c>
      <c r="Q95" s="91"/>
      <c r="R95" s="106" t="s">
        <v>233</v>
      </c>
      <c r="S95" s="106" t="s">
        <v>31</v>
      </c>
      <c r="T95" s="245" t="s">
        <v>1391</v>
      </c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</row>
    <row r="96">
      <c r="A96" s="12">
        <v>92.0</v>
      </c>
      <c r="B96" s="106" t="s">
        <v>1392</v>
      </c>
      <c r="C96" s="86" t="s">
        <v>1393</v>
      </c>
      <c r="D96" s="106" t="s">
        <v>1394</v>
      </c>
      <c r="E96" s="106" t="s">
        <v>1364</v>
      </c>
      <c r="F96" s="106" t="s">
        <v>1395</v>
      </c>
      <c r="G96" s="106">
        <v>18.0</v>
      </c>
      <c r="H96" s="106" t="s">
        <v>1396</v>
      </c>
      <c r="I96" s="108">
        <v>46091.0</v>
      </c>
      <c r="J96" s="88"/>
      <c r="K96" s="89">
        <v>6580.0</v>
      </c>
      <c r="L96" s="268">
        <v>1.0</v>
      </c>
      <c r="M96" s="89">
        <f>K96*1</f>
        <v>6580</v>
      </c>
      <c r="N96" s="86" t="s">
        <v>28</v>
      </c>
      <c r="O96" s="106" t="s">
        <v>29</v>
      </c>
      <c r="P96" s="106" t="s">
        <v>40</v>
      </c>
      <c r="Q96" s="91"/>
      <c r="R96" s="106" t="s">
        <v>73</v>
      </c>
      <c r="S96" s="106" t="s">
        <v>31</v>
      </c>
      <c r="T96" s="244" t="s">
        <v>1397</v>
      </c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</row>
    <row r="97">
      <c r="A97" s="12">
        <v>93.0</v>
      </c>
      <c r="B97" s="86" t="s">
        <v>1398</v>
      </c>
      <c r="C97" s="106" t="s">
        <v>1399</v>
      </c>
      <c r="D97" s="106" t="s">
        <v>1400</v>
      </c>
      <c r="E97" s="106" t="s">
        <v>1401</v>
      </c>
      <c r="F97" s="106" t="s">
        <v>1402</v>
      </c>
      <c r="G97" s="106">
        <v>90.0</v>
      </c>
      <c r="H97" s="106" t="s">
        <v>1359</v>
      </c>
      <c r="I97" s="108">
        <v>46091.0</v>
      </c>
      <c r="J97" s="88"/>
      <c r="K97" s="89">
        <v>910.89</v>
      </c>
      <c r="L97" s="268">
        <v>12.0</v>
      </c>
      <c r="M97" s="89">
        <v>10930.68</v>
      </c>
      <c r="N97" s="86" t="s">
        <v>28</v>
      </c>
      <c r="O97" s="106" t="s">
        <v>29</v>
      </c>
      <c r="P97" s="106" t="s">
        <v>40</v>
      </c>
      <c r="Q97" s="91"/>
      <c r="R97" s="106" t="s">
        <v>73</v>
      </c>
      <c r="S97" s="106" t="s">
        <v>31</v>
      </c>
      <c r="T97" s="244" t="s">
        <v>1403</v>
      </c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</row>
    <row r="98">
      <c r="A98" s="12">
        <v>94.0</v>
      </c>
      <c r="B98" s="106" t="s">
        <v>1404</v>
      </c>
      <c r="C98" s="106" t="s">
        <v>1405</v>
      </c>
      <c r="D98" s="106" t="s">
        <v>1406</v>
      </c>
      <c r="E98" s="106" t="s">
        <v>1407</v>
      </c>
      <c r="F98" s="106" t="s">
        <v>1408</v>
      </c>
      <c r="G98" s="86">
        <v>3.0</v>
      </c>
      <c r="H98" s="106" t="s">
        <v>1409</v>
      </c>
      <c r="I98" s="108">
        <v>46092.0</v>
      </c>
      <c r="J98" s="108">
        <v>46099.0</v>
      </c>
      <c r="K98" s="89">
        <v>565.0</v>
      </c>
      <c r="L98" s="268" t="s">
        <v>1278</v>
      </c>
      <c r="M98" s="89">
        <f t="shared" ref="M98:M99" si="15">K98*4</f>
        <v>2260</v>
      </c>
      <c r="N98" s="86" t="s">
        <v>71</v>
      </c>
      <c r="O98" s="106" t="s">
        <v>91</v>
      </c>
      <c r="P98" s="86" t="s">
        <v>72</v>
      </c>
      <c r="Q98" s="86">
        <v>2601.0</v>
      </c>
      <c r="R98" s="106" t="s">
        <v>233</v>
      </c>
      <c r="S98" s="106" t="s">
        <v>31</v>
      </c>
      <c r="T98" s="244" t="s">
        <v>1410</v>
      </c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</row>
    <row r="99">
      <c r="A99" s="12">
        <v>95.0</v>
      </c>
      <c r="B99" s="106" t="s">
        <v>1404</v>
      </c>
      <c r="C99" s="106" t="s">
        <v>1405</v>
      </c>
      <c r="D99" s="106" t="s">
        <v>1406</v>
      </c>
      <c r="E99" s="106" t="s">
        <v>1407</v>
      </c>
      <c r="F99" s="106" t="s">
        <v>1408</v>
      </c>
      <c r="G99" s="86">
        <v>3.0</v>
      </c>
      <c r="H99" s="106" t="s">
        <v>254</v>
      </c>
      <c r="I99" s="108">
        <v>46099.0</v>
      </c>
      <c r="J99" s="108">
        <v>46099.0</v>
      </c>
      <c r="K99" s="89">
        <v>250.0</v>
      </c>
      <c r="L99" s="268" t="s">
        <v>1278</v>
      </c>
      <c r="M99" s="89">
        <f t="shared" si="15"/>
        <v>1000</v>
      </c>
      <c r="N99" s="86" t="s">
        <v>71</v>
      </c>
      <c r="O99" s="106" t="s">
        <v>91</v>
      </c>
      <c r="P99" s="86" t="s">
        <v>72</v>
      </c>
      <c r="Q99" s="86">
        <v>2613.0</v>
      </c>
      <c r="R99" s="106" t="s">
        <v>233</v>
      </c>
      <c r="S99" s="106" t="s">
        <v>31</v>
      </c>
      <c r="T99" s="244" t="s">
        <v>1411</v>
      </c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</row>
    <row r="100">
      <c r="A100" s="12">
        <v>96.0</v>
      </c>
      <c r="B100" s="106" t="s">
        <v>1412</v>
      </c>
      <c r="C100" s="106" t="s">
        <v>1413</v>
      </c>
      <c r="D100" s="106" t="s">
        <v>1414</v>
      </c>
      <c r="E100" s="106" t="s">
        <v>1415</v>
      </c>
      <c r="F100" s="106" t="s">
        <v>1416</v>
      </c>
      <c r="G100" s="106">
        <v>1.0</v>
      </c>
      <c r="H100" s="106" t="s">
        <v>1417</v>
      </c>
      <c r="I100" s="108">
        <v>46092.0</v>
      </c>
      <c r="J100" s="247">
        <v>46094.0</v>
      </c>
      <c r="K100" s="89">
        <v>1000.0</v>
      </c>
      <c r="L100" s="268">
        <v>1.0</v>
      </c>
      <c r="M100" s="89">
        <f t="shared" ref="M100:M101" si="16">K100*1</f>
        <v>1000</v>
      </c>
      <c r="N100" s="106" t="s">
        <v>71</v>
      </c>
      <c r="O100" s="106" t="s">
        <v>29</v>
      </c>
      <c r="P100" s="106" t="s">
        <v>72</v>
      </c>
      <c r="Q100" s="106">
        <v>2591.0</v>
      </c>
      <c r="R100" s="106" t="s">
        <v>233</v>
      </c>
      <c r="S100" s="106" t="s">
        <v>31</v>
      </c>
      <c r="T100" s="235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</row>
    <row r="101">
      <c r="A101" s="12">
        <v>97.0</v>
      </c>
      <c r="B101" s="205" t="s">
        <v>1418</v>
      </c>
      <c r="C101" s="205" t="s">
        <v>1419</v>
      </c>
      <c r="D101" s="106" t="s">
        <v>1420</v>
      </c>
      <c r="E101" s="106" t="s">
        <v>1421</v>
      </c>
      <c r="F101" s="106" t="s">
        <v>1422</v>
      </c>
      <c r="G101" s="106">
        <v>5.0</v>
      </c>
      <c r="H101" s="86" t="s">
        <v>1423</v>
      </c>
      <c r="I101" s="108">
        <v>46092.0</v>
      </c>
      <c r="J101" s="88"/>
      <c r="K101" s="89">
        <v>10500.0</v>
      </c>
      <c r="L101" s="268">
        <v>1.0</v>
      </c>
      <c r="M101" s="89">
        <f t="shared" si="16"/>
        <v>10500</v>
      </c>
      <c r="N101" s="106" t="s">
        <v>58</v>
      </c>
      <c r="O101" s="106" t="s">
        <v>29</v>
      </c>
      <c r="P101" s="106" t="s">
        <v>40</v>
      </c>
      <c r="Q101" s="91"/>
      <c r="R101" s="106" t="s">
        <v>73</v>
      </c>
      <c r="S101" s="106" t="s">
        <v>31</v>
      </c>
      <c r="T101" s="244" t="s">
        <v>1424</v>
      </c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</row>
    <row r="102">
      <c r="A102" s="12">
        <v>98.0</v>
      </c>
      <c r="B102" s="205" t="s">
        <v>1418</v>
      </c>
      <c r="C102" s="205" t="s">
        <v>1419</v>
      </c>
      <c r="D102" s="106" t="s">
        <v>1420</v>
      </c>
      <c r="E102" s="106" t="s">
        <v>1421</v>
      </c>
      <c r="F102" s="106" t="s">
        <v>1422</v>
      </c>
      <c r="G102" s="106">
        <v>5.0</v>
      </c>
      <c r="H102" s="106" t="s">
        <v>1359</v>
      </c>
      <c r="I102" s="108">
        <v>46092.0</v>
      </c>
      <c r="J102" s="88"/>
      <c r="K102" s="89">
        <v>225.0</v>
      </c>
      <c r="L102" s="268" t="s">
        <v>1178</v>
      </c>
      <c r="M102" s="89">
        <f>K102*12</f>
        <v>2700</v>
      </c>
      <c r="N102" s="106" t="s">
        <v>58</v>
      </c>
      <c r="O102" s="106" t="s">
        <v>29</v>
      </c>
      <c r="P102" s="106" t="s">
        <v>40</v>
      </c>
      <c r="Q102" s="91"/>
      <c r="R102" s="106" t="s">
        <v>73</v>
      </c>
      <c r="S102" s="106" t="s">
        <v>31</v>
      </c>
      <c r="T102" s="244" t="s">
        <v>1424</v>
      </c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</row>
    <row r="103">
      <c r="A103" s="12">
        <v>99.0</v>
      </c>
      <c r="B103" s="106" t="s">
        <v>1425</v>
      </c>
      <c r="C103" s="106" t="s">
        <v>1426</v>
      </c>
      <c r="D103" s="106" t="s">
        <v>1427</v>
      </c>
      <c r="E103" s="106" t="s">
        <v>63</v>
      </c>
      <c r="F103" s="106" t="s">
        <v>64</v>
      </c>
      <c r="G103" s="106">
        <v>2.0</v>
      </c>
      <c r="H103" s="106" t="s">
        <v>1359</v>
      </c>
      <c r="I103" s="108">
        <v>46093.0</v>
      </c>
      <c r="J103" s="88"/>
      <c r="K103" s="89">
        <v>145.0</v>
      </c>
      <c r="L103" s="270">
        <v>12.0</v>
      </c>
      <c r="M103" s="89">
        <v>1740.0</v>
      </c>
      <c r="N103" s="106" t="s">
        <v>58</v>
      </c>
      <c r="O103" s="106" t="s">
        <v>29</v>
      </c>
      <c r="P103" s="106" t="s">
        <v>40</v>
      </c>
      <c r="Q103" s="91"/>
      <c r="R103" s="106" t="s">
        <v>73</v>
      </c>
      <c r="S103" s="106" t="s">
        <v>31</v>
      </c>
      <c r="T103" s="236" t="s">
        <v>1428</v>
      </c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</row>
    <row r="104">
      <c r="A104" s="12">
        <v>100.0</v>
      </c>
      <c r="B104" s="106" t="s">
        <v>1429</v>
      </c>
      <c r="C104" s="106" t="s">
        <v>1430</v>
      </c>
      <c r="D104" s="106" t="s">
        <v>1431</v>
      </c>
      <c r="E104" s="106" t="s">
        <v>1432</v>
      </c>
      <c r="F104" s="106" t="s">
        <v>1433</v>
      </c>
      <c r="G104" s="106">
        <v>4.0</v>
      </c>
      <c r="H104" s="106" t="s">
        <v>1434</v>
      </c>
      <c r="I104" s="108">
        <v>46093.0</v>
      </c>
      <c r="J104" s="91"/>
      <c r="K104" s="89">
        <v>257.0</v>
      </c>
      <c r="L104" s="270">
        <v>12.0</v>
      </c>
      <c r="M104" s="89">
        <v>3084.0</v>
      </c>
      <c r="N104" s="106" t="s">
        <v>58</v>
      </c>
      <c r="O104" s="106" t="s">
        <v>29</v>
      </c>
      <c r="P104" s="106" t="s">
        <v>40</v>
      </c>
      <c r="Q104" s="91"/>
      <c r="R104" s="106" t="s">
        <v>73</v>
      </c>
      <c r="S104" s="106" t="s">
        <v>31</v>
      </c>
      <c r="T104" s="236" t="s">
        <v>1435</v>
      </c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</row>
    <row r="105">
      <c r="A105" s="12">
        <v>101.0</v>
      </c>
      <c r="B105" s="106" t="s">
        <v>1436</v>
      </c>
      <c r="C105" s="205" t="s">
        <v>1437</v>
      </c>
      <c r="D105" s="106" t="s">
        <v>1438</v>
      </c>
      <c r="E105" s="205" t="s">
        <v>1439</v>
      </c>
      <c r="F105" s="106" t="s">
        <v>1422</v>
      </c>
      <c r="G105" s="106">
        <v>1.0</v>
      </c>
      <c r="H105" s="106" t="s">
        <v>1440</v>
      </c>
      <c r="I105" s="108">
        <v>46092.0</v>
      </c>
      <c r="J105" s="108">
        <v>46093.0</v>
      </c>
      <c r="K105" s="89">
        <v>880.0</v>
      </c>
      <c r="L105" s="270">
        <v>1.0</v>
      </c>
      <c r="M105" s="238">
        <f>K105*1</f>
        <v>880</v>
      </c>
      <c r="N105" s="106" t="s">
        <v>71</v>
      </c>
      <c r="O105" s="106" t="s">
        <v>29</v>
      </c>
      <c r="P105" s="106" t="s">
        <v>72</v>
      </c>
      <c r="Q105" s="106">
        <v>2581.0</v>
      </c>
      <c r="R105" s="106" t="s">
        <v>73</v>
      </c>
      <c r="S105" s="106" t="s">
        <v>31</v>
      </c>
      <c r="T105" s="235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</row>
    <row r="106">
      <c r="A106" s="12">
        <v>102.0</v>
      </c>
      <c r="B106" s="86" t="s">
        <v>1441</v>
      </c>
      <c r="C106" s="86" t="s">
        <v>1442</v>
      </c>
      <c r="D106" s="86" t="s">
        <v>978</v>
      </c>
      <c r="E106" s="86" t="s">
        <v>1443</v>
      </c>
      <c r="F106" s="86" t="s">
        <v>1444</v>
      </c>
      <c r="G106" s="86">
        <v>20.0</v>
      </c>
      <c r="H106" s="86" t="s">
        <v>65</v>
      </c>
      <c r="I106" s="108">
        <v>46097.0</v>
      </c>
      <c r="J106" s="91"/>
      <c r="K106" s="89">
        <v>283.81</v>
      </c>
      <c r="L106" s="86">
        <v>12.0</v>
      </c>
      <c r="M106" s="89">
        <f t="shared" ref="M106:M113" si="17">K106*12</f>
        <v>3405.72</v>
      </c>
      <c r="N106" s="86" t="s">
        <v>58</v>
      </c>
      <c r="O106" s="106" t="s">
        <v>29</v>
      </c>
      <c r="P106" s="86" t="s">
        <v>40</v>
      </c>
      <c r="Q106" s="91"/>
      <c r="R106" s="106" t="s">
        <v>73</v>
      </c>
      <c r="S106" s="86" t="s">
        <v>148</v>
      </c>
      <c r="T106" s="235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</row>
    <row r="107">
      <c r="A107" s="12">
        <v>103.0</v>
      </c>
      <c r="B107" s="86" t="s">
        <v>1445</v>
      </c>
      <c r="C107" s="86" t="s">
        <v>1446</v>
      </c>
      <c r="D107" s="86" t="s">
        <v>1447</v>
      </c>
      <c r="E107" s="86" t="s">
        <v>1448</v>
      </c>
      <c r="F107" s="86" t="s">
        <v>1449</v>
      </c>
      <c r="G107" s="86">
        <v>21.0</v>
      </c>
      <c r="H107" s="86" t="s">
        <v>65</v>
      </c>
      <c r="I107" s="108">
        <v>46097.0</v>
      </c>
      <c r="J107" s="91"/>
      <c r="K107" s="89">
        <v>314.0</v>
      </c>
      <c r="L107" s="86">
        <v>12.0</v>
      </c>
      <c r="M107" s="89">
        <f t="shared" si="17"/>
        <v>3768</v>
      </c>
      <c r="N107" s="86" t="s">
        <v>58</v>
      </c>
      <c r="O107" s="106" t="s">
        <v>29</v>
      </c>
      <c r="P107" s="86" t="s">
        <v>40</v>
      </c>
      <c r="Q107" s="91"/>
      <c r="R107" s="86" t="s">
        <v>41</v>
      </c>
      <c r="S107" s="86" t="s">
        <v>148</v>
      </c>
      <c r="T107" s="235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</row>
    <row r="108">
      <c r="A108" s="12">
        <v>104.0</v>
      </c>
      <c r="B108" s="86" t="s">
        <v>1450</v>
      </c>
      <c r="C108" s="86" t="s">
        <v>1451</v>
      </c>
      <c r="D108" s="86" t="s">
        <v>1452</v>
      </c>
      <c r="E108" s="86" t="s">
        <v>1453</v>
      </c>
      <c r="F108" s="86" t="s">
        <v>1454</v>
      </c>
      <c r="G108" s="86">
        <v>11.0</v>
      </c>
      <c r="H108" s="86" t="s">
        <v>65</v>
      </c>
      <c r="I108" s="108">
        <v>46097.0</v>
      </c>
      <c r="J108" s="91"/>
      <c r="K108" s="89">
        <v>199.0</v>
      </c>
      <c r="L108" s="86">
        <v>12.0</v>
      </c>
      <c r="M108" s="89">
        <f t="shared" si="17"/>
        <v>2388</v>
      </c>
      <c r="N108" s="86" t="s">
        <v>58</v>
      </c>
      <c r="O108" s="106" t="s">
        <v>29</v>
      </c>
      <c r="P108" s="86" t="s">
        <v>40</v>
      </c>
      <c r="Q108" s="91"/>
      <c r="R108" s="106" t="s">
        <v>73</v>
      </c>
      <c r="S108" s="86" t="s">
        <v>148</v>
      </c>
      <c r="T108" s="235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</row>
    <row r="109">
      <c r="A109" s="12">
        <v>105.0</v>
      </c>
      <c r="B109" s="106" t="s">
        <v>1455</v>
      </c>
      <c r="C109" s="106" t="s">
        <v>1456</v>
      </c>
      <c r="D109" s="106" t="s">
        <v>530</v>
      </c>
      <c r="E109" s="106" t="s">
        <v>1457</v>
      </c>
      <c r="F109" s="106" t="s">
        <v>1458</v>
      </c>
      <c r="G109" s="106">
        <v>31.0</v>
      </c>
      <c r="H109" s="106" t="s">
        <v>65</v>
      </c>
      <c r="I109" s="108">
        <v>46094.0</v>
      </c>
      <c r="J109" s="247">
        <v>46104.0</v>
      </c>
      <c r="K109" s="89">
        <v>434.0</v>
      </c>
      <c r="L109" s="268">
        <v>12.0</v>
      </c>
      <c r="M109" s="89">
        <f t="shared" si="17"/>
        <v>5208</v>
      </c>
      <c r="N109" s="106" t="s">
        <v>71</v>
      </c>
      <c r="O109" s="106" t="s">
        <v>29</v>
      </c>
      <c r="P109" s="106" t="s">
        <v>72</v>
      </c>
      <c r="Q109" s="106">
        <v>2628.0</v>
      </c>
      <c r="R109" s="106" t="s">
        <v>233</v>
      </c>
      <c r="S109" s="106" t="s">
        <v>148</v>
      </c>
      <c r="T109" s="235" t="s">
        <v>1459</v>
      </c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</row>
    <row r="110">
      <c r="A110" s="12">
        <v>106.0</v>
      </c>
      <c r="B110" s="86" t="s">
        <v>156</v>
      </c>
      <c r="C110" s="86" t="s">
        <v>157</v>
      </c>
      <c r="D110" s="86" t="s">
        <v>1460</v>
      </c>
      <c r="E110" s="86" t="s">
        <v>159</v>
      </c>
      <c r="F110" s="86" t="s">
        <v>160</v>
      </c>
      <c r="G110" s="86">
        <v>9.0</v>
      </c>
      <c r="H110" s="86" t="s">
        <v>65</v>
      </c>
      <c r="I110" s="108">
        <v>46093.0</v>
      </c>
      <c r="J110" s="91"/>
      <c r="K110" s="89">
        <v>161.38</v>
      </c>
      <c r="L110" s="86">
        <v>12.0</v>
      </c>
      <c r="M110" s="89">
        <f t="shared" si="17"/>
        <v>1936.56</v>
      </c>
      <c r="N110" s="86" t="s">
        <v>28</v>
      </c>
      <c r="O110" s="86" t="s">
        <v>29</v>
      </c>
      <c r="P110" s="86" t="s">
        <v>40</v>
      </c>
      <c r="Q110" s="91"/>
      <c r="R110" s="86" t="s">
        <v>73</v>
      </c>
      <c r="S110" s="86" t="s">
        <v>148</v>
      </c>
      <c r="T110" s="236" t="s">
        <v>1461</v>
      </c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</row>
    <row r="111">
      <c r="A111" s="12">
        <v>107.0</v>
      </c>
      <c r="B111" s="86" t="s">
        <v>1462</v>
      </c>
      <c r="C111" s="86" t="s">
        <v>1463</v>
      </c>
      <c r="D111" s="86" t="s">
        <v>1464</v>
      </c>
      <c r="E111" s="86" t="s">
        <v>1465</v>
      </c>
      <c r="F111" s="86" t="s">
        <v>1466</v>
      </c>
      <c r="G111" s="86">
        <v>16.0</v>
      </c>
      <c r="H111" s="86" t="s">
        <v>65</v>
      </c>
      <c r="I111" s="108">
        <v>46094.0</v>
      </c>
      <c r="J111" s="91"/>
      <c r="K111" s="89">
        <v>264.64</v>
      </c>
      <c r="L111" s="86">
        <v>12.0</v>
      </c>
      <c r="M111" s="89">
        <f t="shared" si="17"/>
        <v>3175.68</v>
      </c>
      <c r="N111" s="86" t="s">
        <v>58</v>
      </c>
      <c r="O111" s="86" t="s">
        <v>29</v>
      </c>
      <c r="P111" s="86" t="s">
        <v>40</v>
      </c>
      <c r="Q111" s="91"/>
      <c r="R111" s="86" t="s">
        <v>73</v>
      </c>
      <c r="S111" s="86" t="s">
        <v>148</v>
      </c>
      <c r="T111" s="235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</row>
    <row r="112">
      <c r="A112" s="12">
        <v>108.0</v>
      </c>
      <c r="B112" s="86" t="s">
        <v>1467</v>
      </c>
      <c r="C112" s="86" t="s">
        <v>1468</v>
      </c>
      <c r="D112" s="86" t="s">
        <v>1469</v>
      </c>
      <c r="E112" s="86" t="s">
        <v>1470</v>
      </c>
      <c r="F112" s="86" t="s">
        <v>1471</v>
      </c>
      <c r="G112" s="86">
        <v>2.0</v>
      </c>
      <c r="H112" s="86" t="s">
        <v>65</v>
      </c>
      <c r="I112" s="108">
        <v>46097.0</v>
      </c>
      <c r="J112" s="91"/>
      <c r="K112" s="89">
        <v>145.0</v>
      </c>
      <c r="L112" s="86">
        <v>12.0</v>
      </c>
      <c r="M112" s="89">
        <f t="shared" si="17"/>
        <v>1740</v>
      </c>
      <c r="N112" s="86" t="s">
        <v>28</v>
      </c>
      <c r="O112" s="86" t="s">
        <v>29</v>
      </c>
      <c r="P112" s="86" t="s">
        <v>40</v>
      </c>
      <c r="Q112" s="91"/>
      <c r="R112" s="86" t="s">
        <v>233</v>
      </c>
      <c r="S112" s="106" t="s">
        <v>31</v>
      </c>
      <c r="T112" s="244" t="s">
        <v>1472</v>
      </c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</row>
    <row r="113">
      <c r="A113" s="12">
        <v>109.0</v>
      </c>
      <c r="B113" s="176" t="s">
        <v>1473</v>
      </c>
      <c r="C113" s="86" t="s">
        <v>1474</v>
      </c>
      <c r="D113" s="86" t="s">
        <v>1475</v>
      </c>
      <c r="E113" s="86" t="s">
        <v>1476</v>
      </c>
      <c r="F113" s="86" t="s">
        <v>1477</v>
      </c>
      <c r="G113" s="86">
        <v>12.0</v>
      </c>
      <c r="H113" s="86" t="s">
        <v>65</v>
      </c>
      <c r="I113" s="108">
        <v>46097.0</v>
      </c>
      <c r="J113" s="91"/>
      <c r="K113" s="89">
        <v>205.0</v>
      </c>
      <c r="L113" s="86">
        <v>12.0</v>
      </c>
      <c r="M113" s="89">
        <f t="shared" si="17"/>
        <v>2460</v>
      </c>
      <c r="N113" s="86" t="s">
        <v>58</v>
      </c>
      <c r="O113" s="86" t="s">
        <v>29</v>
      </c>
      <c r="P113" s="86" t="s">
        <v>40</v>
      </c>
      <c r="Q113" s="91"/>
      <c r="R113" s="86" t="s">
        <v>73</v>
      </c>
      <c r="S113" s="106" t="s">
        <v>31</v>
      </c>
      <c r="T113" s="244" t="s">
        <v>1478</v>
      </c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</row>
    <row r="114">
      <c r="A114" s="12">
        <v>110.0</v>
      </c>
      <c r="B114" s="86" t="s">
        <v>1479</v>
      </c>
      <c r="C114" s="86" t="s">
        <v>1480</v>
      </c>
      <c r="D114" s="86" t="s">
        <v>1481</v>
      </c>
      <c r="E114" s="86" t="s">
        <v>1482</v>
      </c>
      <c r="F114" s="86" t="s">
        <v>1483</v>
      </c>
      <c r="G114" s="86">
        <v>2.0</v>
      </c>
      <c r="H114" s="86" t="s">
        <v>1484</v>
      </c>
      <c r="I114" s="108">
        <v>46091.0</v>
      </c>
      <c r="J114" s="271">
        <v>46098.0</v>
      </c>
      <c r="K114" s="89" t="s">
        <v>57</v>
      </c>
      <c r="L114" s="86">
        <v>1.0</v>
      </c>
      <c r="M114" s="238">
        <v>2400.0</v>
      </c>
      <c r="N114" s="86" t="s">
        <v>71</v>
      </c>
      <c r="O114" s="86" t="s">
        <v>91</v>
      </c>
      <c r="P114" s="86" t="s">
        <v>72</v>
      </c>
      <c r="Q114" s="86">
        <v>2596.0</v>
      </c>
      <c r="R114" s="86" t="s">
        <v>73</v>
      </c>
      <c r="S114" s="86" t="s">
        <v>148</v>
      </c>
      <c r="T114" s="236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</row>
    <row r="115">
      <c r="A115" s="12">
        <v>111.0</v>
      </c>
      <c r="B115" s="86" t="s">
        <v>1485</v>
      </c>
      <c r="C115" s="86" t="s">
        <v>1486</v>
      </c>
      <c r="D115" s="86" t="s">
        <v>1487</v>
      </c>
      <c r="E115" s="86">
        <v>4.530256589E9</v>
      </c>
      <c r="F115" s="86" t="s">
        <v>1488</v>
      </c>
      <c r="G115" s="86">
        <v>1.0</v>
      </c>
      <c r="H115" s="86" t="s">
        <v>56</v>
      </c>
      <c r="I115" s="108">
        <v>46091.0</v>
      </c>
      <c r="J115" s="108">
        <v>46097.0</v>
      </c>
      <c r="K115" s="89" t="s">
        <v>57</v>
      </c>
      <c r="L115" s="86">
        <v>1.0</v>
      </c>
      <c r="M115" s="238">
        <v>400.0</v>
      </c>
      <c r="N115" s="86" t="s">
        <v>71</v>
      </c>
      <c r="O115" s="86" t="s">
        <v>91</v>
      </c>
      <c r="P115" s="86" t="s">
        <v>72</v>
      </c>
      <c r="Q115" s="86">
        <v>2595.0</v>
      </c>
      <c r="R115" s="86" t="s">
        <v>73</v>
      </c>
      <c r="S115" s="86" t="s">
        <v>129</v>
      </c>
      <c r="T115" s="235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</row>
    <row r="116">
      <c r="A116" s="12">
        <v>112.0</v>
      </c>
      <c r="B116" s="110" t="s">
        <v>1489</v>
      </c>
      <c r="C116" s="110" t="s">
        <v>1490</v>
      </c>
      <c r="D116" s="189" t="s">
        <v>1491</v>
      </c>
      <c r="E116" s="86" t="s">
        <v>1492</v>
      </c>
      <c r="F116" s="86" t="s">
        <v>1493</v>
      </c>
      <c r="G116" s="86">
        <v>5.0</v>
      </c>
      <c r="H116" s="86" t="s">
        <v>65</v>
      </c>
      <c r="I116" s="108">
        <v>46097.0</v>
      </c>
      <c r="J116" s="108">
        <v>46097.0</v>
      </c>
      <c r="K116" s="89">
        <v>163.0</v>
      </c>
      <c r="L116" s="86">
        <v>12.0</v>
      </c>
      <c r="M116" s="238">
        <f t="shared" ref="M116:M117" si="18">K116*12</f>
        <v>1956</v>
      </c>
      <c r="N116" s="86" t="s">
        <v>71</v>
      </c>
      <c r="O116" s="86" t="s">
        <v>29</v>
      </c>
      <c r="P116" s="86" t="s">
        <v>72</v>
      </c>
      <c r="Q116" s="86">
        <v>2594.0</v>
      </c>
      <c r="R116" s="86" t="s">
        <v>41</v>
      </c>
      <c r="S116" s="86" t="s">
        <v>148</v>
      </c>
      <c r="T116" s="235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</row>
    <row r="117">
      <c r="A117" s="12">
        <v>113.0</v>
      </c>
      <c r="B117" s="86" t="s">
        <v>1494</v>
      </c>
      <c r="C117" s="90" t="s">
        <v>1495</v>
      </c>
      <c r="D117" s="86" t="s">
        <v>1496</v>
      </c>
      <c r="E117" s="86" t="s">
        <v>1497</v>
      </c>
      <c r="F117" s="86" t="s">
        <v>1498</v>
      </c>
      <c r="G117" s="86">
        <v>33.0</v>
      </c>
      <c r="H117" s="86" t="s">
        <v>65</v>
      </c>
      <c r="I117" s="108">
        <v>46098.0</v>
      </c>
      <c r="J117" s="91"/>
      <c r="K117" s="89">
        <v>431.0</v>
      </c>
      <c r="L117" s="86">
        <v>12.0</v>
      </c>
      <c r="M117" s="238">
        <f t="shared" si="18"/>
        <v>5172</v>
      </c>
      <c r="N117" s="86" t="s">
        <v>58</v>
      </c>
      <c r="O117" s="86" t="s">
        <v>29</v>
      </c>
      <c r="P117" s="86" t="s">
        <v>40</v>
      </c>
      <c r="Q117" s="91"/>
      <c r="R117" s="86" t="s">
        <v>233</v>
      </c>
      <c r="S117" s="106" t="s">
        <v>31</v>
      </c>
      <c r="T117" s="244" t="s">
        <v>1499</v>
      </c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</row>
    <row r="118">
      <c r="A118" s="12">
        <v>114.0</v>
      </c>
      <c r="B118" s="176" t="s">
        <v>1500</v>
      </c>
      <c r="C118" s="90" t="s">
        <v>1501</v>
      </c>
      <c r="D118" s="86" t="s">
        <v>1502</v>
      </c>
      <c r="E118" s="86" t="s">
        <v>1503</v>
      </c>
      <c r="F118" s="86" t="s">
        <v>1504</v>
      </c>
      <c r="G118" s="86">
        <v>6.0</v>
      </c>
      <c r="H118" s="86" t="s">
        <v>1505</v>
      </c>
      <c r="I118" s="108">
        <v>46083.0</v>
      </c>
      <c r="J118" s="108">
        <v>46098.0</v>
      </c>
      <c r="K118" s="89" t="s">
        <v>1506</v>
      </c>
      <c r="L118" s="86">
        <v>1.0</v>
      </c>
      <c r="M118" s="89">
        <v>1250.0</v>
      </c>
      <c r="N118" s="86" t="s">
        <v>71</v>
      </c>
      <c r="O118" s="86" t="s">
        <v>91</v>
      </c>
      <c r="P118" s="86" t="s">
        <v>72</v>
      </c>
      <c r="Q118" s="86">
        <v>2686.0</v>
      </c>
      <c r="R118" s="86" t="s">
        <v>73</v>
      </c>
      <c r="S118" s="86" t="s">
        <v>129</v>
      </c>
      <c r="T118" s="235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</row>
    <row r="119">
      <c r="A119" s="12">
        <v>115.0</v>
      </c>
      <c r="B119" s="86" t="s">
        <v>1507</v>
      </c>
      <c r="C119" s="86" t="s">
        <v>1508</v>
      </c>
      <c r="D119" s="86" t="s">
        <v>1509</v>
      </c>
      <c r="E119" s="86" t="s">
        <v>709</v>
      </c>
      <c r="F119" s="86" t="s">
        <v>1510</v>
      </c>
      <c r="G119" s="86" t="s">
        <v>26</v>
      </c>
      <c r="H119" s="86" t="s">
        <v>711</v>
      </c>
      <c r="I119" s="108">
        <v>46023.0</v>
      </c>
      <c r="J119" s="108">
        <v>46098.0</v>
      </c>
      <c r="K119" s="89">
        <v>350.0</v>
      </c>
      <c r="L119" s="86">
        <v>12.0</v>
      </c>
      <c r="M119" s="89">
        <f t="shared" ref="M119:M120" si="19">K119*12</f>
        <v>4200</v>
      </c>
      <c r="N119" s="86" t="s">
        <v>71</v>
      </c>
      <c r="O119" s="86" t="s">
        <v>91</v>
      </c>
      <c r="P119" s="86" t="s">
        <v>72</v>
      </c>
      <c r="Q119" s="86">
        <v>2599.0</v>
      </c>
      <c r="R119" s="86" t="s">
        <v>73</v>
      </c>
      <c r="S119" s="86" t="s">
        <v>148</v>
      </c>
      <c r="T119" s="235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</row>
    <row r="120">
      <c r="A120" s="12">
        <v>116.0</v>
      </c>
      <c r="B120" s="110" t="s">
        <v>500</v>
      </c>
      <c r="C120" s="86" t="s">
        <v>501</v>
      </c>
      <c r="D120" s="86" t="s">
        <v>530</v>
      </c>
      <c r="E120" s="86" t="s">
        <v>503</v>
      </c>
      <c r="F120" s="86" t="s">
        <v>504</v>
      </c>
      <c r="G120" s="86">
        <v>23.0</v>
      </c>
      <c r="H120" s="86" t="s">
        <v>65</v>
      </c>
      <c r="I120" s="108">
        <v>46052.0</v>
      </c>
      <c r="J120" s="108">
        <v>46100.0</v>
      </c>
      <c r="K120" s="89">
        <v>340.48</v>
      </c>
      <c r="L120" s="86">
        <v>12.0</v>
      </c>
      <c r="M120" s="89">
        <f t="shared" si="19"/>
        <v>4085.76</v>
      </c>
      <c r="N120" s="86" t="s">
        <v>71</v>
      </c>
      <c r="O120" s="86" t="s">
        <v>29</v>
      </c>
      <c r="P120" s="86" t="s">
        <v>72</v>
      </c>
      <c r="Q120" s="86">
        <v>2616.0</v>
      </c>
      <c r="R120" s="86" t="s">
        <v>73</v>
      </c>
      <c r="S120" s="86" t="s">
        <v>148</v>
      </c>
      <c r="T120" s="235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</row>
    <row r="121">
      <c r="A121" s="12">
        <v>117.0</v>
      </c>
      <c r="B121" s="110" t="s">
        <v>1511</v>
      </c>
      <c r="C121" s="86" t="s">
        <v>1512</v>
      </c>
      <c r="D121" s="86" t="s">
        <v>1513</v>
      </c>
      <c r="E121" s="86" t="s">
        <v>1514</v>
      </c>
      <c r="F121" s="86" t="s">
        <v>1515</v>
      </c>
      <c r="G121" s="86">
        <v>1.0</v>
      </c>
      <c r="H121" s="86" t="s">
        <v>1516</v>
      </c>
      <c r="I121" s="108">
        <v>46098.0</v>
      </c>
      <c r="J121" s="108">
        <v>46098.0</v>
      </c>
      <c r="K121" s="89" t="s">
        <v>1268</v>
      </c>
      <c r="L121" s="86">
        <v>1.0</v>
      </c>
      <c r="M121" s="89">
        <v>1400.0</v>
      </c>
      <c r="N121" s="86" t="s">
        <v>71</v>
      </c>
      <c r="O121" s="86" t="s">
        <v>91</v>
      </c>
      <c r="P121" s="86" t="s">
        <v>72</v>
      </c>
      <c r="Q121" s="86">
        <v>2600.0</v>
      </c>
      <c r="R121" s="86" t="s">
        <v>73</v>
      </c>
      <c r="S121" s="86" t="s">
        <v>129</v>
      </c>
      <c r="T121" s="235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</row>
    <row r="122">
      <c r="A122" s="12">
        <v>118.0</v>
      </c>
      <c r="B122" s="106" t="s">
        <v>1517</v>
      </c>
      <c r="C122" s="106" t="s">
        <v>1518</v>
      </c>
      <c r="D122" s="106" t="s">
        <v>1519</v>
      </c>
      <c r="E122" s="106" t="s">
        <v>1520</v>
      </c>
      <c r="F122" s="106" t="s">
        <v>1521</v>
      </c>
      <c r="G122" s="106">
        <v>5.0</v>
      </c>
      <c r="H122" s="107" t="s">
        <v>123</v>
      </c>
      <c r="I122" s="108">
        <v>46093.0</v>
      </c>
      <c r="J122" s="108" t="s">
        <v>1522</v>
      </c>
      <c r="K122" s="89">
        <v>163.0</v>
      </c>
      <c r="L122" s="254" t="s">
        <v>1178</v>
      </c>
      <c r="M122" s="89">
        <f t="shared" ref="M122:M123" si="20">K122*12</f>
        <v>1956</v>
      </c>
      <c r="N122" s="106" t="s">
        <v>71</v>
      </c>
      <c r="O122" s="106" t="s">
        <v>29</v>
      </c>
      <c r="P122" s="106" t="s">
        <v>72</v>
      </c>
      <c r="Q122" s="107">
        <v>2573.0</v>
      </c>
      <c r="R122" s="86" t="s">
        <v>30</v>
      </c>
      <c r="S122" s="106" t="s">
        <v>110</v>
      </c>
      <c r="T122" s="250" t="s">
        <v>193</v>
      </c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</row>
    <row r="123">
      <c r="A123" s="12">
        <v>119.0</v>
      </c>
      <c r="B123" s="106" t="s">
        <v>1523</v>
      </c>
      <c r="C123" s="106" t="s">
        <v>1524</v>
      </c>
      <c r="D123" s="106" t="s">
        <v>1525</v>
      </c>
      <c r="E123" s="106" t="s">
        <v>1520</v>
      </c>
      <c r="F123" s="106" t="s">
        <v>1521</v>
      </c>
      <c r="G123" s="106">
        <v>5.0</v>
      </c>
      <c r="H123" s="107" t="s">
        <v>123</v>
      </c>
      <c r="I123" s="108">
        <v>46093.0</v>
      </c>
      <c r="J123" s="108">
        <v>46094.0</v>
      </c>
      <c r="K123" s="89">
        <v>163.0</v>
      </c>
      <c r="L123" s="254" t="s">
        <v>1178</v>
      </c>
      <c r="M123" s="89">
        <f t="shared" si="20"/>
        <v>1956</v>
      </c>
      <c r="N123" s="106" t="s">
        <v>71</v>
      </c>
      <c r="O123" s="106" t="s">
        <v>29</v>
      </c>
      <c r="P123" s="106" t="s">
        <v>72</v>
      </c>
      <c r="Q123" s="107">
        <v>2576.0</v>
      </c>
      <c r="R123" s="86" t="s">
        <v>30</v>
      </c>
      <c r="S123" s="106" t="s">
        <v>110</v>
      </c>
      <c r="T123" s="250" t="s">
        <v>193</v>
      </c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</row>
    <row r="124">
      <c r="A124" s="12">
        <v>120.0</v>
      </c>
      <c r="B124" s="106" t="s">
        <v>1526</v>
      </c>
      <c r="C124" s="90" t="s">
        <v>1527</v>
      </c>
      <c r="D124" s="86" t="s">
        <v>1528</v>
      </c>
      <c r="E124" s="272">
        <v>1.9981869289E10</v>
      </c>
      <c r="F124" s="86" t="s">
        <v>1529</v>
      </c>
      <c r="G124" s="86">
        <v>10.0</v>
      </c>
      <c r="H124" s="86" t="s">
        <v>499</v>
      </c>
      <c r="I124" s="108">
        <v>46098.0</v>
      </c>
      <c r="J124" s="108">
        <v>46098.0</v>
      </c>
      <c r="K124" s="89" t="s">
        <v>57</v>
      </c>
      <c r="L124" s="86">
        <v>1.0</v>
      </c>
      <c r="M124" s="89">
        <v>2464.0</v>
      </c>
      <c r="N124" s="86" t="s">
        <v>71</v>
      </c>
      <c r="O124" s="86" t="s">
        <v>91</v>
      </c>
      <c r="P124" s="86" t="s">
        <v>72</v>
      </c>
      <c r="Q124" s="86" t="s">
        <v>26</v>
      </c>
      <c r="R124" s="86" t="s">
        <v>73</v>
      </c>
      <c r="S124" s="86" t="s">
        <v>129</v>
      </c>
      <c r="T124" s="235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</row>
    <row r="125">
      <c r="A125" s="12">
        <v>121.0</v>
      </c>
      <c r="B125" s="176" t="s">
        <v>1530</v>
      </c>
      <c r="C125" s="86" t="s">
        <v>61</v>
      </c>
      <c r="D125" s="86" t="s">
        <v>1531</v>
      </c>
      <c r="E125" s="86" t="s">
        <v>63</v>
      </c>
      <c r="F125" s="86" t="s">
        <v>64</v>
      </c>
      <c r="G125" s="86">
        <v>6.0</v>
      </c>
      <c r="H125" s="86" t="s">
        <v>65</v>
      </c>
      <c r="I125" s="108">
        <v>46073.0</v>
      </c>
      <c r="J125" s="108">
        <v>46108.0</v>
      </c>
      <c r="K125" s="89">
        <v>187.26</v>
      </c>
      <c r="L125" s="86">
        <v>12.0</v>
      </c>
      <c r="M125" s="238">
        <f t="shared" ref="M125:M126" si="21">K125*12</f>
        <v>2247.12</v>
      </c>
      <c r="N125" s="86" t="s">
        <v>71</v>
      </c>
      <c r="O125" s="86" t="s">
        <v>29</v>
      </c>
      <c r="P125" s="86" t="s">
        <v>72</v>
      </c>
      <c r="Q125" s="176">
        <v>2668.0</v>
      </c>
      <c r="R125" s="86" t="s">
        <v>73</v>
      </c>
      <c r="S125" s="106" t="s">
        <v>31</v>
      </c>
      <c r="T125" s="244" t="s">
        <v>1532</v>
      </c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</row>
    <row r="126">
      <c r="A126" s="12">
        <v>122.0</v>
      </c>
      <c r="B126" s="106" t="s">
        <v>1533</v>
      </c>
      <c r="C126" s="90" t="s">
        <v>1534</v>
      </c>
      <c r="D126" s="86" t="s">
        <v>1535</v>
      </c>
      <c r="E126" s="273">
        <v>1.1981422082E10</v>
      </c>
      <c r="F126" s="86" t="s">
        <v>1536</v>
      </c>
      <c r="G126" s="86">
        <v>5.0</v>
      </c>
      <c r="H126" s="86" t="s">
        <v>1537</v>
      </c>
      <c r="I126" s="108">
        <v>46101.0</v>
      </c>
      <c r="J126" s="108">
        <v>46104.0</v>
      </c>
      <c r="K126" s="89">
        <v>145.0</v>
      </c>
      <c r="L126" s="86">
        <v>12.0</v>
      </c>
      <c r="M126" s="89">
        <f t="shared" si="21"/>
        <v>1740</v>
      </c>
      <c r="N126" s="86" t="s">
        <v>71</v>
      </c>
      <c r="O126" s="86" t="s">
        <v>29</v>
      </c>
      <c r="P126" s="86" t="s">
        <v>72</v>
      </c>
      <c r="Q126" s="176">
        <v>2629.0</v>
      </c>
      <c r="R126" s="106" t="s">
        <v>73</v>
      </c>
      <c r="S126" s="106" t="s">
        <v>129</v>
      </c>
      <c r="T126" s="235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</row>
    <row r="127" ht="14.25" customHeight="1">
      <c r="A127" s="12">
        <v>123.0</v>
      </c>
      <c r="B127" s="86" t="s">
        <v>1538</v>
      </c>
      <c r="C127" s="86" t="s">
        <v>1539</v>
      </c>
      <c r="D127" s="86" t="s">
        <v>1540</v>
      </c>
      <c r="E127" s="86" t="s">
        <v>1541</v>
      </c>
      <c r="F127" s="86" t="s">
        <v>1542</v>
      </c>
      <c r="G127" s="86">
        <v>7.0</v>
      </c>
      <c r="H127" s="106" t="s">
        <v>254</v>
      </c>
      <c r="I127" s="108">
        <v>46100.0</v>
      </c>
      <c r="J127" s="91"/>
      <c r="K127" s="89">
        <v>1000.0</v>
      </c>
      <c r="L127" s="86">
        <v>1.0</v>
      </c>
      <c r="M127" s="89">
        <f t="shared" ref="M127:M128" si="22">K127*1</f>
        <v>1000</v>
      </c>
      <c r="N127" s="86" t="s">
        <v>28</v>
      </c>
      <c r="O127" s="86" t="s">
        <v>29</v>
      </c>
      <c r="P127" s="86" t="s">
        <v>40</v>
      </c>
      <c r="Q127" s="91"/>
      <c r="R127" s="86" t="s">
        <v>73</v>
      </c>
      <c r="S127" s="106" t="s">
        <v>31</v>
      </c>
      <c r="T127" s="244" t="s">
        <v>1543</v>
      </c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</row>
    <row r="128">
      <c r="A128" s="12">
        <v>124.0</v>
      </c>
      <c r="B128" s="86" t="s">
        <v>1544</v>
      </c>
      <c r="C128" s="86" t="s">
        <v>1545</v>
      </c>
      <c r="D128" s="86" t="s">
        <v>1540</v>
      </c>
      <c r="E128" s="86" t="s">
        <v>1541</v>
      </c>
      <c r="F128" s="86" t="s">
        <v>1542</v>
      </c>
      <c r="G128" s="273">
        <v>8.0</v>
      </c>
      <c r="H128" s="106" t="s">
        <v>254</v>
      </c>
      <c r="I128" s="108">
        <v>46100.0</v>
      </c>
      <c r="J128" s="91"/>
      <c r="K128" s="89">
        <v>1000.0</v>
      </c>
      <c r="L128" s="86">
        <v>1.0</v>
      </c>
      <c r="M128" s="89">
        <f t="shared" si="22"/>
        <v>1000</v>
      </c>
      <c r="N128" s="86" t="s">
        <v>28</v>
      </c>
      <c r="O128" s="86" t="s">
        <v>29</v>
      </c>
      <c r="P128" s="86" t="s">
        <v>40</v>
      </c>
      <c r="Q128" s="91"/>
      <c r="R128" s="86" t="s">
        <v>73</v>
      </c>
      <c r="S128" s="106" t="s">
        <v>31</v>
      </c>
      <c r="T128" s="244" t="s">
        <v>1543</v>
      </c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</row>
    <row r="129">
      <c r="A129" s="12">
        <v>125.0</v>
      </c>
      <c r="B129" s="86" t="s">
        <v>1546</v>
      </c>
      <c r="C129" s="86" t="s">
        <v>1547</v>
      </c>
      <c r="D129" s="86" t="s">
        <v>1548</v>
      </c>
      <c r="E129" s="86" t="s">
        <v>1549</v>
      </c>
      <c r="F129" s="86" t="s">
        <v>1550</v>
      </c>
      <c r="G129" s="86">
        <v>2.0</v>
      </c>
      <c r="H129" s="86" t="s">
        <v>65</v>
      </c>
      <c r="I129" s="108">
        <v>46101.0</v>
      </c>
      <c r="J129" s="108">
        <v>46105.0</v>
      </c>
      <c r="K129" s="89">
        <v>123.25</v>
      </c>
      <c r="L129" s="86">
        <v>12.0</v>
      </c>
      <c r="M129" s="238">
        <f>K129*12</f>
        <v>1479</v>
      </c>
      <c r="N129" s="86" t="s">
        <v>71</v>
      </c>
      <c r="O129" s="86" t="s">
        <v>29</v>
      </c>
      <c r="P129" s="86" t="s">
        <v>72</v>
      </c>
      <c r="Q129" s="86">
        <v>2634.0</v>
      </c>
      <c r="R129" s="86" t="s">
        <v>73</v>
      </c>
      <c r="S129" s="106" t="s">
        <v>31</v>
      </c>
      <c r="T129" s="244" t="s">
        <v>1551</v>
      </c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</row>
    <row r="130">
      <c r="A130" s="12">
        <v>126.0</v>
      </c>
      <c r="B130" s="106" t="s">
        <v>1037</v>
      </c>
      <c r="C130" s="106" t="s">
        <v>1552</v>
      </c>
      <c r="D130" s="106" t="s">
        <v>1553</v>
      </c>
      <c r="E130" s="106" t="s">
        <v>1554</v>
      </c>
      <c r="F130" s="173" t="s">
        <v>1040</v>
      </c>
      <c r="G130" s="106">
        <v>3.0</v>
      </c>
      <c r="H130" s="106" t="s">
        <v>499</v>
      </c>
      <c r="I130" s="108">
        <v>46097.0</v>
      </c>
      <c r="J130" s="108">
        <v>46097.0</v>
      </c>
      <c r="K130" s="89">
        <f>M130/2</f>
        <v>397.5</v>
      </c>
      <c r="L130" s="254" t="s">
        <v>1555</v>
      </c>
      <c r="M130" s="89">
        <v>795.0</v>
      </c>
      <c r="N130" s="106" t="s">
        <v>71</v>
      </c>
      <c r="O130" s="106" t="s">
        <v>29</v>
      </c>
      <c r="P130" s="106" t="s">
        <v>72</v>
      </c>
      <c r="Q130" s="107" t="s">
        <v>399</v>
      </c>
      <c r="R130" s="106" t="s">
        <v>233</v>
      </c>
      <c r="S130" s="106" t="s">
        <v>110</v>
      </c>
      <c r="T130" s="250" t="s">
        <v>193</v>
      </c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</row>
    <row r="131">
      <c r="A131" s="12">
        <v>127.0</v>
      </c>
      <c r="B131" s="106" t="s">
        <v>1556</v>
      </c>
      <c r="C131" s="106" t="s">
        <v>1557</v>
      </c>
      <c r="D131" s="106" t="s">
        <v>1558</v>
      </c>
      <c r="E131" s="106" t="s">
        <v>1559</v>
      </c>
      <c r="F131" s="106" t="s">
        <v>1560</v>
      </c>
      <c r="G131" s="106">
        <v>99.0</v>
      </c>
      <c r="H131" s="106" t="s">
        <v>499</v>
      </c>
      <c r="I131" s="108">
        <v>46098.0</v>
      </c>
      <c r="J131" s="108">
        <v>46098.0</v>
      </c>
      <c r="K131" s="89">
        <f>M131/3</f>
        <v>1950</v>
      </c>
      <c r="L131" s="254" t="s">
        <v>1191</v>
      </c>
      <c r="M131" s="89">
        <v>5850.0</v>
      </c>
      <c r="N131" s="106" t="s">
        <v>71</v>
      </c>
      <c r="O131" s="106" t="s">
        <v>29</v>
      </c>
      <c r="P131" s="106" t="s">
        <v>72</v>
      </c>
      <c r="Q131" s="107" t="s">
        <v>399</v>
      </c>
      <c r="R131" s="106" t="s">
        <v>233</v>
      </c>
      <c r="S131" s="106" t="s">
        <v>110</v>
      </c>
      <c r="T131" s="250" t="s">
        <v>193</v>
      </c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</row>
    <row r="132">
      <c r="A132" s="12">
        <v>128.0</v>
      </c>
      <c r="B132" s="106" t="s">
        <v>338</v>
      </c>
      <c r="C132" s="106" t="s">
        <v>339</v>
      </c>
      <c r="D132" s="106" t="s">
        <v>1052</v>
      </c>
      <c r="E132" s="106" t="s">
        <v>1561</v>
      </c>
      <c r="F132" s="106" t="s">
        <v>1562</v>
      </c>
      <c r="G132" s="106">
        <v>10.0</v>
      </c>
      <c r="H132" s="106" t="s">
        <v>1563</v>
      </c>
      <c r="I132" s="108">
        <v>46099.0</v>
      </c>
      <c r="J132" s="109"/>
      <c r="K132" s="89" t="s">
        <v>399</v>
      </c>
      <c r="L132" s="254" t="s">
        <v>399</v>
      </c>
      <c r="M132" s="89">
        <v>2200.0</v>
      </c>
      <c r="N132" s="106" t="s">
        <v>58</v>
      </c>
      <c r="O132" s="106" t="s">
        <v>29</v>
      </c>
      <c r="P132" s="106" t="s">
        <v>40</v>
      </c>
      <c r="Q132" s="90"/>
      <c r="R132" s="106" t="s">
        <v>233</v>
      </c>
      <c r="S132" s="106" t="s">
        <v>110</v>
      </c>
      <c r="T132" s="274" t="s">
        <v>1564</v>
      </c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</row>
    <row r="133">
      <c r="A133" s="12">
        <v>129.0</v>
      </c>
      <c r="B133" s="106" t="s">
        <v>1565</v>
      </c>
      <c r="C133" s="106" t="s">
        <v>1566</v>
      </c>
      <c r="D133" s="106" t="s">
        <v>1567</v>
      </c>
      <c r="E133" s="106" t="s">
        <v>1568</v>
      </c>
      <c r="F133" s="106" t="s">
        <v>1569</v>
      </c>
      <c r="G133" s="106">
        <v>7.0</v>
      </c>
      <c r="H133" s="107" t="s">
        <v>123</v>
      </c>
      <c r="I133" s="108">
        <v>46100.0</v>
      </c>
      <c r="J133" s="108">
        <v>46101.0</v>
      </c>
      <c r="K133" s="89">
        <v>175.0</v>
      </c>
      <c r="L133" s="254" t="s">
        <v>1178</v>
      </c>
      <c r="M133" s="89">
        <f>K133*12</f>
        <v>2100</v>
      </c>
      <c r="N133" s="106" t="s">
        <v>71</v>
      </c>
      <c r="O133" s="106" t="s">
        <v>29</v>
      </c>
      <c r="P133" s="106" t="s">
        <v>72</v>
      </c>
      <c r="Q133" s="107">
        <v>2625.0</v>
      </c>
      <c r="R133" s="106" t="s">
        <v>233</v>
      </c>
      <c r="S133" s="106" t="s">
        <v>110</v>
      </c>
      <c r="T133" s="250" t="s">
        <v>193</v>
      </c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</row>
    <row r="134">
      <c r="A134" s="12">
        <v>130.0</v>
      </c>
      <c r="B134" s="86" t="s">
        <v>1570</v>
      </c>
      <c r="C134" s="90" t="s">
        <v>1571</v>
      </c>
      <c r="D134" s="86" t="s">
        <v>1535</v>
      </c>
      <c r="E134" s="86" t="s">
        <v>1572</v>
      </c>
      <c r="F134" s="252" t="s">
        <v>1573</v>
      </c>
      <c r="G134" s="86" t="s">
        <v>399</v>
      </c>
      <c r="H134" s="86" t="s">
        <v>813</v>
      </c>
      <c r="I134" s="108">
        <v>46104.0</v>
      </c>
      <c r="J134" s="108">
        <v>46104.0</v>
      </c>
      <c r="K134" s="89" t="s">
        <v>26</v>
      </c>
      <c r="L134" s="254" t="s">
        <v>26</v>
      </c>
      <c r="M134" s="89">
        <v>50.0</v>
      </c>
      <c r="N134" s="90" t="s">
        <v>71</v>
      </c>
      <c r="O134" s="86" t="s">
        <v>29</v>
      </c>
      <c r="P134" s="90" t="s">
        <v>72</v>
      </c>
      <c r="Q134" s="86" t="s">
        <v>26</v>
      </c>
      <c r="R134" s="90" t="s">
        <v>41</v>
      </c>
      <c r="S134" s="86" t="s">
        <v>129</v>
      </c>
      <c r="T134" s="235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</row>
    <row r="135">
      <c r="A135" s="12">
        <v>131.0</v>
      </c>
      <c r="B135" s="86" t="s">
        <v>1574</v>
      </c>
      <c r="C135" s="86" t="s">
        <v>1575</v>
      </c>
      <c r="D135" s="86" t="s">
        <v>1576</v>
      </c>
      <c r="E135" s="86" t="s">
        <v>1577</v>
      </c>
      <c r="F135" s="86" t="s">
        <v>1578</v>
      </c>
      <c r="G135" s="86">
        <v>40.0</v>
      </c>
      <c r="H135" s="86" t="s">
        <v>1579</v>
      </c>
      <c r="I135" s="108">
        <v>46101.0</v>
      </c>
      <c r="J135" s="91"/>
      <c r="K135" s="89">
        <v>16002.0</v>
      </c>
      <c r="L135" s="86">
        <v>1.0</v>
      </c>
      <c r="M135" s="238">
        <f>K135*1</f>
        <v>16002</v>
      </c>
      <c r="N135" s="86" t="s">
        <v>28</v>
      </c>
      <c r="O135" s="86" t="s">
        <v>29</v>
      </c>
      <c r="P135" s="86" t="s">
        <v>40</v>
      </c>
      <c r="Q135" s="91"/>
      <c r="R135" s="86" t="s">
        <v>73</v>
      </c>
      <c r="S135" s="106" t="s">
        <v>31</v>
      </c>
      <c r="T135" s="244" t="s">
        <v>1580</v>
      </c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</row>
    <row r="136">
      <c r="A136" s="12">
        <v>132.0</v>
      </c>
      <c r="B136" s="86" t="s">
        <v>827</v>
      </c>
      <c r="C136" s="86" t="s">
        <v>828</v>
      </c>
      <c r="D136" s="86" t="s">
        <v>829</v>
      </c>
      <c r="E136" s="86" t="s">
        <v>830</v>
      </c>
      <c r="F136" s="86" t="s">
        <v>831</v>
      </c>
      <c r="G136" s="86" t="s">
        <v>26</v>
      </c>
      <c r="H136" s="86" t="s">
        <v>733</v>
      </c>
      <c r="I136" s="108">
        <v>46065.0</v>
      </c>
      <c r="J136" s="108">
        <v>46105.0</v>
      </c>
      <c r="K136" s="89" t="s">
        <v>26</v>
      </c>
      <c r="L136" s="86" t="s">
        <v>26</v>
      </c>
      <c r="M136" s="89">
        <v>1509.06</v>
      </c>
      <c r="N136" s="86" t="s">
        <v>71</v>
      </c>
      <c r="O136" s="86" t="s">
        <v>29</v>
      </c>
      <c r="P136" s="86" t="s">
        <v>72</v>
      </c>
      <c r="Q136" s="86" t="s">
        <v>26</v>
      </c>
      <c r="R136" s="86" t="s">
        <v>73</v>
      </c>
      <c r="S136" s="86" t="s">
        <v>129</v>
      </c>
      <c r="T136" s="236"/>
      <c r="U136" s="275"/>
      <c r="V136" s="275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</row>
    <row r="137">
      <c r="A137" s="12">
        <v>133.0</v>
      </c>
      <c r="B137" s="86" t="s">
        <v>1581</v>
      </c>
      <c r="C137" s="91"/>
      <c r="D137" s="86" t="s">
        <v>1582</v>
      </c>
      <c r="E137" s="91"/>
      <c r="F137" s="91"/>
      <c r="G137" s="86" t="s">
        <v>399</v>
      </c>
      <c r="H137" s="86" t="s">
        <v>1583</v>
      </c>
      <c r="I137" s="108">
        <v>46090.0</v>
      </c>
      <c r="J137" s="91"/>
      <c r="K137" s="89" t="s">
        <v>1268</v>
      </c>
      <c r="L137" s="86">
        <v>1.0</v>
      </c>
      <c r="M137" s="89">
        <v>14000.0</v>
      </c>
      <c r="N137" s="86" t="s">
        <v>58</v>
      </c>
      <c r="O137" s="86" t="s">
        <v>29</v>
      </c>
      <c r="P137" s="86" t="s">
        <v>40</v>
      </c>
      <c r="Q137" s="90"/>
      <c r="R137" s="86" t="s">
        <v>73</v>
      </c>
      <c r="S137" s="86" t="s">
        <v>129</v>
      </c>
      <c r="T137" s="235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</row>
    <row r="138">
      <c r="A138" s="12">
        <v>134.0</v>
      </c>
      <c r="B138" s="86" t="s">
        <v>1584</v>
      </c>
      <c r="C138" s="86" t="s">
        <v>1585</v>
      </c>
      <c r="D138" s="86" t="s">
        <v>1586</v>
      </c>
      <c r="E138" s="86" t="s">
        <v>1587</v>
      </c>
      <c r="F138" s="86" t="s">
        <v>1588</v>
      </c>
      <c r="G138" s="86">
        <v>5.0</v>
      </c>
      <c r="H138" s="86" t="s">
        <v>65</v>
      </c>
      <c r="I138" s="108">
        <v>46105.0</v>
      </c>
      <c r="J138" s="91"/>
      <c r="K138" s="89">
        <v>163.0</v>
      </c>
      <c r="L138" s="86">
        <v>12.0</v>
      </c>
      <c r="M138" s="89">
        <f t="shared" ref="M138:M139" si="23">K138*12</f>
        <v>1956</v>
      </c>
      <c r="N138" s="86" t="s">
        <v>58</v>
      </c>
      <c r="O138" s="86" t="s">
        <v>29</v>
      </c>
      <c r="P138" s="90"/>
      <c r="Q138" s="91"/>
      <c r="R138" s="86" t="s">
        <v>73</v>
      </c>
      <c r="S138" s="86" t="s">
        <v>148</v>
      </c>
      <c r="T138" s="235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</row>
    <row r="139">
      <c r="A139" s="12">
        <v>135.0</v>
      </c>
      <c r="B139" s="86" t="s">
        <v>1589</v>
      </c>
      <c r="C139" s="86" t="s">
        <v>1590</v>
      </c>
      <c r="D139" s="86" t="s">
        <v>1586</v>
      </c>
      <c r="E139" s="86" t="s">
        <v>1587</v>
      </c>
      <c r="F139" s="86" t="s">
        <v>1588</v>
      </c>
      <c r="G139" s="86">
        <v>1.0</v>
      </c>
      <c r="H139" s="86" t="s">
        <v>65</v>
      </c>
      <c r="I139" s="108">
        <v>46105.0</v>
      </c>
      <c r="J139" s="91"/>
      <c r="K139" s="89">
        <v>139.0</v>
      </c>
      <c r="L139" s="86">
        <v>12.0</v>
      </c>
      <c r="M139" s="89">
        <f t="shared" si="23"/>
        <v>1668</v>
      </c>
      <c r="N139" s="86" t="s">
        <v>58</v>
      </c>
      <c r="O139" s="86" t="s">
        <v>29</v>
      </c>
      <c r="P139" s="90"/>
      <c r="Q139" s="91"/>
      <c r="R139" s="86" t="s">
        <v>73</v>
      </c>
      <c r="S139" s="86" t="s">
        <v>148</v>
      </c>
      <c r="T139" s="235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</row>
    <row r="140">
      <c r="A140" s="12">
        <v>136.0</v>
      </c>
      <c r="B140" s="86" t="s">
        <v>1591</v>
      </c>
      <c r="C140" s="86" t="s">
        <v>640</v>
      </c>
      <c r="D140" s="86" t="s">
        <v>1592</v>
      </c>
      <c r="E140" s="86" t="s">
        <v>1593</v>
      </c>
      <c r="F140" s="86" t="s">
        <v>1594</v>
      </c>
      <c r="G140" s="86" t="s">
        <v>26</v>
      </c>
      <c r="H140" s="86" t="s">
        <v>65</v>
      </c>
      <c r="I140" s="108">
        <v>46105.0</v>
      </c>
      <c r="J140" s="108">
        <v>46107.0</v>
      </c>
      <c r="K140" s="89">
        <v>5740.0</v>
      </c>
      <c r="L140" s="86">
        <v>2.0</v>
      </c>
      <c r="M140" s="89">
        <v>11480.0</v>
      </c>
      <c r="N140" s="86" t="s">
        <v>71</v>
      </c>
      <c r="O140" s="86" t="s">
        <v>29</v>
      </c>
      <c r="P140" s="86" t="s">
        <v>72</v>
      </c>
      <c r="Q140" s="86">
        <v>2647.0</v>
      </c>
      <c r="R140" s="86" t="s">
        <v>233</v>
      </c>
      <c r="S140" s="86" t="s">
        <v>148</v>
      </c>
      <c r="T140" s="235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</row>
    <row r="141">
      <c r="A141" s="12">
        <v>137.0</v>
      </c>
      <c r="B141" s="86" t="s">
        <v>1595</v>
      </c>
      <c r="C141" s="86" t="s">
        <v>1596</v>
      </c>
      <c r="D141" s="86" t="s">
        <v>1597</v>
      </c>
      <c r="E141" s="86" t="s">
        <v>1598</v>
      </c>
      <c r="F141" s="86" t="s">
        <v>1599</v>
      </c>
      <c r="G141" s="86" t="s">
        <v>26</v>
      </c>
      <c r="H141" s="86" t="s">
        <v>1600</v>
      </c>
      <c r="I141" s="108">
        <v>45740.0</v>
      </c>
      <c r="J141" s="108">
        <v>46112.0</v>
      </c>
      <c r="K141" s="89" t="s">
        <v>57</v>
      </c>
      <c r="L141" s="86">
        <v>1.0</v>
      </c>
      <c r="M141" s="89">
        <v>3850.0</v>
      </c>
      <c r="N141" s="86" t="s">
        <v>71</v>
      </c>
      <c r="O141" s="86" t="s">
        <v>29</v>
      </c>
      <c r="P141" s="86" t="s">
        <v>72</v>
      </c>
      <c r="Q141" s="86">
        <v>2687.0</v>
      </c>
      <c r="R141" s="86" t="s">
        <v>73</v>
      </c>
      <c r="S141" s="86" t="s">
        <v>148</v>
      </c>
      <c r="T141" s="235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</row>
    <row r="142">
      <c r="A142" s="12">
        <v>138.0</v>
      </c>
      <c r="B142" s="86" t="s">
        <v>338</v>
      </c>
      <c r="C142" s="86" t="s">
        <v>339</v>
      </c>
      <c r="D142" s="86" t="s">
        <v>1601</v>
      </c>
      <c r="E142" s="86" t="s">
        <v>1602</v>
      </c>
      <c r="F142" s="176" t="s">
        <v>1603</v>
      </c>
      <c r="G142" s="86" t="s">
        <v>26</v>
      </c>
      <c r="H142" s="86" t="s">
        <v>1604</v>
      </c>
      <c r="I142" s="108">
        <v>46105.0</v>
      </c>
      <c r="J142" s="108">
        <v>46106.0</v>
      </c>
      <c r="K142" s="89" t="s">
        <v>57</v>
      </c>
      <c r="L142" s="86">
        <v>1.0</v>
      </c>
      <c r="M142" s="89">
        <v>1000.0</v>
      </c>
      <c r="N142" s="86" t="s">
        <v>71</v>
      </c>
      <c r="O142" s="86" t="s">
        <v>29</v>
      </c>
      <c r="P142" s="86" t="s">
        <v>72</v>
      </c>
      <c r="Q142" s="86">
        <v>2672.0</v>
      </c>
      <c r="R142" s="86" t="s">
        <v>73</v>
      </c>
      <c r="S142" s="86" t="s">
        <v>148</v>
      </c>
      <c r="T142" s="235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</row>
    <row r="143">
      <c r="A143" s="12">
        <v>139.0</v>
      </c>
      <c r="B143" s="86" t="s">
        <v>1605</v>
      </c>
      <c r="C143" s="86" t="s">
        <v>1606</v>
      </c>
      <c r="D143" s="86" t="s">
        <v>1607</v>
      </c>
      <c r="E143" s="86" t="s">
        <v>1608</v>
      </c>
      <c r="F143" s="86" t="s">
        <v>1609</v>
      </c>
      <c r="G143" s="86" t="s">
        <v>26</v>
      </c>
      <c r="H143" s="86" t="s">
        <v>1610</v>
      </c>
      <c r="I143" s="108">
        <v>46105.0</v>
      </c>
      <c r="J143" s="91"/>
      <c r="K143" s="89" t="s">
        <v>57</v>
      </c>
      <c r="L143" s="86">
        <v>1.0</v>
      </c>
      <c r="M143" s="89">
        <v>800.0</v>
      </c>
      <c r="N143" s="86" t="s">
        <v>58</v>
      </c>
      <c r="O143" s="86" t="s">
        <v>29</v>
      </c>
      <c r="P143" s="90"/>
      <c r="Q143" s="91"/>
      <c r="R143" s="86" t="s">
        <v>41</v>
      </c>
      <c r="S143" s="86" t="s">
        <v>148</v>
      </c>
      <c r="T143" s="235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</row>
    <row r="144">
      <c r="A144" s="12">
        <v>140.0</v>
      </c>
      <c r="B144" s="86" t="s">
        <v>1611</v>
      </c>
      <c r="C144" s="86" t="s">
        <v>565</v>
      </c>
      <c r="D144" s="86" t="s">
        <v>1612</v>
      </c>
      <c r="E144" s="86" t="s">
        <v>1613</v>
      </c>
      <c r="F144" s="176" t="s">
        <v>1614</v>
      </c>
      <c r="G144" s="86" t="s">
        <v>26</v>
      </c>
      <c r="H144" s="86" t="s">
        <v>1615</v>
      </c>
      <c r="I144" s="108">
        <v>46106.0</v>
      </c>
      <c r="J144" s="91"/>
      <c r="K144" s="89" t="s">
        <v>57</v>
      </c>
      <c r="L144" s="86">
        <v>1.0</v>
      </c>
      <c r="M144" s="89">
        <v>9130.0</v>
      </c>
      <c r="N144" s="86" t="s">
        <v>58</v>
      </c>
      <c r="O144" s="86" t="s">
        <v>91</v>
      </c>
      <c r="P144" s="90"/>
      <c r="Q144" s="91"/>
      <c r="R144" s="86" t="s">
        <v>73</v>
      </c>
      <c r="S144" s="86" t="s">
        <v>148</v>
      </c>
      <c r="T144" s="235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</row>
    <row r="145">
      <c r="A145" s="12">
        <v>141.0</v>
      </c>
      <c r="B145" s="86" t="s">
        <v>1616</v>
      </c>
      <c r="C145" s="86" t="s">
        <v>1617</v>
      </c>
      <c r="D145" s="86" t="s">
        <v>1618</v>
      </c>
      <c r="E145" s="86" t="s">
        <v>1619</v>
      </c>
      <c r="F145" s="86" t="s">
        <v>1620</v>
      </c>
      <c r="G145" s="86">
        <v>20.0</v>
      </c>
      <c r="H145" s="86" t="s">
        <v>1621</v>
      </c>
      <c r="I145" s="86" t="s">
        <v>1622</v>
      </c>
      <c r="J145" s="91"/>
      <c r="K145" s="89">
        <v>400.0</v>
      </c>
      <c r="L145" s="86">
        <v>2.0</v>
      </c>
      <c r="M145" s="89">
        <v>800.0</v>
      </c>
      <c r="N145" s="86" t="s">
        <v>58</v>
      </c>
      <c r="O145" s="86" t="s">
        <v>29</v>
      </c>
      <c r="P145" s="86" t="s">
        <v>40</v>
      </c>
      <c r="Q145" s="90"/>
      <c r="R145" s="86" t="s">
        <v>73</v>
      </c>
      <c r="S145" s="86" t="s">
        <v>129</v>
      </c>
      <c r="T145" s="235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</row>
    <row r="146">
      <c r="A146" s="12">
        <v>142.0</v>
      </c>
      <c r="B146" s="86" t="s">
        <v>1623</v>
      </c>
      <c r="C146" s="276" t="s">
        <v>1624</v>
      </c>
      <c r="D146" s="86" t="s">
        <v>1625</v>
      </c>
      <c r="E146" s="91"/>
      <c r="F146" s="277" t="s">
        <v>1626</v>
      </c>
      <c r="G146" s="86">
        <v>30.0</v>
      </c>
      <c r="H146" s="86" t="s">
        <v>1627</v>
      </c>
      <c r="I146" s="108">
        <v>46106.0</v>
      </c>
      <c r="J146" s="91"/>
      <c r="K146" s="89" t="s">
        <v>1268</v>
      </c>
      <c r="L146" s="86">
        <v>1.0</v>
      </c>
      <c r="M146" s="89">
        <v>2500.0</v>
      </c>
      <c r="N146" s="86" t="s">
        <v>58</v>
      </c>
      <c r="O146" s="86" t="s">
        <v>29</v>
      </c>
      <c r="P146" s="86" t="s">
        <v>40</v>
      </c>
      <c r="Q146" s="90"/>
      <c r="R146" s="86" t="s">
        <v>233</v>
      </c>
      <c r="S146" s="86" t="s">
        <v>129</v>
      </c>
      <c r="T146" s="235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</row>
    <row r="147">
      <c r="A147" s="12">
        <v>143.0</v>
      </c>
      <c r="B147" s="86" t="s">
        <v>1628</v>
      </c>
      <c r="C147" s="86" t="s">
        <v>1629</v>
      </c>
      <c r="D147" s="86" t="s">
        <v>1630</v>
      </c>
      <c r="E147" s="86" t="s">
        <v>1631</v>
      </c>
      <c r="F147" s="86" t="s">
        <v>1632</v>
      </c>
      <c r="G147" s="86">
        <v>15.0</v>
      </c>
      <c r="H147" s="106" t="s">
        <v>254</v>
      </c>
      <c r="I147" s="108">
        <v>46106.0</v>
      </c>
      <c r="J147" s="91"/>
      <c r="K147" s="89">
        <v>1000.0</v>
      </c>
      <c r="L147" s="86">
        <v>1.0</v>
      </c>
      <c r="M147" s="89">
        <f>K147*1</f>
        <v>1000</v>
      </c>
      <c r="N147" s="86" t="s">
        <v>58</v>
      </c>
      <c r="O147" s="86" t="s">
        <v>29</v>
      </c>
      <c r="P147" s="86" t="s">
        <v>40</v>
      </c>
      <c r="Q147" s="91"/>
      <c r="R147" s="86" t="s">
        <v>73</v>
      </c>
      <c r="S147" s="106" t="s">
        <v>31</v>
      </c>
      <c r="T147" s="236" t="s">
        <v>1633</v>
      </c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</row>
    <row r="148">
      <c r="A148" s="12">
        <v>144.0</v>
      </c>
      <c r="B148" s="86" t="s">
        <v>1634</v>
      </c>
      <c r="C148" s="86" t="s">
        <v>1635</v>
      </c>
      <c r="D148" s="86" t="s">
        <v>1636</v>
      </c>
      <c r="E148" s="86" t="s">
        <v>1637</v>
      </c>
      <c r="F148" s="262" t="s">
        <v>1638</v>
      </c>
      <c r="G148" s="86">
        <v>9.0</v>
      </c>
      <c r="H148" s="86" t="s">
        <v>65</v>
      </c>
      <c r="I148" s="108">
        <v>46101.0</v>
      </c>
      <c r="J148" s="91"/>
      <c r="K148" s="89">
        <v>181.0</v>
      </c>
      <c r="L148" s="86">
        <v>12.0</v>
      </c>
      <c r="M148" s="238">
        <f t="shared" ref="M148:M149" si="24">K148*12</f>
        <v>2172</v>
      </c>
      <c r="N148" s="86" t="s">
        <v>58</v>
      </c>
      <c r="O148" s="86" t="s">
        <v>29</v>
      </c>
      <c r="P148" s="86" t="s">
        <v>40</v>
      </c>
      <c r="Q148" s="91"/>
      <c r="R148" s="86" t="s">
        <v>73</v>
      </c>
      <c r="S148" s="106" t="s">
        <v>31</v>
      </c>
      <c r="T148" s="244" t="s">
        <v>1639</v>
      </c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</row>
    <row r="149">
      <c r="A149" s="12">
        <v>145.0</v>
      </c>
      <c r="B149" s="86" t="s">
        <v>1640</v>
      </c>
      <c r="C149" s="86" t="s">
        <v>1641</v>
      </c>
      <c r="D149" s="86" t="s">
        <v>1642</v>
      </c>
      <c r="E149" s="86" t="s">
        <v>1643</v>
      </c>
      <c r="F149" s="91"/>
      <c r="G149" s="86">
        <v>61.0</v>
      </c>
      <c r="H149" s="86" t="s">
        <v>1644</v>
      </c>
      <c r="I149" s="108">
        <v>46106.0</v>
      </c>
      <c r="J149" s="91"/>
      <c r="K149" s="89">
        <v>1146.31</v>
      </c>
      <c r="L149" s="86">
        <v>12.0</v>
      </c>
      <c r="M149" s="238">
        <f t="shared" si="24"/>
        <v>13755.72</v>
      </c>
      <c r="N149" s="86" t="s">
        <v>58</v>
      </c>
      <c r="O149" s="86" t="s">
        <v>29</v>
      </c>
      <c r="P149" s="86" t="s">
        <v>40</v>
      </c>
      <c r="Q149" s="91"/>
      <c r="R149" s="86" t="s">
        <v>233</v>
      </c>
      <c r="S149" s="106" t="s">
        <v>31</v>
      </c>
      <c r="T149" s="244" t="s">
        <v>1645</v>
      </c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</row>
    <row r="150">
      <c r="A150" s="12">
        <v>146.0</v>
      </c>
      <c r="B150" s="86" t="s">
        <v>1646</v>
      </c>
      <c r="C150" s="90" t="s">
        <v>1647</v>
      </c>
      <c r="D150" s="86" t="s">
        <v>599</v>
      </c>
      <c r="E150" s="86" t="s">
        <v>1648</v>
      </c>
      <c r="F150" s="86" t="s">
        <v>1649</v>
      </c>
      <c r="G150" s="86" t="s">
        <v>26</v>
      </c>
      <c r="H150" s="86" t="s">
        <v>65</v>
      </c>
      <c r="I150" s="108">
        <v>46106.0</v>
      </c>
      <c r="J150" s="108">
        <v>46107.0</v>
      </c>
      <c r="K150" s="89" t="s">
        <v>57</v>
      </c>
      <c r="L150" s="86">
        <v>1.0</v>
      </c>
      <c r="M150" s="89">
        <v>1000.0</v>
      </c>
      <c r="N150" s="86" t="s">
        <v>71</v>
      </c>
      <c r="O150" s="86" t="s">
        <v>91</v>
      </c>
      <c r="P150" s="86" t="s">
        <v>72</v>
      </c>
      <c r="Q150" s="86">
        <v>2643.0</v>
      </c>
      <c r="R150" s="86" t="s">
        <v>73</v>
      </c>
      <c r="S150" s="86" t="s">
        <v>148</v>
      </c>
      <c r="T150" s="235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</row>
    <row r="151">
      <c r="A151" s="12">
        <v>147.0</v>
      </c>
      <c r="B151" s="86" t="s">
        <v>1646</v>
      </c>
      <c r="C151" s="90" t="s">
        <v>1650</v>
      </c>
      <c r="D151" s="86" t="s">
        <v>599</v>
      </c>
      <c r="E151" s="86" t="s">
        <v>1648</v>
      </c>
      <c r="F151" s="86" t="s">
        <v>1649</v>
      </c>
      <c r="G151" s="86" t="s">
        <v>26</v>
      </c>
      <c r="H151" s="86" t="s">
        <v>65</v>
      </c>
      <c r="I151" s="108">
        <v>46106.0</v>
      </c>
      <c r="J151" s="108">
        <v>46107.0</v>
      </c>
      <c r="K151" s="89" t="s">
        <v>57</v>
      </c>
      <c r="L151" s="86">
        <v>1.0</v>
      </c>
      <c r="M151" s="89">
        <v>1000.0</v>
      </c>
      <c r="N151" s="86" t="s">
        <v>71</v>
      </c>
      <c r="O151" s="86" t="s">
        <v>91</v>
      </c>
      <c r="P151" s="86" t="s">
        <v>72</v>
      </c>
      <c r="Q151" s="86">
        <v>2642.0</v>
      </c>
      <c r="R151" s="86" t="s">
        <v>73</v>
      </c>
      <c r="S151" s="86" t="s">
        <v>148</v>
      </c>
      <c r="T151" s="235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</row>
    <row r="152">
      <c r="A152" s="12">
        <v>148.0</v>
      </c>
      <c r="B152" s="86" t="s">
        <v>1651</v>
      </c>
      <c r="C152" s="86" t="s">
        <v>1652</v>
      </c>
      <c r="D152" s="86" t="s">
        <v>604</v>
      </c>
      <c r="E152" s="86" t="s">
        <v>1653</v>
      </c>
      <c r="F152" s="86" t="s">
        <v>1654</v>
      </c>
      <c r="G152" s="86">
        <v>4.0</v>
      </c>
      <c r="H152" s="86" t="s">
        <v>65</v>
      </c>
      <c r="I152" s="108">
        <v>46104.0</v>
      </c>
      <c r="J152" s="108">
        <v>46107.0</v>
      </c>
      <c r="K152" s="89">
        <v>157.0</v>
      </c>
      <c r="L152" s="86">
        <v>12.0</v>
      </c>
      <c r="M152" s="89">
        <f>K152*12</f>
        <v>1884</v>
      </c>
      <c r="N152" s="86" t="s">
        <v>71</v>
      </c>
      <c r="O152" s="86" t="s">
        <v>29</v>
      </c>
      <c r="P152" s="86" t="s">
        <v>72</v>
      </c>
      <c r="Q152" s="86">
        <v>2645.0</v>
      </c>
      <c r="R152" s="86" t="s">
        <v>73</v>
      </c>
      <c r="S152" s="86" t="s">
        <v>148</v>
      </c>
      <c r="T152" s="235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</row>
    <row r="153">
      <c r="A153" s="12">
        <v>149.0</v>
      </c>
      <c r="B153" s="86" t="s">
        <v>1655</v>
      </c>
      <c r="C153" s="86" t="s">
        <v>1656</v>
      </c>
      <c r="D153" s="86" t="s">
        <v>1657</v>
      </c>
      <c r="E153" s="86" t="s">
        <v>1658</v>
      </c>
      <c r="F153" s="264" t="s">
        <v>1659</v>
      </c>
      <c r="G153" s="86">
        <v>36.0</v>
      </c>
      <c r="H153" s="86" t="s">
        <v>1621</v>
      </c>
      <c r="I153" s="108">
        <v>46107.0</v>
      </c>
      <c r="J153" s="108">
        <v>46107.0</v>
      </c>
      <c r="K153" s="89">
        <v>400.0</v>
      </c>
      <c r="L153" s="86">
        <v>2.0</v>
      </c>
      <c r="M153" s="89">
        <v>800.0</v>
      </c>
      <c r="N153" s="86" t="s">
        <v>71</v>
      </c>
      <c r="O153" s="86" t="s">
        <v>91</v>
      </c>
      <c r="P153" s="86" t="s">
        <v>72</v>
      </c>
      <c r="Q153" s="86">
        <v>2644.0</v>
      </c>
      <c r="R153" s="86" t="s">
        <v>73</v>
      </c>
      <c r="S153" s="86" t="s">
        <v>129</v>
      </c>
      <c r="T153" s="235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</row>
    <row r="154">
      <c r="A154" s="12">
        <v>150.0</v>
      </c>
      <c r="B154" s="86" t="s">
        <v>1660</v>
      </c>
      <c r="C154" s="92" t="s">
        <v>1661</v>
      </c>
      <c r="D154" s="86" t="s">
        <v>1662</v>
      </c>
      <c r="E154" s="86" t="s">
        <v>1663</v>
      </c>
      <c r="F154" s="86" t="s">
        <v>1664</v>
      </c>
      <c r="G154" s="86">
        <v>5.0</v>
      </c>
      <c r="H154" s="86" t="s">
        <v>48</v>
      </c>
      <c r="I154" s="108">
        <v>46107.0</v>
      </c>
      <c r="J154" s="108">
        <v>46112.0</v>
      </c>
      <c r="K154" s="89" t="s">
        <v>1268</v>
      </c>
      <c r="L154" s="86">
        <v>1.0</v>
      </c>
      <c r="M154" s="89">
        <v>1250.0</v>
      </c>
      <c r="N154" s="86" t="s">
        <v>71</v>
      </c>
      <c r="O154" s="86" t="s">
        <v>29</v>
      </c>
      <c r="P154" s="86" t="s">
        <v>72</v>
      </c>
      <c r="Q154" s="86">
        <v>2673.0</v>
      </c>
      <c r="R154" s="86" t="s">
        <v>73</v>
      </c>
      <c r="S154" s="86" t="s">
        <v>129</v>
      </c>
      <c r="T154" s="235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</row>
    <row r="155">
      <c r="A155" s="12">
        <v>151.0</v>
      </c>
      <c r="B155" s="199" t="s">
        <v>1665</v>
      </c>
      <c r="C155" s="86" t="s">
        <v>1652</v>
      </c>
      <c r="D155" s="86" t="s">
        <v>1132</v>
      </c>
      <c r="E155" s="86" t="s">
        <v>1666</v>
      </c>
      <c r="F155" s="262" t="s">
        <v>1667</v>
      </c>
      <c r="G155" s="86" t="s">
        <v>26</v>
      </c>
      <c r="H155" s="86" t="s">
        <v>499</v>
      </c>
      <c r="I155" s="108">
        <v>46108.0</v>
      </c>
      <c r="J155" s="108">
        <v>46108.0</v>
      </c>
      <c r="K155" s="89" t="s">
        <v>1268</v>
      </c>
      <c r="L155" s="86">
        <v>1.0</v>
      </c>
      <c r="M155" s="89">
        <v>2000.0</v>
      </c>
      <c r="N155" s="86" t="s">
        <v>71</v>
      </c>
      <c r="O155" s="86" t="s">
        <v>29</v>
      </c>
      <c r="P155" s="86" t="s">
        <v>72</v>
      </c>
      <c r="Q155" s="86" t="s">
        <v>26</v>
      </c>
      <c r="R155" s="86" t="s">
        <v>233</v>
      </c>
      <c r="S155" s="86" t="s">
        <v>148</v>
      </c>
      <c r="T155" s="235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</row>
    <row r="156">
      <c r="A156" s="12">
        <v>152.0</v>
      </c>
      <c r="B156" s="199" t="s">
        <v>1668</v>
      </c>
      <c r="C156" s="86" t="s">
        <v>1669</v>
      </c>
      <c r="D156" s="86" t="s">
        <v>1670</v>
      </c>
      <c r="E156" s="86" t="s">
        <v>1671</v>
      </c>
      <c r="F156" s="86" t="s">
        <v>1672</v>
      </c>
      <c r="G156" s="86" t="s">
        <v>26</v>
      </c>
      <c r="H156" s="86" t="s">
        <v>1673</v>
      </c>
      <c r="I156" s="108">
        <v>46108.0</v>
      </c>
      <c r="J156" s="91"/>
      <c r="K156" s="89">
        <f>M156/L156</f>
        <v>621</v>
      </c>
      <c r="L156" s="86">
        <v>5.0</v>
      </c>
      <c r="M156" s="89">
        <v>3105.0</v>
      </c>
      <c r="N156" s="86" t="s">
        <v>58</v>
      </c>
      <c r="O156" s="86" t="s">
        <v>91</v>
      </c>
      <c r="P156" s="86" t="s">
        <v>40</v>
      </c>
      <c r="Q156" s="90"/>
      <c r="R156" s="86" t="s">
        <v>73</v>
      </c>
      <c r="S156" s="86" t="s">
        <v>148</v>
      </c>
      <c r="T156" s="235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</row>
    <row r="157">
      <c r="A157" s="12">
        <v>153.0</v>
      </c>
      <c r="B157" s="86" t="s">
        <v>1674</v>
      </c>
      <c r="C157" s="86" t="s">
        <v>1675</v>
      </c>
      <c r="D157" s="86" t="s">
        <v>1676</v>
      </c>
      <c r="E157" s="86" t="s">
        <v>1677</v>
      </c>
      <c r="F157" s="86" t="s">
        <v>1678</v>
      </c>
      <c r="G157" s="86" t="s">
        <v>26</v>
      </c>
      <c r="H157" s="86" t="s">
        <v>393</v>
      </c>
      <c r="I157" s="108">
        <v>46107.0</v>
      </c>
      <c r="J157" s="108">
        <v>46107.0</v>
      </c>
      <c r="K157" s="89" t="s">
        <v>399</v>
      </c>
      <c r="L157" s="86" t="s">
        <v>399</v>
      </c>
      <c r="M157" s="89" t="s">
        <v>399</v>
      </c>
      <c r="N157" s="86" t="s">
        <v>71</v>
      </c>
      <c r="O157" s="86" t="s">
        <v>29</v>
      </c>
      <c r="P157" s="86" t="s">
        <v>72</v>
      </c>
      <c r="Q157" s="86" t="s">
        <v>26</v>
      </c>
      <c r="R157" s="86" t="s">
        <v>73</v>
      </c>
      <c r="S157" s="106" t="s">
        <v>31</v>
      </c>
      <c r="T157" s="235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</row>
    <row r="158">
      <c r="A158" s="12">
        <v>154.0</v>
      </c>
      <c r="B158" s="86" t="s">
        <v>1679</v>
      </c>
      <c r="C158" s="86" t="s">
        <v>1680</v>
      </c>
      <c r="D158" s="86" t="s">
        <v>1681</v>
      </c>
      <c r="E158" s="86" t="s">
        <v>1682</v>
      </c>
      <c r="F158" s="86" t="s">
        <v>1683</v>
      </c>
      <c r="G158" s="86">
        <v>11.0</v>
      </c>
      <c r="H158" s="86" t="s">
        <v>65</v>
      </c>
      <c r="I158" s="108">
        <v>46105.0</v>
      </c>
      <c r="J158" s="91"/>
      <c r="K158" s="89">
        <v>199.0</v>
      </c>
      <c r="L158" s="86">
        <v>12.0</v>
      </c>
      <c r="M158" s="238">
        <f t="shared" ref="M158:M159" si="25">K158*12</f>
        <v>2388</v>
      </c>
      <c r="N158" s="86" t="s">
        <v>58</v>
      </c>
      <c r="O158" s="86" t="s">
        <v>29</v>
      </c>
      <c r="P158" s="86" t="s">
        <v>40</v>
      </c>
      <c r="Q158" s="91"/>
      <c r="R158" s="86" t="s">
        <v>73</v>
      </c>
      <c r="S158" s="106" t="s">
        <v>31</v>
      </c>
      <c r="T158" s="235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</row>
    <row r="159">
      <c r="A159" s="12">
        <v>155.0</v>
      </c>
      <c r="B159" s="86" t="s">
        <v>1684</v>
      </c>
      <c r="C159" s="86" t="s">
        <v>1685</v>
      </c>
      <c r="D159" s="86" t="s">
        <v>1686</v>
      </c>
      <c r="E159" s="86" t="s">
        <v>1687</v>
      </c>
      <c r="F159" s="86" t="s">
        <v>1688</v>
      </c>
      <c r="G159" s="86">
        <v>21.0</v>
      </c>
      <c r="H159" s="86" t="s">
        <v>65</v>
      </c>
      <c r="I159" s="108">
        <v>46107.0</v>
      </c>
      <c r="J159" s="108">
        <v>46108.0</v>
      </c>
      <c r="K159" s="89">
        <v>297.3</v>
      </c>
      <c r="L159" s="86">
        <v>12.0</v>
      </c>
      <c r="M159" s="238">
        <f t="shared" si="25"/>
        <v>3567.6</v>
      </c>
      <c r="N159" s="86" t="s">
        <v>71</v>
      </c>
      <c r="O159" s="86" t="s">
        <v>29</v>
      </c>
      <c r="P159" s="86" t="s">
        <v>72</v>
      </c>
      <c r="Q159" s="278">
        <v>2665.0</v>
      </c>
      <c r="R159" s="86" t="s">
        <v>73</v>
      </c>
      <c r="S159" s="106" t="s">
        <v>31</v>
      </c>
      <c r="T159" s="235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</row>
    <row r="160">
      <c r="A160" s="12">
        <v>156.0</v>
      </c>
      <c r="B160" s="86" t="s">
        <v>1689</v>
      </c>
      <c r="C160" s="86" t="s">
        <v>1690</v>
      </c>
      <c r="D160" s="86" t="s">
        <v>1691</v>
      </c>
      <c r="E160" s="86" t="s">
        <v>1692</v>
      </c>
      <c r="F160" s="86" t="s">
        <v>1693</v>
      </c>
      <c r="G160" s="86">
        <v>64.0</v>
      </c>
      <c r="H160" s="86" t="s">
        <v>1694</v>
      </c>
      <c r="I160" s="108">
        <v>46107.0</v>
      </c>
      <c r="J160" s="108">
        <v>46107.0</v>
      </c>
      <c r="K160" s="89">
        <v>2820.0</v>
      </c>
      <c r="L160" s="86">
        <v>1.0</v>
      </c>
      <c r="M160" s="238">
        <f t="shared" ref="M160:M162" si="26">K160*1</f>
        <v>2820</v>
      </c>
      <c r="N160" s="86" t="s">
        <v>71</v>
      </c>
      <c r="O160" s="86" t="s">
        <v>91</v>
      </c>
      <c r="P160" s="86" t="s">
        <v>72</v>
      </c>
      <c r="Q160" s="86">
        <v>2641.0</v>
      </c>
      <c r="R160" s="86" t="s">
        <v>73</v>
      </c>
      <c r="S160" s="106" t="s">
        <v>31</v>
      </c>
      <c r="T160" s="235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</row>
    <row r="161">
      <c r="A161" s="12">
        <v>157.0</v>
      </c>
      <c r="B161" s="86" t="s">
        <v>1269</v>
      </c>
      <c r="C161" s="86" t="s">
        <v>1270</v>
      </c>
      <c r="D161" s="86" t="s">
        <v>1695</v>
      </c>
      <c r="E161" s="86" t="s">
        <v>1696</v>
      </c>
      <c r="F161" s="86" t="s">
        <v>1272</v>
      </c>
      <c r="G161" s="86">
        <v>1.0</v>
      </c>
      <c r="H161" s="86" t="s">
        <v>1697</v>
      </c>
      <c r="I161" s="108">
        <v>46097.0</v>
      </c>
      <c r="J161" s="108">
        <v>46098.0</v>
      </c>
      <c r="K161" s="89">
        <v>400.0</v>
      </c>
      <c r="L161" s="86">
        <v>1.0</v>
      </c>
      <c r="M161" s="238">
        <f t="shared" si="26"/>
        <v>400</v>
      </c>
      <c r="N161" s="86" t="s">
        <v>71</v>
      </c>
      <c r="O161" s="86" t="s">
        <v>91</v>
      </c>
      <c r="P161" s="86" t="s">
        <v>72</v>
      </c>
      <c r="Q161" s="86">
        <v>2593.0</v>
      </c>
      <c r="R161" s="86" t="s">
        <v>73</v>
      </c>
      <c r="S161" s="106" t="s">
        <v>31</v>
      </c>
      <c r="T161" s="235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</row>
    <row r="162">
      <c r="A162" s="12">
        <v>158.0</v>
      </c>
      <c r="B162" s="86" t="s">
        <v>1698</v>
      </c>
      <c r="C162" s="86" t="s">
        <v>1699</v>
      </c>
      <c r="D162" s="86" t="s">
        <v>1700</v>
      </c>
      <c r="E162" s="86" t="s">
        <v>1701</v>
      </c>
      <c r="F162" s="86" t="s">
        <v>1702</v>
      </c>
      <c r="G162" s="86" t="s">
        <v>399</v>
      </c>
      <c r="H162" s="86" t="s">
        <v>1703</v>
      </c>
      <c r="I162" s="108">
        <v>46087.0</v>
      </c>
      <c r="J162" s="108">
        <v>46098.0</v>
      </c>
      <c r="K162" s="89">
        <v>400.0</v>
      </c>
      <c r="L162" s="86">
        <v>1.0</v>
      </c>
      <c r="M162" s="238">
        <f t="shared" si="26"/>
        <v>400</v>
      </c>
      <c r="N162" s="86" t="s">
        <v>71</v>
      </c>
      <c r="O162" s="86" t="s">
        <v>91</v>
      </c>
      <c r="P162" s="86" t="s">
        <v>72</v>
      </c>
      <c r="Q162" s="86">
        <v>2654.0</v>
      </c>
      <c r="R162" s="86" t="s">
        <v>233</v>
      </c>
      <c r="S162" s="106" t="s">
        <v>31</v>
      </c>
      <c r="T162" s="235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</row>
    <row r="163">
      <c r="A163" s="12">
        <v>159.0</v>
      </c>
      <c r="B163" s="86" t="s">
        <v>1704</v>
      </c>
      <c r="C163" s="86" t="s">
        <v>1705</v>
      </c>
      <c r="D163" s="86" t="s">
        <v>1706</v>
      </c>
      <c r="E163" s="86" t="s">
        <v>1707</v>
      </c>
      <c r="F163" s="86" t="s">
        <v>1708</v>
      </c>
      <c r="G163" s="86" t="s">
        <v>399</v>
      </c>
      <c r="H163" s="86" t="s">
        <v>813</v>
      </c>
      <c r="I163" s="108">
        <v>46108.0</v>
      </c>
      <c r="J163" s="108">
        <v>46111.0</v>
      </c>
      <c r="K163" s="89" t="s">
        <v>1268</v>
      </c>
      <c r="L163" s="86">
        <v>1.0</v>
      </c>
      <c r="M163" s="89">
        <v>1690.0</v>
      </c>
      <c r="N163" s="86" t="s">
        <v>71</v>
      </c>
      <c r="O163" s="86" t="s">
        <v>91</v>
      </c>
      <c r="P163" s="86" t="s">
        <v>72</v>
      </c>
      <c r="Q163" s="86" t="s">
        <v>26</v>
      </c>
      <c r="R163" s="86" t="s">
        <v>73</v>
      </c>
      <c r="S163" s="86" t="s">
        <v>129</v>
      </c>
      <c r="T163" s="235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</row>
    <row r="164">
      <c r="A164" s="12">
        <v>160.0</v>
      </c>
      <c r="B164" s="86" t="s">
        <v>1709</v>
      </c>
      <c r="C164" s="86" t="s">
        <v>1705</v>
      </c>
      <c r="D164" s="86" t="s">
        <v>1710</v>
      </c>
      <c r="E164" s="86">
        <v>1.1969303541E10</v>
      </c>
      <c r="F164" s="86" t="s">
        <v>1711</v>
      </c>
      <c r="G164" s="86" t="s">
        <v>399</v>
      </c>
      <c r="H164" s="86" t="s">
        <v>1712</v>
      </c>
      <c r="I164" s="108">
        <v>46111.0</v>
      </c>
      <c r="J164" s="91"/>
      <c r="K164" s="89" t="s">
        <v>1268</v>
      </c>
      <c r="L164" s="86">
        <v>1.0</v>
      </c>
      <c r="M164" s="238">
        <v>600.0</v>
      </c>
      <c r="N164" s="86" t="s">
        <v>58</v>
      </c>
      <c r="O164" s="86" t="s">
        <v>91</v>
      </c>
      <c r="P164" s="86" t="s">
        <v>40</v>
      </c>
      <c r="Q164" s="91"/>
      <c r="R164" s="86" t="s">
        <v>233</v>
      </c>
      <c r="S164" s="86" t="s">
        <v>129</v>
      </c>
      <c r="T164" s="236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</row>
    <row r="165">
      <c r="A165" s="12">
        <v>161.0</v>
      </c>
      <c r="B165" s="86" t="s">
        <v>1713</v>
      </c>
      <c r="C165" s="86" t="s">
        <v>1714</v>
      </c>
      <c r="D165" s="86" t="s">
        <v>1715</v>
      </c>
      <c r="E165" s="86" t="s">
        <v>1716</v>
      </c>
      <c r="F165" s="134" t="s">
        <v>1717</v>
      </c>
      <c r="G165" s="86" t="s">
        <v>26</v>
      </c>
      <c r="H165" s="86" t="s">
        <v>1718</v>
      </c>
      <c r="I165" s="108">
        <v>46111.0</v>
      </c>
      <c r="J165" s="91"/>
      <c r="K165" s="89" t="s">
        <v>57</v>
      </c>
      <c r="L165" s="86">
        <v>1.0</v>
      </c>
      <c r="M165" s="89">
        <v>800.0</v>
      </c>
      <c r="N165" s="86" t="s">
        <v>58</v>
      </c>
      <c r="O165" s="86" t="s">
        <v>29</v>
      </c>
      <c r="P165" s="91"/>
      <c r="Q165" s="91"/>
      <c r="R165" s="86" t="s">
        <v>41</v>
      </c>
      <c r="S165" s="86" t="s">
        <v>148</v>
      </c>
      <c r="T165" s="235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</row>
    <row r="166">
      <c r="A166" s="12">
        <v>162.0</v>
      </c>
      <c r="B166" s="86" t="s">
        <v>1719</v>
      </c>
      <c r="C166" s="251" t="s">
        <v>1661</v>
      </c>
      <c r="D166" s="86" t="s">
        <v>1720</v>
      </c>
      <c r="E166" s="86" t="s">
        <v>1721</v>
      </c>
      <c r="F166" s="264" t="s">
        <v>1722</v>
      </c>
      <c r="G166" s="86">
        <v>5.0</v>
      </c>
      <c r="H166" s="86" t="s">
        <v>65</v>
      </c>
      <c r="I166" s="108">
        <v>46111.0</v>
      </c>
      <c r="J166" s="108">
        <v>46113.0</v>
      </c>
      <c r="K166" s="89" t="s">
        <v>57</v>
      </c>
      <c r="L166" s="86">
        <v>1.0</v>
      </c>
      <c r="M166" s="89">
        <v>1250.0</v>
      </c>
      <c r="N166" s="86" t="s">
        <v>71</v>
      </c>
      <c r="O166" s="86" t="s">
        <v>29</v>
      </c>
      <c r="P166" s="86" t="s">
        <v>72</v>
      </c>
      <c r="Q166" s="86">
        <v>2688.0</v>
      </c>
      <c r="R166" s="86" t="s">
        <v>73</v>
      </c>
      <c r="S166" s="86" t="s">
        <v>129</v>
      </c>
      <c r="T166" s="235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</row>
    <row r="167">
      <c r="A167" s="12">
        <v>163.0</v>
      </c>
      <c r="B167" s="86" t="s">
        <v>1723</v>
      </c>
      <c r="C167" s="86" t="s">
        <v>1724</v>
      </c>
      <c r="D167" s="86" t="s">
        <v>1725</v>
      </c>
      <c r="E167" s="86" t="s">
        <v>1726</v>
      </c>
      <c r="F167" s="86" t="s">
        <v>1727</v>
      </c>
      <c r="G167" s="86">
        <v>1.0</v>
      </c>
      <c r="H167" s="86" t="s">
        <v>1728</v>
      </c>
      <c r="I167" s="108">
        <v>46111.0</v>
      </c>
      <c r="J167" s="91"/>
      <c r="K167" s="89">
        <v>1978.0</v>
      </c>
      <c r="L167" s="86">
        <v>1.0</v>
      </c>
      <c r="M167" s="89">
        <f>K167*1</f>
        <v>1978</v>
      </c>
      <c r="N167" s="86" t="s">
        <v>58</v>
      </c>
      <c r="O167" s="86" t="s">
        <v>29</v>
      </c>
      <c r="P167" s="86" t="s">
        <v>40</v>
      </c>
      <c r="Q167" s="91"/>
      <c r="R167" s="86" t="s">
        <v>233</v>
      </c>
      <c r="S167" s="106" t="s">
        <v>31</v>
      </c>
      <c r="T167" s="235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</row>
    <row r="168">
      <c r="A168" s="12">
        <v>164.0</v>
      </c>
      <c r="B168" s="86" t="s">
        <v>1729</v>
      </c>
      <c r="C168" s="86" t="s">
        <v>1730</v>
      </c>
      <c r="D168" s="86" t="s">
        <v>708</v>
      </c>
      <c r="E168" s="86" t="s">
        <v>1731</v>
      </c>
      <c r="F168" s="86" t="s">
        <v>1732</v>
      </c>
      <c r="G168" s="86">
        <v>20.0</v>
      </c>
      <c r="H168" s="86" t="s">
        <v>65</v>
      </c>
      <c r="I168" s="108">
        <v>46111.0</v>
      </c>
      <c r="J168" s="108">
        <v>46112.0</v>
      </c>
      <c r="K168" s="89">
        <v>253.0</v>
      </c>
      <c r="L168" s="86">
        <v>12.0</v>
      </c>
      <c r="M168" s="89">
        <f>K168*12</f>
        <v>3036</v>
      </c>
      <c r="N168" s="86" t="s">
        <v>71</v>
      </c>
      <c r="O168" s="86" t="s">
        <v>29</v>
      </c>
      <c r="P168" s="86" t="s">
        <v>72</v>
      </c>
      <c r="Q168" s="86">
        <v>2678.0</v>
      </c>
      <c r="R168" s="86" t="s">
        <v>233</v>
      </c>
      <c r="S168" s="86" t="s">
        <v>148</v>
      </c>
      <c r="T168" s="235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</row>
    <row r="169">
      <c r="A169" s="12">
        <v>165.0</v>
      </c>
      <c r="B169" s="86" t="s">
        <v>1733</v>
      </c>
      <c r="C169" s="86" t="s">
        <v>1734</v>
      </c>
      <c r="D169" s="86" t="s">
        <v>1735</v>
      </c>
      <c r="E169" s="86" t="s">
        <v>1736</v>
      </c>
      <c r="F169" s="86" t="s">
        <v>1737</v>
      </c>
      <c r="G169" s="86">
        <v>2.0</v>
      </c>
      <c r="H169" s="86" t="s">
        <v>1738</v>
      </c>
      <c r="I169" s="108">
        <v>46112.0</v>
      </c>
      <c r="J169" s="108">
        <v>46112.0</v>
      </c>
      <c r="K169" s="89" t="s">
        <v>57</v>
      </c>
      <c r="L169" s="86">
        <v>1.0</v>
      </c>
      <c r="M169" s="89">
        <v>1000.0</v>
      </c>
      <c r="N169" s="86" t="s">
        <v>71</v>
      </c>
      <c r="O169" s="86" t="s">
        <v>29</v>
      </c>
      <c r="P169" s="86" t="s">
        <v>72</v>
      </c>
      <c r="Q169" s="86">
        <v>2677.0</v>
      </c>
      <c r="R169" s="86" t="s">
        <v>233</v>
      </c>
      <c r="S169" s="86" t="s">
        <v>148</v>
      </c>
      <c r="T169" s="235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</row>
    <row r="170">
      <c r="A170" s="12">
        <v>166.0</v>
      </c>
      <c r="B170" s="106" t="s">
        <v>1739</v>
      </c>
      <c r="C170" s="106" t="s">
        <v>1740</v>
      </c>
      <c r="D170" s="106" t="s">
        <v>1741</v>
      </c>
      <c r="E170" s="106" t="s">
        <v>1742</v>
      </c>
      <c r="F170" s="106" t="s">
        <v>1743</v>
      </c>
      <c r="G170" s="106">
        <v>229.0</v>
      </c>
      <c r="H170" s="107" t="s">
        <v>123</v>
      </c>
      <c r="I170" s="108">
        <v>46101.0</v>
      </c>
      <c r="J170" s="109"/>
      <c r="K170" s="89">
        <v>2150.75</v>
      </c>
      <c r="L170" s="254" t="s">
        <v>1178</v>
      </c>
      <c r="M170" s="89">
        <f>K170*12</f>
        <v>25809</v>
      </c>
      <c r="N170" s="106" t="s">
        <v>58</v>
      </c>
      <c r="O170" s="106" t="s">
        <v>29</v>
      </c>
      <c r="P170" s="106" t="s">
        <v>40</v>
      </c>
      <c r="Q170" s="91"/>
      <c r="R170" s="106" t="s">
        <v>233</v>
      </c>
      <c r="S170" s="106" t="s">
        <v>110</v>
      </c>
      <c r="T170" s="245" t="s">
        <v>1744</v>
      </c>
      <c r="U170" s="279"/>
      <c r="V170" s="279"/>
      <c r="W170" s="279"/>
      <c r="X170" s="279"/>
      <c r="Y170" s="279"/>
      <c r="Z170" s="279"/>
      <c r="AA170" s="279"/>
      <c r="AB170" s="279"/>
      <c r="AC170" s="279"/>
      <c r="AD170" s="279"/>
      <c r="AE170" s="279"/>
      <c r="AF170" s="279"/>
      <c r="AG170" s="279"/>
      <c r="AH170" s="279"/>
      <c r="AI170" s="279"/>
      <c r="AJ170" s="279"/>
    </row>
    <row r="171">
      <c r="A171" s="12">
        <v>167.0</v>
      </c>
      <c r="B171" s="106" t="s">
        <v>1745</v>
      </c>
      <c r="C171" s="106" t="s">
        <v>1746</v>
      </c>
      <c r="D171" s="106" t="s">
        <v>1747</v>
      </c>
      <c r="E171" s="106" t="s">
        <v>1748</v>
      </c>
      <c r="F171" s="173" t="s">
        <v>1749</v>
      </c>
      <c r="G171" s="106">
        <v>3.0</v>
      </c>
      <c r="H171" s="106" t="s">
        <v>254</v>
      </c>
      <c r="I171" s="108">
        <v>46100.0</v>
      </c>
      <c r="J171" s="108">
        <v>46100.0</v>
      </c>
      <c r="K171" s="89">
        <f>M171/12</f>
        <v>54.16666667</v>
      </c>
      <c r="L171" s="254" t="s">
        <v>1178</v>
      </c>
      <c r="M171" s="89">
        <v>650.0</v>
      </c>
      <c r="N171" s="106" t="s">
        <v>71</v>
      </c>
      <c r="O171" s="106" t="s">
        <v>91</v>
      </c>
      <c r="P171" s="106" t="s">
        <v>72</v>
      </c>
      <c r="Q171" s="107">
        <v>2624.0</v>
      </c>
      <c r="R171" s="106" t="s">
        <v>233</v>
      </c>
      <c r="S171" s="106" t="s">
        <v>110</v>
      </c>
      <c r="T171" s="250" t="s">
        <v>193</v>
      </c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</row>
    <row r="172">
      <c r="A172" s="12">
        <v>168.0</v>
      </c>
      <c r="B172" s="106" t="s">
        <v>1750</v>
      </c>
      <c r="C172" s="106" t="s">
        <v>1751</v>
      </c>
      <c r="D172" s="106" t="s">
        <v>190</v>
      </c>
      <c r="E172" s="106">
        <v>1.198206213E10</v>
      </c>
      <c r="F172" s="106" t="s">
        <v>1752</v>
      </c>
      <c r="G172" s="106">
        <v>90.0</v>
      </c>
      <c r="H172" s="107" t="s">
        <v>123</v>
      </c>
      <c r="I172" s="108">
        <v>46101.0</v>
      </c>
      <c r="J172" s="109"/>
      <c r="K172" s="89">
        <v>867.94</v>
      </c>
      <c r="L172" s="254" t="s">
        <v>1178</v>
      </c>
      <c r="M172" s="89">
        <f t="shared" ref="M172:M180" si="27">K172*12</f>
        <v>10415.28</v>
      </c>
      <c r="N172" s="106" t="s">
        <v>28</v>
      </c>
      <c r="O172" s="106" t="s">
        <v>29</v>
      </c>
      <c r="P172" s="106" t="s">
        <v>40</v>
      </c>
      <c r="Q172" s="91"/>
      <c r="R172" s="106" t="s">
        <v>233</v>
      </c>
      <c r="S172" s="106" t="s">
        <v>110</v>
      </c>
      <c r="T172" s="245" t="s">
        <v>1753</v>
      </c>
      <c r="U172" s="280"/>
      <c r="V172" s="280"/>
      <c r="W172" s="280"/>
      <c r="X172" s="280"/>
      <c r="Y172" s="280"/>
      <c r="Z172" s="280"/>
      <c r="AA172" s="280"/>
      <c r="AB172" s="280"/>
      <c r="AC172" s="280"/>
      <c r="AD172" s="280"/>
      <c r="AE172" s="280"/>
      <c r="AF172" s="280"/>
      <c r="AG172" s="280"/>
      <c r="AH172" s="280"/>
      <c r="AI172" s="280"/>
      <c r="AJ172" s="280"/>
    </row>
    <row r="173">
      <c r="A173" s="12">
        <v>169.0</v>
      </c>
      <c r="B173" s="106" t="s">
        <v>1754</v>
      </c>
      <c r="C173" s="106" t="s">
        <v>1755</v>
      </c>
      <c r="D173" s="106" t="s">
        <v>1756</v>
      </c>
      <c r="E173" s="106">
        <v>1.1998653103E10</v>
      </c>
      <c r="F173" s="24" t="s">
        <v>1757</v>
      </c>
      <c r="G173" s="106">
        <v>1.0</v>
      </c>
      <c r="H173" s="107" t="s">
        <v>123</v>
      </c>
      <c r="I173" s="108">
        <v>46097.0</v>
      </c>
      <c r="J173" s="109"/>
      <c r="K173" s="89">
        <v>139.0</v>
      </c>
      <c r="L173" s="254" t="s">
        <v>1178</v>
      </c>
      <c r="M173" s="89">
        <f t="shared" si="27"/>
        <v>1668</v>
      </c>
      <c r="N173" s="106" t="s">
        <v>28</v>
      </c>
      <c r="O173" s="106" t="s">
        <v>29</v>
      </c>
      <c r="P173" s="106" t="s">
        <v>40</v>
      </c>
      <c r="Q173" s="91"/>
      <c r="R173" s="106" t="s">
        <v>233</v>
      </c>
      <c r="S173" s="106" t="s">
        <v>110</v>
      </c>
      <c r="T173" s="235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</row>
    <row r="174">
      <c r="A174" s="12">
        <v>170.0</v>
      </c>
      <c r="B174" s="106" t="s">
        <v>1758</v>
      </c>
      <c r="C174" s="106" t="s">
        <v>1759</v>
      </c>
      <c r="D174" s="106" t="s">
        <v>1760</v>
      </c>
      <c r="E174" s="260" t="s">
        <v>1761</v>
      </c>
      <c r="F174" s="106" t="s">
        <v>1762</v>
      </c>
      <c r="G174" s="106">
        <v>3.0</v>
      </c>
      <c r="H174" s="107" t="s">
        <v>123</v>
      </c>
      <c r="I174" s="108">
        <v>46104.0</v>
      </c>
      <c r="J174" s="109"/>
      <c r="K174" s="89">
        <v>151.0</v>
      </c>
      <c r="L174" s="254" t="s">
        <v>1178</v>
      </c>
      <c r="M174" s="89">
        <f t="shared" si="27"/>
        <v>1812</v>
      </c>
      <c r="N174" s="106" t="s">
        <v>58</v>
      </c>
      <c r="O174" s="106" t="s">
        <v>29</v>
      </c>
      <c r="P174" s="106" t="s">
        <v>40</v>
      </c>
      <c r="Q174" s="91"/>
      <c r="R174" s="106" t="s">
        <v>233</v>
      </c>
      <c r="S174" s="106" t="s">
        <v>110</v>
      </c>
      <c r="T174" s="235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</row>
    <row r="175">
      <c r="A175" s="12">
        <v>171.0</v>
      </c>
      <c r="B175" s="24" t="s">
        <v>1763</v>
      </c>
      <c r="C175" s="91" t="s">
        <v>1764</v>
      </c>
      <c r="D175" s="106" t="s">
        <v>1765</v>
      </c>
      <c r="E175" s="106">
        <v>1.1941514667E10</v>
      </c>
      <c r="F175" s="173" t="s">
        <v>1766</v>
      </c>
      <c r="G175" s="106">
        <v>7.0</v>
      </c>
      <c r="H175" s="107" t="s">
        <v>123</v>
      </c>
      <c r="I175" s="108">
        <v>46086.0</v>
      </c>
      <c r="J175" s="109"/>
      <c r="K175" s="89">
        <v>204.5</v>
      </c>
      <c r="L175" s="254" t="s">
        <v>1178</v>
      </c>
      <c r="M175" s="89">
        <f t="shared" si="27"/>
        <v>2454</v>
      </c>
      <c r="N175" s="106" t="s">
        <v>28</v>
      </c>
      <c r="O175" s="106" t="s">
        <v>29</v>
      </c>
      <c r="P175" s="106" t="s">
        <v>40</v>
      </c>
      <c r="Q175" s="91"/>
      <c r="R175" s="106" t="s">
        <v>233</v>
      </c>
      <c r="S175" s="106" t="s">
        <v>110</v>
      </c>
      <c r="T175" s="235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</row>
    <row r="176">
      <c r="A176" s="12">
        <v>172.0</v>
      </c>
      <c r="B176" s="106" t="s">
        <v>1767</v>
      </c>
      <c r="C176" s="106" t="s">
        <v>1768</v>
      </c>
      <c r="D176" s="106" t="s">
        <v>1769</v>
      </c>
      <c r="E176" s="106">
        <v>1.1917854555E10</v>
      </c>
      <c r="F176" s="106" t="s">
        <v>1770</v>
      </c>
      <c r="G176" s="106">
        <v>1.0</v>
      </c>
      <c r="H176" s="107" t="s">
        <v>123</v>
      </c>
      <c r="I176" s="108">
        <v>46084.0</v>
      </c>
      <c r="J176" s="109"/>
      <c r="K176" s="89">
        <v>120.0</v>
      </c>
      <c r="L176" s="254" t="s">
        <v>1178</v>
      </c>
      <c r="M176" s="89">
        <f t="shared" si="27"/>
        <v>1440</v>
      </c>
      <c r="N176" s="106" t="s">
        <v>28</v>
      </c>
      <c r="O176" s="106" t="s">
        <v>29</v>
      </c>
      <c r="P176" s="106" t="s">
        <v>40</v>
      </c>
      <c r="Q176" s="246"/>
      <c r="R176" s="106" t="s">
        <v>233</v>
      </c>
      <c r="S176" s="106" t="s">
        <v>110</v>
      </c>
      <c r="T176" s="235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</row>
    <row r="177">
      <c r="A177" s="12">
        <v>173.0</v>
      </c>
      <c r="B177" s="106" t="s">
        <v>1771</v>
      </c>
      <c r="C177" s="106" t="s">
        <v>1772</v>
      </c>
      <c r="D177" s="106" t="s">
        <v>1773</v>
      </c>
      <c r="E177" s="106" t="s">
        <v>1774</v>
      </c>
      <c r="F177" s="106" t="s">
        <v>1775</v>
      </c>
      <c r="G177" s="106">
        <v>2.0</v>
      </c>
      <c r="H177" s="107" t="s">
        <v>123</v>
      </c>
      <c r="I177" s="108">
        <v>46093.0</v>
      </c>
      <c r="J177" s="109"/>
      <c r="K177" s="89">
        <v>145.0</v>
      </c>
      <c r="L177" s="254" t="s">
        <v>1178</v>
      </c>
      <c r="M177" s="89">
        <f t="shared" si="27"/>
        <v>1740</v>
      </c>
      <c r="N177" s="106" t="s">
        <v>58</v>
      </c>
      <c r="O177" s="106" t="s">
        <v>29</v>
      </c>
      <c r="P177" s="106" t="s">
        <v>40</v>
      </c>
      <c r="Q177" s="91"/>
      <c r="R177" s="106" t="s">
        <v>233</v>
      </c>
      <c r="S177" s="106" t="s">
        <v>110</v>
      </c>
      <c r="T177" s="235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</row>
    <row r="178">
      <c r="A178" s="12">
        <v>174.0</v>
      </c>
      <c r="B178" s="106" t="s">
        <v>1776</v>
      </c>
      <c r="C178" s="106" t="s">
        <v>1777</v>
      </c>
      <c r="D178" s="106" t="s">
        <v>1773</v>
      </c>
      <c r="E178" s="106" t="s">
        <v>1774</v>
      </c>
      <c r="F178" s="106" t="s">
        <v>1775</v>
      </c>
      <c r="G178" s="106">
        <v>2.0</v>
      </c>
      <c r="H178" s="107" t="s">
        <v>123</v>
      </c>
      <c r="I178" s="108">
        <v>46093.0</v>
      </c>
      <c r="J178" s="109"/>
      <c r="K178" s="89">
        <v>145.0</v>
      </c>
      <c r="L178" s="254" t="s">
        <v>1178</v>
      </c>
      <c r="M178" s="89">
        <f t="shared" si="27"/>
        <v>1740</v>
      </c>
      <c r="N178" s="106" t="s">
        <v>58</v>
      </c>
      <c r="O178" s="106" t="s">
        <v>29</v>
      </c>
      <c r="P178" s="106" t="s">
        <v>40</v>
      </c>
      <c r="Q178" s="91"/>
      <c r="R178" s="106" t="s">
        <v>233</v>
      </c>
      <c r="S178" s="106" t="s">
        <v>110</v>
      </c>
      <c r="T178" s="235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</row>
    <row r="179">
      <c r="A179" s="12">
        <v>175.0</v>
      </c>
      <c r="B179" s="106" t="s">
        <v>1778</v>
      </c>
      <c r="C179" s="106" t="s">
        <v>1779</v>
      </c>
      <c r="D179" s="106" t="s">
        <v>1773</v>
      </c>
      <c r="E179" s="106" t="s">
        <v>1774</v>
      </c>
      <c r="F179" s="106" t="s">
        <v>1775</v>
      </c>
      <c r="G179" s="106">
        <v>7.0</v>
      </c>
      <c r="H179" s="107" t="s">
        <v>123</v>
      </c>
      <c r="I179" s="108">
        <v>46093.0</v>
      </c>
      <c r="J179" s="109"/>
      <c r="K179" s="89">
        <v>175.0</v>
      </c>
      <c r="L179" s="254" t="s">
        <v>1178</v>
      </c>
      <c r="M179" s="89">
        <f t="shared" si="27"/>
        <v>2100</v>
      </c>
      <c r="N179" s="106" t="s">
        <v>58</v>
      </c>
      <c r="O179" s="106" t="s">
        <v>29</v>
      </c>
      <c r="P179" s="106" t="s">
        <v>40</v>
      </c>
      <c r="Q179" s="91"/>
      <c r="R179" s="106" t="s">
        <v>233</v>
      </c>
      <c r="S179" s="106" t="s">
        <v>110</v>
      </c>
      <c r="T179" s="235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</row>
    <row r="180">
      <c r="A180" s="12">
        <v>176.0</v>
      </c>
      <c r="B180" s="86" t="s">
        <v>1780</v>
      </c>
      <c r="C180" s="246" t="s">
        <v>1781</v>
      </c>
      <c r="D180" s="106" t="s">
        <v>1782</v>
      </c>
      <c r="E180" s="106">
        <v>1.1984412985E10</v>
      </c>
      <c r="F180" s="106" t="s">
        <v>1783</v>
      </c>
      <c r="G180" s="106">
        <v>84.0</v>
      </c>
      <c r="H180" s="107" t="s">
        <v>123</v>
      </c>
      <c r="I180" s="108">
        <v>46106.0</v>
      </c>
      <c r="J180" s="108">
        <v>46112.0</v>
      </c>
      <c r="K180" s="89">
        <v>1270.92</v>
      </c>
      <c r="L180" s="254" t="s">
        <v>1178</v>
      </c>
      <c r="M180" s="89">
        <f t="shared" si="27"/>
        <v>15251.04</v>
      </c>
      <c r="N180" s="106" t="s">
        <v>71</v>
      </c>
      <c r="O180" s="106" t="s">
        <v>91</v>
      </c>
      <c r="P180" s="106" t="s">
        <v>72</v>
      </c>
      <c r="Q180" s="106" t="s">
        <v>1784</v>
      </c>
      <c r="R180" s="106" t="s">
        <v>233</v>
      </c>
      <c r="S180" s="106" t="s">
        <v>110</v>
      </c>
      <c r="T180" s="250" t="s">
        <v>193</v>
      </c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</row>
    <row r="181">
      <c r="A181" s="12">
        <v>177.0</v>
      </c>
      <c r="B181" s="106" t="s">
        <v>1785</v>
      </c>
      <c r="C181" s="106" t="s">
        <v>1786</v>
      </c>
      <c r="D181" s="106" t="s">
        <v>1787</v>
      </c>
      <c r="E181" s="106" t="s">
        <v>1788</v>
      </c>
      <c r="F181" s="106" t="s">
        <v>1789</v>
      </c>
      <c r="G181" s="106">
        <v>10.0</v>
      </c>
      <c r="H181" s="106" t="s">
        <v>1790</v>
      </c>
      <c r="I181" s="108">
        <v>46106.0</v>
      </c>
      <c r="J181" s="109"/>
      <c r="K181" s="89">
        <f t="shared" ref="K181:K182" si="28">M181/5</f>
        <v>360</v>
      </c>
      <c r="L181" s="254" t="s">
        <v>1791</v>
      </c>
      <c r="M181" s="89">
        <v>1800.0</v>
      </c>
      <c r="N181" s="106" t="s">
        <v>58</v>
      </c>
      <c r="O181" s="106" t="s">
        <v>29</v>
      </c>
      <c r="P181" s="106" t="s">
        <v>40</v>
      </c>
      <c r="Q181" s="91"/>
      <c r="R181" s="106" t="s">
        <v>73</v>
      </c>
      <c r="S181" s="106" t="s">
        <v>110</v>
      </c>
      <c r="T181" s="235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</row>
    <row r="182">
      <c r="A182" s="12">
        <v>178.0</v>
      </c>
      <c r="B182" s="106" t="s">
        <v>1792</v>
      </c>
      <c r="C182" s="106" t="s">
        <v>1793</v>
      </c>
      <c r="D182" s="106" t="s">
        <v>1787</v>
      </c>
      <c r="E182" s="106" t="s">
        <v>1788</v>
      </c>
      <c r="F182" s="106" t="s">
        <v>1789</v>
      </c>
      <c r="G182" s="254" t="s">
        <v>1794</v>
      </c>
      <c r="H182" s="254" t="s">
        <v>1790</v>
      </c>
      <c r="I182" s="108">
        <v>46106.0</v>
      </c>
      <c r="J182" s="91"/>
      <c r="K182" s="89">
        <f t="shared" si="28"/>
        <v>440</v>
      </c>
      <c r="L182" s="86">
        <v>5.0</v>
      </c>
      <c r="M182" s="89">
        <v>2200.0</v>
      </c>
      <c r="N182" s="106" t="s">
        <v>58</v>
      </c>
      <c r="O182" s="106" t="s">
        <v>29</v>
      </c>
      <c r="P182" s="106" t="s">
        <v>40</v>
      </c>
      <c r="Q182" s="91"/>
      <c r="R182" s="106" t="s">
        <v>73</v>
      </c>
      <c r="S182" s="106" t="s">
        <v>110</v>
      </c>
      <c r="T182" s="235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</row>
    <row r="183">
      <c r="A183" s="12">
        <v>179.0</v>
      </c>
      <c r="B183" s="106" t="s">
        <v>1795</v>
      </c>
      <c r="C183" s="106" t="s">
        <v>1796</v>
      </c>
      <c r="D183" s="106" t="s">
        <v>1797</v>
      </c>
      <c r="E183" s="106" t="s">
        <v>1798</v>
      </c>
      <c r="F183" s="106" t="s">
        <v>1799</v>
      </c>
      <c r="G183" s="106" t="s">
        <v>399</v>
      </c>
      <c r="H183" s="106" t="s">
        <v>499</v>
      </c>
      <c r="I183" s="108">
        <v>46094.0</v>
      </c>
      <c r="J183" s="91"/>
      <c r="K183" s="89" t="s">
        <v>399</v>
      </c>
      <c r="L183" s="254" t="s">
        <v>399</v>
      </c>
      <c r="M183" s="89" t="s">
        <v>399</v>
      </c>
      <c r="N183" s="106" t="s">
        <v>58</v>
      </c>
      <c r="O183" s="106" t="s">
        <v>29</v>
      </c>
      <c r="P183" s="106" t="s">
        <v>40</v>
      </c>
      <c r="Q183" s="91"/>
      <c r="R183" s="106" t="s">
        <v>73</v>
      </c>
      <c r="S183" s="106" t="s">
        <v>110</v>
      </c>
      <c r="T183" s="245" t="s">
        <v>1800</v>
      </c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</row>
    <row r="184">
      <c r="A184" s="12">
        <v>180.0</v>
      </c>
      <c r="B184" s="106" t="s">
        <v>1801</v>
      </c>
      <c r="C184" s="106" t="s">
        <v>1802</v>
      </c>
      <c r="D184" s="106" t="s">
        <v>1803</v>
      </c>
      <c r="E184" s="106" t="s">
        <v>1804</v>
      </c>
      <c r="F184" s="106" t="s">
        <v>1805</v>
      </c>
      <c r="G184" s="106" t="s">
        <v>399</v>
      </c>
      <c r="H184" s="106" t="s">
        <v>499</v>
      </c>
      <c r="I184" s="108">
        <v>46105.0</v>
      </c>
      <c r="J184" s="91"/>
      <c r="K184" s="89" t="s">
        <v>399</v>
      </c>
      <c r="L184" s="254" t="s">
        <v>399</v>
      </c>
      <c r="M184" s="89" t="s">
        <v>399</v>
      </c>
      <c r="N184" s="106" t="s">
        <v>58</v>
      </c>
      <c r="O184" s="106" t="s">
        <v>29</v>
      </c>
      <c r="P184" s="106" t="s">
        <v>40</v>
      </c>
      <c r="Q184" s="91"/>
      <c r="R184" s="106" t="s">
        <v>73</v>
      </c>
      <c r="S184" s="106" t="s">
        <v>110</v>
      </c>
      <c r="T184" s="245" t="s">
        <v>1806</v>
      </c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</row>
    <row r="185">
      <c r="A185" s="12">
        <v>181.0</v>
      </c>
      <c r="B185" s="106" t="s">
        <v>1807</v>
      </c>
      <c r="C185" s="106" t="s">
        <v>1808</v>
      </c>
      <c r="D185" s="106" t="s">
        <v>1809</v>
      </c>
      <c r="E185" s="106">
        <v>1.1995914962E10</v>
      </c>
      <c r="F185" s="106" t="s">
        <v>399</v>
      </c>
      <c r="G185" s="106">
        <v>2.0</v>
      </c>
      <c r="H185" s="107" t="s">
        <v>1810</v>
      </c>
      <c r="I185" s="108">
        <v>46106.0</v>
      </c>
      <c r="J185" s="91"/>
      <c r="K185" s="89">
        <v>525.0</v>
      </c>
      <c r="L185" s="254" t="s">
        <v>1178</v>
      </c>
      <c r="M185" s="89">
        <f t="shared" ref="M185:M187" si="29">K185*12</f>
        <v>6300</v>
      </c>
      <c r="N185" s="106" t="s">
        <v>28</v>
      </c>
      <c r="O185" s="106" t="s">
        <v>29</v>
      </c>
      <c r="P185" s="106" t="s">
        <v>40</v>
      </c>
      <c r="Q185" s="91"/>
      <c r="R185" s="106" t="s">
        <v>73</v>
      </c>
      <c r="S185" s="106" t="s">
        <v>110</v>
      </c>
      <c r="T185" s="235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</row>
    <row r="186">
      <c r="A186" s="12">
        <v>182.0</v>
      </c>
      <c r="B186" s="106" t="s">
        <v>1811</v>
      </c>
      <c r="C186" s="106" t="s">
        <v>1812</v>
      </c>
      <c r="D186" s="106" t="s">
        <v>1813</v>
      </c>
      <c r="E186" s="106" t="s">
        <v>1814</v>
      </c>
      <c r="F186" s="173" t="s">
        <v>1815</v>
      </c>
      <c r="G186" s="106">
        <v>40.0</v>
      </c>
      <c r="H186" s="107" t="s">
        <v>123</v>
      </c>
      <c r="I186" s="108">
        <v>46105.0</v>
      </c>
      <c r="J186" s="91"/>
      <c r="K186" s="89">
        <v>420.0</v>
      </c>
      <c r="L186" s="254" t="s">
        <v>1178</v>
      </c>
      <c r="M186" s="89">
        <f t="shared" si="29"/>
        <v>5040</v>
      </c>
      <c r="N186" s="106" t="s">
        <v>58</v>
      </c>
      <c r="O186" s="106" t="s">
        <v>29</v>
      </c>
      <c r="P186" s="106" t="s">
        <v>40</v>
      </c>
      <c r="Q186" s="91"/>
      <c r="R186" s="106" t="s">
        <v>73</v>
      </c>
      <c r="S186" s="106" t="s">
        <v>110</v>
      </c>
      <c r="T186" s="235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</row>
    <row r="187">
      <c r="A187" s="12">
        <v>183.0</v>
      </c>
      <c r="B187" s="106" t="s">
        <v>1816</v>
      </c>
      <c r="C187" s="106" t="s">
        <v>1817</v>
      </c>
      <c r="D187" s="106" t="s">
        <v>1818</v>
      </c>
      <c r="E187" s="106" t="s">
        <v>1819</v>
      </c>
      <c r="F187" s="106" t="s">
        <v>1820</v>
      </c>
      <c r="G187" s="106">
        <v>5.0</v>
      </c>
      <c r="H187" s="107" t="s">
        <v>1810</v>
      </c>
      <c r="I187" s="108">
        <v>46104.0</v>
      </c>
      <c r="J187" s="91"/>
      <c r="K187" s="89">
        <v>363.0</v>
      </c>
      <c r="L187" s="254" t="s">
        <v>1178</v>
      </c>
      <c r="M187" s="89">
        <f t="shared" si="29"/>
        <v>4356</v>
      </c>
      <c r="N187" s="106" t="s">
        <v>58</v>
      </c>
      <c r="O187" s="106" t="s">
        <v>29</v>
      </c>
      <c r="P187" s="106" t="s">
        <v>40</v>
      </c>
      <c r="Q187" s="91"/>
      <c r="R187" s="106" t="s">
        <v>73</v>
      </c>
      <c r="S187" s="106" t="s">
        <v>110</v>
      </c>
      <c r="T187" s="245" t="s">
        <v>1821</v>
      </c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</row>
    <row r="188">
      <c r="A188" s="12">
        <v>184.0</v>
      </c>
      <c r="B188" s="106" t="s">
        <v>118</v>
      </c>
      <c r="C188" s="106" t="s">
        <v>119</v>
      </c>
      <c r="D188" s="106" t="s">
        <v>120</v>
      </c>
      <c r="E188" s="106" t="s">
        <v>1035</v>
      </c>
      <c r="F188" s="134" t="s">
        <v>122</v>
      </c>
      <c r="G188" s="106">
        <v>80.0</v>
      </c>
      <c r="H188" s="106" t="s">
        <v>123</v>
      </c>
      <c r="I188" s="108">
        <v>46105.0</v>
      </c>
      <c r="J188" s="108">
        <v>46111.0</v>
      </c>
      <c r="K188" s="89" t="s">
        <v>1822</v>
      </c>
      <c r="L188" s="254" t="s">
        <v>1178</v>
      </c>
      <c r="M188" s="89">
        <v>14150.4</v>
      </c>
      <c r="N188" s="106" t="s">
        <v>71</v>
      </c>
      <c r="O188" s="106" t="s">
        <v>29</v>
      </c>
      <c r="P188" s="106" t="s">
        <v>72</v>
      </c>
      <c r="Q188" s="106">
        <v>2676.0</v>
      </c>
      <c r="R188" s="106" t="s">
        <v>30</v>
      </c>
      <c r="S188" s="106" t="s">
        <v>110</v>
      </c>
      <c r="T188" s="250" t="s">
        <v>193</v>
      </c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</row>
    <row r="189">
      <c r="A189" s="12">
        <v>185.0</v>
      </c>
      <c r="B189" s="106" t="s">
        <v>1823</v>
      </c>
      <c r="C189" s="106" t="s">
        <v>1824</v>
      </c>
      <c r="D189" s="106" t="s">
        <v>1825</v>
      </c>
      <c r="E189" s="106">
        <v>1.199700004E10</v>
      </c>
      <c r="F189" s="106" t="s">
        <v>26</v>
      </c>
      <c r="G189" s="106">
        <v>10.0</v>
      </c>
      <c r="H189" s="107" t="s">
        <v>123</v>
      </c>
      <c r="I189" s="108">
        <v>46111.0</v>
      </c>
      <c r="J189" s="91"/>
      <c r="K189" s="89">
        <v>193.0</v>
      </c>
      <c r="L189" s="254" t="s">
        <v>1178</v>
      </c>
      <c r="M189" s="89">
        <f>K189*12</f>
        <v>2316</v>
      </c>
      <c r="N189" s="106" t="s">
        <v>28</v>
      </c>
      <c r="O189" s="106" t="s">
        <v>29</v>
      </c>
      <c r="P189" s="106" t="s">
        <v>40</v>
      </c>
      <c r="Q189" s="91"/>
      <c r="R189" s="106" t="s">
        <v>73</v>
      </c>
      <c r="S189" s="106" t="s">
        <v>110</v>
      </c>
      <c r="T189" s="235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</row>
    <row r="190">
      <c r="A190" s="12">
        <v>186.0</v>
      </c>
      <c r="B190" s="106" t="s">
        <v>1826</v>
      </c>
      <c r="C190" s="106" t="s">
        <v>1827</v>
      </c>
      <c r="D190" s="106" t="s">
        <v>1828</v>
      </c>
      <c r="E190" s="106" t="s">
        <v>1829</v>
      </c>
      <c r="F190" s="106" t="s">
        <v>1830</v>
      </c>
      <c r="G190" s="106">
        <v>6.0</v>
      </c>
      <c r="H190" s="106" t="s">
        <v>1831</v>
      </c>
      <c r="I190" s="108">
        <v>46108.0</v>
      </c>
      <c r="J190" s="91"/>
      <c r="K190" s="89" t="s">
        <v>211</v>
      </c>
      <c r="L190" s="254" t="s">
        <v>399</v>
      </c>
      <c r="M190" s="89">
        <v>2700.0</v>
      </c>
      <c r="N190" s="106" t="s">
        <v>28</v>
      </c>
      <c r="O190" s="106" t="s">
        <v>29</v>
      </c>
      <c r="P190" s="106" t="s">
        <v>40</v>
      </c>
      <c r="Q190" s="91"/>
      <c r="R190" s="106" t="s">
        <v>73</v>
      </c>
      <c r="S190" s="106" t="s">
        <v>110</v>
      </c>
      <c r="T190" s="235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</row>
    <row r="191">
      <c r="A191" s="12">
        <v>187.0</v>
      </c>
      <c r="B191" s="106" t="s">
        <v>1832</v>
      </c>
      <c r="C191" s="106" t="s">
        <v>1833</v>
      </c>
      <c r="D191" s="106" t="s">
        <v>1834</v>
      </c>
      <c r="E191" s="106" t="s">
        <v>1835</v>
      </c>
      <c r="F191" s="173" t="s">
        <v>1836</v>
      </c>
      <c r="G191" s="106">
        <v>2.0</v>
      </c>
      <c r="H191" s="106" t="s">
        <v>123</v>
      </c>
      <c r="I191" s="108">
        <v>46112.0</v>
      </c>
      <c r="J191" s="108">
        <v>46112.0</v>
      </c>
      <c r="K191" s="89">
        <v>120.0</v>
      </c>
      <c r="L191" s="254" t="s">
        <v>1178</v>
      </c>
      <c r="M191" s="89">
        <f t="shared" ref="M191:M192" si="30">K191*12</f>
        <v>1440</v>
      </c>
      <c r="N191" s="106" t="s">
        <v>71</v>
      </c>
      <c r="O191" s="106" t="s">
        <v>29</v>
      </c>
      <c r="P191" s="106" t="s">
        <v>72</v>
      </c>
      <c r="Q191" s="106" t="s">
        <v>399</v>
      </c>
      <c r="R191" s="106" t="s">
        <v>233</v>
      </c>
      <c r="S191" s="106" t="s">
        <v>110</v>
      </c>
      <c r="T191" s="250" t="s">
        <v>193</v>
      </c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</row>
    <row r="192">
      <c r="A192" s="12">
        <v>188.0</v>
      </c>
      <c r="B192" s="106" t="s">
        <v>1837</v>
      </c>
      <c r="C192" s="106" t="s">
        <v>1838</v>
      </c>
      <c r="D192" s="106" t="s">
        <v>1839</v>
      </c>
      <c r="E192" s="106" t="s">
        <v>1840</v>
      </c>
      <c r="F192" s="106" t="s">
        <v>1841</v>
      </c>
      <c r="G192" s="106">
        <v>2.0</v>
      </c>
      <c r="H192" s="106" t="s">
        <v>65</v>
      </c>
      <c r="I192" s="108">
        <v>46112.0</v>
      </c>
      <c r="J192" s="91"/>
      <c r="K192" s="89">
        <v>145.0</v>
      </c>
      <c r="L192" s="254">
        <v>12.0</v>
      </c>
      <c r="M192" s="89">
        <f t="shared" si="30"/>
        <v>1740</v>
      </c>
      <c r="N192" s="106" t="s">
        <v>58</v>
      </c>
      <c r="O192" s="106" t="s">
        <v>29</v>
      </c>
      <c r="P192" s="106" t="s">
        <v>40</v>
      </c>
      <c r="Q192" s="91"/>
      <c r="R192" s="106" t="s">
        <v>233</v>
      </c>
      <c r="S192" s="106" t="s">
        <v>31</v>
      </c>
      <c r="T192" s="235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</row>
    <row r="193">
      <c r="A193" s="12">
        <v>189.0</v>
      </c>
      <c r="B193" s="106" t="s">
        <v>1842</v>
      </c>
      <c r="C193" s="106" t="s">
        <v>1843</v>
      </c>
      <c r="D193" s="106" t="s">
        <v>1844</v>
      </c>
      <c r="E193" s="106" t="s">
        <v>1845</v>
      </c>
      <c r="F193" s="106" t="s">
        <v>1846</v>
      </c>
      <c r="G193" s="106">
        <v>1.0</v>
      </c>
      <c r="H193" s="106" t="s">
        <v>65</v>
      </c>
      <c r="I193" s="108">
        <v>46112.0</v>
      </c>
      <c r="J193" s="91"/>
      <c r="K193" s="89">
        <v>1898.88</v>
      </c>
      <c r="L193" s="254">
        <v>1.0</v>
      </c>
      <c r="M193" s="89">
        <f t="shared" ref="M193:M194" si="31">K193*1</f>
        <v>1898.88</v>
      </c>
      <c r="N193" s="106" t="s">
        <v>58</v>
      </c>
      <c r="O193" s="106" t="s">
        <v>29</v>
      </c>
      <c r="P193" s="106" t="s">
        <v>40</v>
      </c>
      <c r="Q193" s="91"/>
      <c r="R193" s="106" t="s">
        <v>233</v>
      </c>
      <c r="S193" s="106" t="s">
        <v>31</v>
      </c>
      <c r="T193" s="235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</row>
    <row r="194">
      <c r="A194" s="12">
        <v>190.0</v>
      </c>
      <c r="B194" s="106" t="s">
        <v>1847</v>
      </c>
      <c r="C194" s="106" t="s">
        <v>1848</v>
      </c>
      <c r="D194" s="106" t="s">
        <v>1849</v>
      </c>
      <c r="E194" s="106" t="s">
        <v>1850</v>
      </c>
      <c r="F194" s="106" t="s">
        <v>1851</v>
      </c>
      <c r="G194" s="106">
        <v>1.0</v>
      </c>
      <c r="H194" s="106" t="s">
        <v>1852</v>
      </c>
      <c r="I194" s="108">
        <v>46112.0</v>
      </c>
      <c r="J194" s="91"/>
      <c r="K194" s="89">
        <v>5600.0</v>
      </c>
      <c r="L194" s="254">
        <v>1.0</v>
      </c>
      <c r="M194" s="89">
        <f t="shared" si="31"/>
        <v>5600</v>
      </c>
      <c r="N194" s="106" t="s">
        <v>58</v>
      </c>
      <c r="O194" s="106" t="s">
        <v>29</v>
      </c>
      <c r="P194" s="106" t="s">
        <v>40</v>
      </c>
      <c r="Q194" s="91"/>
      <c r="R194" s="106" t="s">
        <v>233</v>
      </c>
      <c r="S194" s="106" t="s">
        <v>31</v>
      </c>
      <c r="T194" s="235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</row>
    <row r="195">
      <c r="A195" s="12">
        <v>191.0</v>
      </c>
      <c r="B195" s="106" t="s">
        <v>923</v>
      </c>
      <c r="C195" s="106" t="s">
        <v>924</v>
      </c>
      <c r="D195" s="106" t="s">
        <v>925</v>
      </c>
      <c r="E195" s="106" t="s">
        <v>926</v>
      </c>
      <c r="F195" s="106" t="s">
        <v>927</v>
      </c>
      <c r="G195" s="106" t="s">
        <v>399</v>
      </c>
      <c r="H195" s="106" t="s">
        <v>1853</v>
      </c>
      <c r="I195" s="108">
        <v>46083.0</v>
      </c>
      <c r="J195" s="108">
        <v>46083.0</v>
      </c>
      <c r="K195" s="89" t="s">
        <v>211</v>
      </c>
      <c r="L195" s="86" t="s">
        <v>1218</v>
      </c>
      <c r="M195" s="238">
        <v>2554.2</v>
      </c>
      <c r="N195" s="106" t="s">
        <v>71</v>
      </c>
      <c r="O195" s="86" t="s">
        <v>91</v>
      </c>
      <c r="P195" s="106" t="s">
        <v>72</v>
      </c>
      <c r="Q195" s="92"/>
      <c r="R195" s="106" t="s">
        <v>233</v>
      </c>
      <c r="S195" s="86" t="s">
        <v>99</v>
      </c>
      <c r="T195" s="235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</row>
    <row r="196">
      <c r="A196" s="12">
        <v>192.0</v>
      </c>
      <c r="B196" s="106" t="s">
        <v>345</v>
      </c>
      <c r="C196" s="106" t="s">
        <v>1854</v>
      </c>
      <c r="D196" s="106" t="s">
        <v>1855</v>
      </c>
      <c r="E196" s="106" t="s">
        <v>1856</v>
      </c>
      <c r="F196" s="106" t="s">
        <v>1857</v>
      </c>
      <c r="G196" s="106" t="s">
        <v>399</v>
      </c>
      <c r="H196" s="106" t="s">
        <v>1858</v>
      </c>
      <c r="I196" s="108">
        <v>46093.0</v>
      </c>
      <c r="J196" s="108">
        <v>45735.0</v>
      </c>
      <c r="K196" s="89" t="s">
        <v>211</v>
      </c>
      <c r="L196" s="86" t="s">
        <v>1218</v>
      </c>
      <c r="M196" s="238">
        <v>4050.0</v>
      </c>
      <c r="N196" s="106" t="s">
        <v>71</v>
      </c>
      <c r="O196" s="86" t="s">
        <v>91</v>
      </c>
      <c r="P196" s="106" t="s">
        <v>72</v>
      </c>
      <c r="Q196" s="176">
        <v>2623.0</v>
      </c>
      <c r="R196" s="106" t="s">
        <v>233</v>
      </c>
      <c r="S196" s="86" t="s">
        <v>99</v>
      </c>
      <c r="T196" s="235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</row>
    <row r="197">
      <c r="A197" s="12">
        <v>193.0</v>
      </c>
      <c r="B197" s="106" t="s">
        <v>1859</v>
      </c>
      <c r="C197" s="106" t="s">
        <v>985</v>
      </c>
      <c r="D197" s="86" t="s">
        <v>1860</v>
      </c>
      <c r="E197" s="86" t="s">
        <v>1861</v>
      </c>
      <c r="F197" s="106" t="s">
        <v>1862</v>
      </c>
      <c r="G197" s="106" t="s">
        <v>399</v>
      </c>
      <c r="H197" s="106" t="s">
        <v>1863</v>
      </c>
      <c r="I197" s="108">
        <v>46101.0</v>
      </c>
      <c r="J197" s="108">
        <v>46101.0</v>
      </c>
      <c r="K197" s="89" t="s">
        <v>211</v>
      </c>
      <c r="L197" s="86" t="s">
        <v>1218</v>
      </c>
      <c r="M197" s="89">
        <v>3800.0</v>
      </c>
      <c r="N197" s="106" t="s">
        <v>71</v>
      </c>
      <c r="O197" s="86" t="s">
        <v>91</v>
      </c>
      <c r="P197" s="106" t="s">
        <v>72</v>
      </c>
      <c r="Q197" s="92"/>
      <c r="R197" s="106" t="s">
        <v>233</v>
      </c>
      <c r="S197" s="86" t="s">
        <v>99</v>
      </c>
      <c r="T197" s="235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221"/>
      <c r="L198" s="222"/>
      <c r="M198" s="221"/>
      <c r="O198" s="3"/>
      <c r="P198" s="3"/>
      <c r="Q198" s="3"/>
      <c r="R198" s="3"/>
      <c r="S198" s="3"/>
      <c r="T198" s="281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221"/>
      <c r="L199" s="222"/>
      <c r="M199" s="221"/>
      <c r="O199" s="3"/>
      <c r="P199" s="3"/>
      <c r="Q199" s="3"/>
      <c r="R199" s="3"/>
      <c r="S199" s="3"/>
      <c r="T199" s="281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221"/>
      <c r="L200" s="222"/>
      <c r="M200" s="221"/>
      <c r="O200" s="3"/>
      <c r="P200" s="3"/>
      <c r="Q200" s="3"/>
      <c r="R200" s="3"/>
      <c r="S200" s="3"/>
      <c r="T200" s="281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221"/>
      <c r="L201" s="222"/>
      <c r="M201" s="221"/>
      <c r="O201" s="3"/>
      <c r="P201" s="3"/>
      <c r="Q201" s="3"/>
      <c r="R201" s="3"/>
      <c r="S201" s="3"/>
      <c r="T201" s="281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221"/>
      <c r="L202" s="222"/>
      <c r="M202" s="221"/>
      <c r="O202" s="3"/>
      <c r="P202" s="3"/>
      <c r="Q202" s="3"/>
      <c r="R202" s="3"/>
      <c r="S202" s="3"/>
      <c r="T202" s="281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221"/>
      <c r="L203" s="222"/>
      <c r="M203" s="221"/>
      <c r="O203" s="3"/>
      <c r="P203" s="3"/>
      <c r="Q203" s="3"/>
      <c r="R203" s="3"/>
      <c r="S203" s="3"/>
      <c r="T203" s="281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221"/>
      <c r="L204" s="222"/>
      <c r="M204" s="221"/>
      <c r="O204" s="3"/>
      <c r="P204" s="3"/>
      <c r="Q204" s="3"/>
      <c r="R204" s="3"/>
      <c r="S204" s="3"/>
      <c r="T204" s="281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221"/>
      <c r="L205" s="222"/>
      <c r="M205" s="221"/>
      <c r="O205" s="3"/>
      <c r="P205" s="3"/>
      <c r="Q205" s="3"/>
      <c r="R205" s="3"/>
      <c r="S205" s="3"/>
      <c r="T205" s="281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221"/>
      <c r="L206" s="222"/>
      <c r="M206" s="221"/>
      <c r="O206" s="3"/>
      <c r="P206" s="3"/>
      <c r="Q206" s="3"/>
      <c r="R206" s="3"/>
      <c r="S206" s="3"/>
      <c r="T206" s="281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221"/>
      <c r="L207" s="222"/>
      <c r="M207" s="221"/>
      <c r="O207" s="3"/>
      <c r="P207" s="3"/>
      <c r="Q207" s="3"/>
      <c r="R207" s="3"/>
      <c r="S207" s="3"/>
      <c r="T207" s="281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221"/>
      <c r="L208" s="222"/>
      <c r="M208" s="221"/>
      <c r="O208" s="3"/>
      <c r="P208" s="3"/>
      <c r="Q208" s="3"/>
      <c r="R208" s="3"/>
      <c r="S208" s="3"/>
      <c r="T208" s="281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221"/>
      <c r="L209" s="222"/>
      <c r="M209" s="221"/>
      <c r="O209" s="3"/>
      <c r="P209" s="3"/>
      <c r="Q209" s="3"/>
      <c r="R209" s="3"/>
      <c r="S209" s="3"/>
      <c r="T209" s="281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221"/>
      <c r="L210" s="222"/>
      <c r="M210" s="221"/>
      <c r="O210" s="3"/>
      <c r="P210" s="3"/>
      <c r="Q210" s="3"/>
      <c r="R210" s="3"/>
      <c r="S210" s="3"/>
      <c r="T210" s="281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221"/>
      <c r="L211" s="222"/>
      <c r="M211" s="221"/>
      <c r="O211" s="3"/>
      <c r="P211" s="3"/>
      <c r="Q211" s="3"/>
      <c r="R211" s="3"/>
      <c r="S211" s="3"/>
      <c r="T211" s="281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221"/>
      <c r="L212" s="222"/>
      <c r="M212" s="221"/>
      <c r="O212" s="3"/>
      <c r="P212" s="3"/>
      <c r="Q212" s="3"/>
      <c r="R212" s="3"/>
      <c r="S212" s="3"/>
      <c r="T212" s="281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221"/>
      <c r="L213" s="222"/>
      <c r="M213" s="221"/>
      <c r="O213" s="3"/>
      <c r="P213" s="3"/>
      <c r="Q213" s="3"/>
      <c r="R213" s="3"/>
      <c r="S213" s="3"/>
      <c r="T213" s="281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221"/>
      <c r="L214" s="222"/>
      <c r="M214" s="221"/>
      <c r="O214" s="3"/>
      <c r="P214" s="3"/>
      <c r="Q214" s="3"/>
      <c r="R214" s="3"/>
      <c r="S214" s="3"/>
      <c r="T214" s="281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221"/>
      <c r="L215" s="222"/>
      <c r="M215" s="221"/>
      <c r="O215" s="3"/>
      <c r="P215" s="3"/>
      <c r="Q215" s="3"/>
      <c r="R215" s="3"/>
      <c r="S215" s="3"/>
      <c r="T215" s="281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221"/>
      <c r="L216" s="222"/>
      <c r="M216" s="221"/>
      <c r="O216" s="3"/>
      <c r="P216" s="3"/>
      <c r="Q216" s="3"/>
      <c r="R216" s="3"/>
      <c r="S216" s="3"/>
      <c r="T216" s="281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221"/>
      <c r="L217" s="222"/>
      <c r="M217" s="221"/>
      <c r="O217" s="3"/>
      <c r="P217" s="3"/>
      <c r="Q217" s="3"/>
      <c r="R217" s="3"/>
      <c r="S217" s="3"/>
      <c r="T217" s="281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221"/>
      <c r="L218" s="222"/>
      <c r="M218" s="221"/>
      <c r="O218" s="3"/>
      <c r="P218" s="3"/>
      <c r="Q218" s="3"/>
      <c r="R218" s="3"/>
      <c r="S218" s="3"/>
      <c r="T218" s="281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221"/>
      <c r="L219" s="222"/>
      <c r="M219" s="221"/>
      <c r="O219" s="3"/>
      <c r="P219" s="3"/>
      <c r="Q219" s="3"/>
      <c r="R219" s="3"/>
      <c r="S219" s="3"/>
      <c r="T219" s="281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221"/>
      <c r="L220" s="222"/>
      <c r="M220" s="221"/>
      <c r="O220" s="3"/>
      <c r="P220" s="3"/>
      <c r="Q220" s="3"/>
      <c r="R220" s="3"/>
      <c r="S220" s="3"/>
      <c r="T220" s="281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221"/>
      <c r="L221" s="222"/>
      <c r="M221" s="221"/>
      <c r="O221" s="3"/>
      <c r="P221" s="3"/>
      <c r="Q221" s="3"/>
      <c r="R221" s="3"/>
      <c r="S221" s="3"/>
      <c r="T221" s="281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221"/>
      <c r="L222" s="222"/>
      <c r="M222" s="221"/>
      <c r="O222" s="3"/>
      <c r="P222" s="3"/>
      <c r="Q222" s="3"/>
      <c r="R222" s="3"/>
      <c r="S222" s="3"/>
      <c r="T222" s="281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221"/>
      <c r="L223" s="222"/>
      <c r="M223" s="221"/>
      <c r="O223" s="3"/>
      <c r="P223" s="3"/>
      <c r="Q223" s="3"/>
      <c r="R223" s="3"/>
      <c r="S223" s="3"/>
      <c r="T223" s="281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221"/>
      <c r="L224" s="222"/>
      <c r="M224" s="221"/>
      <c r="O224" s="3"/>
      <c r="P224" s="3"/>
      <c r="Q224" s="3"/>
      <c r="R224" s="3"/>
      <c r="S224" s="3"/>
      <c r="T224" s="281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221"/>
      <c r="L225" s="222"/>
      <c r="M225" s="221"/>
      <c r="O225" s="3"/>
      <c r="P225" s="3"/>
      <c r="Q225" s="3"/>
      <c r="R225" s="3"/>
      <c r="S225" s="3"/>
      <c r="T225" s="281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221"/>
      <c r="L226" s="222"/>
      <c r="M226" s="221"/>
      <c r="O226" s="3"/>
      <c r="P226" s="3"/>
      <c r="Q226" s="3"/>
      <c r="R226" s="3"/>
      <c r="S226" s="3"/>
      <c r="T226" s="281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221"/>
      <c r="L227" s="222"/>
      <c r="M227" s="221"/>
      <c r="O227" s="3"/>
      <c r="P227" s="3"/>
      <c r="Q227" s="3"/>
      <c r="R227" s="3"/>
      <c r="S227" s="3"/>
      <c r="T227" s="281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221"/>
      <c r="L228" s="222"/>
      <c r="M228" s="221"/>
      <c r="O228" s="3"/>
      <c r="P228" s="3"/>
      <c r="Q228" s="3"/>
      <c r="R228" s="3"/>
      <c r="S228" s="3"/>
      <c r="T228" s="281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221"/>
      <c r="L229" s="222"/>
      <c r="M229" s="221"/>
      <c r="O229" s="3"/>
      <c r="P229" s="3"/>
      <c r="Q229" s="3"/>
      <c r="R229" s="3"/>
      <c r="S229" s="3"/>
      <c r="T229" s="281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221"/>
      <c r="L230" s="222"/>
      <c r="M230" s="221"/>
      <c r="O230" s="3"/>
      <c r="P230" s="3"/>
      <c r="Q230" s="3"/>
      <c r="R230" s="3"/>
      <c r="S230" s="3"/>
      <c r="T230" s="281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221"/>
      <c r="L231" s="222"/>
      <c r="M231" s="221"/>
      <c r="O231" s="3"/>
      <c r="P231" s="3"/>
      <c r="Q231" s="3"/>
      <c r="R231" s="3"/>
      <c r="S231" s="3"/>
      <c r="T231" s="281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221"/>
      <c r="L232" s="222"/>
      <c r="M232" s="221"/>
      <c r="O232" s="3"/>
      <c r="P232" s="3"/>
      <c r="Q232" s="3"/>
      <c r="R232" s="3"/>
      <c r="S232" s="3"/>
      <c r="T232" s="281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221"/>
      <c r="L233" s="222"/>
      <c r="M233" s="221"/>
      <c r="O233" s="3"/>
      <c r="P233" s="3"/>
      <c r="Q233" s="3"/>
      <c r="R233" s="3"/>
      <c r="S233" s="3"/>
      <c r="T233" s="281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221"/>
      <c r="L234" s="222"/>
      <c r="M234" s="221"/>
      <c r="O234" s="3"/>
      <c r="P234" s="3"/>
      <c r="Q234" s="3"/>
      <c r="R234" s="3"/>
      <c r="S234" s="3"/>
      <c r="T234" s="281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221"/>
      <c r="L235" s="222"/>
      <c r="M235" s="221"/>
      <c r="O235" s="3"/>
      <c r="P235" s="3"/>
      <c r="Q235" s="3"/>
      <c r="R235" s="3"/>
      <c r="S235" s="3"/>
      <c r="T235" s="281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221"/>
      <c r="L236" s="222"/>
      <c r="M236" s="221"/>
      <c r="O236" s="3"/>
      <c r="P236" s="3"/>
      <c r="Q236" s="3"/>
      <c r="R236" s="3"/>
      <c r="S236" s="3"/>
      <c r="T236" s="281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221"/>
      <c r="L237" s="222"/>
      <c r="M237" s="221"/>
      <c r="O237" s="3"/>
      <c r="P237" s="3"/>
      <c r="Q237" s="3"/>
      <c r="R237" s="3"/>
      <c r="S237" s="3"/>
      <c r="T237" s="281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221"/>
      <c r="L238" s="222"/>
      <c r="M238" s="221"/>
      <c r="O238" s="3"/>
      <c r="P238" s="3"/>
      <c r="Q238" s="3"/>
      <c r="R238" s="3"/>
      <c r="S238" s="3"/>
      <c r="T238" s="281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221"/>
      <c r="L239" s="222"/>
      <c r="M239" s="221"/>
      <c r="O239" s="3"/>
      <c r="P239" s="3"/>
      <c r="Q239" s="3"/>
      <c r="R239" s="3"/>
      <c r="S239" s="3"/>
      <c r="T239" s="281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221"/>
      <c r="L240" s="222"/>
      <c r="M240" s="221"/>
      <c r="O240" s="3"/>
      <c r="P240" s="3"/>
      <c r="Q240" s="3"/>
      <c r="R240" s="3"/>
      <c r="S240" s="3"/>
      <c r="T240" s="281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221"/>
      <c r="L241" s="222"/>
      <c r="M241" s="221"/>
      <c r="O241" s="3"/>
      <c r="P241" s="3"/>
      <c r="Q241" s="3"/>
      <c r="R241" s="3"/>
      <c r="S241" s="3"/>
      <c r="T241" s="281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221"/>
      <c r="L242" s="222"/>
      <c r="M242" s="221"/>
      <c r="O242" s="3"/>
      <c r="P242" s="3"/>
      <c r="Q242" s="3"/>
      <c r="R242" s="3"/>
      <c r="S242" s="3"/>
      <c r="T242" s="281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221"/>
      <c r="L243" s="222"/>
      <c r="M243" s="221"/>
      <c r="O243" s="3"/>
      <c r="P243" s="3"/>
      <c r="Q243" s="3"/>
      <c r="R243" s="3"/>
      <c r="S243" s="3"/>
      <c r="T243" s="281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221"/>
      <c r="L244" s="222"/>
      <c r="M244" s="221"/>
      <c r="O244" s="3"/>
      <c r="P244" s="3"/>
      <c r="Q244" s="3"/>
      <c r="R244" s="3"/>
      <c r="S244" s="3"/>
      <c r="T244" s="281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221"/>
      <c r="L245" s="222"/>
      <c r="M245" s="221"/>
      <c r="O245" s="3"/>
      <c r="P245" s="3"/>
      <c r="Q245" s="3"/>
      <c r="R245" s="3"/>
      <c r="S245" s="3"/>
      <c r="T245" s="281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221"/>
      <c r="L246" s="222"/>
      <c r="M246" s="221"/>
      <c r="O246" s="3"/>
      <c r="P246" s="3"/>
      <c r="Q246" s="3"/>
      <c r="R246" s="3"/>
      <c r="S246" s="3"/>
      <c r="T246" s="281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221"/>
      <c r="L247" s="222"/>
      <c r="M247" s="221"/>
      <c r="O247" s="3"/>
      <c r="P247" s="3"/>
      <c r="Q247" s="3"/>
      <c r="R247" s="3"/>
      <c r="S247" s="3"/>
      <c r="T247" s="281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221"/>
      <c r="L248" s="222"/>
      <c r="M248" s="221"/>
      <c r="O248" s="3"/>
      <c r="P248" s="3"/>
      <c r="Q248" s="3"/>
      <c r="R248" s="3"/>
      <c r="S248" s="3"/>
      <c r="T248" s="281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221"/>
      <c r="L249" s="222"/>
      <c r="M249" s="221"/>
      <c r="O249" s="3"/>
      <c r="P249" s="3"/>
      <c r="Q249" s="3"/>
      <c r="R249" s="3"/>
      <c r="S249" s="3"/>
      <c r="T249" s="281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221"/>
      <c r="L250" s="222"/>
      <c r="M250" s="221"/>
      <c r="O250" s="3"/>
      <c r="P250" s="3"/>
      <c r="Q250" s="3"/>
      <c r="R250" s="3"/>
      <c r="S250" s="3"/>
      <c r="T250" s="281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221"/>
      <c r="L251" s="222"/>
      <c r="M251" s="221"/>
      <c r="O251" s="3"/>
      <c r="P251" s="3"/>
      <c r="Q251" s="3"/>
      <c r="R251" s="3"/>
      <c r="S251" s="3"/>
      <c r="T251" s="281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221"/>
      <c r="L252" s="222"/>
      <c r="M252" s="221"/>
      <c r="O252" s="3"/>
      <c r="P252" s="3"/>
      <c r="Q252" s="3"/>
      <c r="R252" s="3"/>
      <c r="S252" s="3"/>
      <c r="T252" s="281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221"/>
      <c r="L253" s="222"/>
      <c r="M253" s="221"/>
      <c r="O253" s="3"/>
      <c r="P253" s="3"/>
      <c r="Q253" s="3"/>
      <c r="R253" s="3"/>
      <c r="S253" s="3"/>
      <c r="T253" s="281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221"/>
      <c r="L254" s="222"/>
      <c r="M254" s="221"/>
      <c r="O254" s="3"/>
      <c r="P254" s="3"/>
      <c r="Q254" s="3"/>
      <c r="R254" s="3"/>
      <c r="S254" s="3"/>
      <c r="T254" s="281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221"/>
      <c r="L255" s="222"/>
      <c r="M255" s="221"/>
      <c r="O255" s="3"/>
      <c r="P255" s="3"/>
      <c r="Q255" s="3"/>
      <c r="R255" s="3"/>
      <c r="S255" s="3"/>
      <c r="T255" s="281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221"/>
      <c r="L256" s="222"/>
      <c r="M256" s="221"/>
      <c r="O256" s="3"/>
      <c r="P256" s="3"/>
      <c r="Q256" s="3"/>
      <c r="R256" s="3"/>
      <c r="S256" s="3"/>
      <c r="T256" s="281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221"/>
      <c r="L257" s="222"/>
      <c r="M257" s="221"/>
      <c r="O257" s="3"/>
      <c r="P257" s="3"/>
      <c r="Q257" s="3"/>
      <c r="R257" s="3"/>
      <c r="S257" s="3"/>
      <c r="T257" s="281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221"/>
      <c r="L258" s="222"/>
      <c r="M258" s="221"/>
      <c r="O258" s="3"/>
      <c r="P258" s="3"/>
      <c r="Q258" s="3"/>
      <c r="R258" s="3"/>
      <c r="S258" s="3"/>
      <c r="T258" s="281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221"/>
      <c r="L259" s="222"/>
      <c r="M259" s="221"/>
      <c r="O259" s="3"/>
      <c r="P259" s="3"/>
      <c r="Q259" s="3"/>
      <c r="R259" s="3"/>
      <c r="S259" s="3"/>
      <c r="T259" s="281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221"/>
      <c r="L260" s="222"/>
      <c r="M260" s="221"/>
      <c r="O260" s="3"/>
      <c r="P260" s="3"/>
      <c r="Q260" s="3"/>
      <c r="R260" s="3"/>
      <c r="S260" s="3"/>
      <c r="T260" s="281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221"/>
      <c r="L261" s="222"/>
      <c r="M261" s="221"/>
      <c r="O261" s="3"/>
      <c r="P261" s="3"/>
      <c r="Q261" s="3"/>
      <c r="R261" s="3"/>
      <c r="S261" s="3"/>
      <c r="T261" s="281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221"/>
      <c r="L262" s="222"/>
      <c r="M262" s="221"/>
      <c r="O262" s="3"/>
      <c r="P262" s="3"/>
      <c r="Q262" s="3"/>
      <c r="R262" s="3"/>
      <c r="S262" s="3"/>
      <c r="T262" s="281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221"/>
      <c r="L263" s="222"/>
      <c r="M263" s="221"/>
      <c r="O263" s="3"/>
      <c r="P263" s="3"/>
      <c r="Q263" s="3"/>
      <c r="R263" s="3"/>
      <c r="S263" s="3"/>
      <c r="T263" s="281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221"/>
      <c r="L264" s="222"/>
      <c r="M264" s="221"/>
      <c r="O264" s="3"/>
      <c r="P264" s="3"/>
      <c r="Q264" s="3"/>
      <c r="R264" s="3"/>
      <c r="S264" s="3"/>
      <c r="T264" s="281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221"/>
      <c r="L265" s="222"/>
      <c r="M265" s="221"/>
      <c r="O265" s="3"/>
      <c r="P265" s="3"/>
      <c r="Q265" s="3"/>
      <c r="R265" s="3"/>
      <c r="S265" s="3"/>
      <c r="T265" s="281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221"/>
      <c r="L266" s="222"/>
      <c r="M266" s="221"/>
      <c r="O266" s="3"/>
      <c r="P266" s="3"/>
      <c r="Q266" s="3"/>
      <c r="R266" s="3"/>
      <c r="S266" s="3"/>
      <c r="T266" s="281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221"/>
      <c r="L267" s="222"/>
      <c r="M267" s="221"/>
      <c r="O267" s="3"/>
      <c r="P267" s="3"/>
      <c r="Q267" s="3"/>
      <c r="R267" s="3"/>
      <c r="S267" s="3"/>
      <c r="T267" s="281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221"/>
      <c r="L268" s="222"/>
      <c r="M268" s="221"/>
      <c r="O268" s="3"/>
      <c r="P268" s="3"/>
      <c r="Q268" s="3"/>
      <c r="R268" s="3"/>
      <c r="S268" s="3"/>
      <c r="T268" s="281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221"/>
      <c r="L269" s="222"/>
      <c r="M269" s="221"/>
      <c r="O269" s="3"/>
      <c r="P269" s="3"/>
      <c r="Q269" s="3"/>
      <c r="R269" s="3"/>
      <c r="S269" s="3"/>
      <c r="T269" s="281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221"/>
      <c r="L270" s="222"/>
      <c r="M270" s="221"/>
      <c r="O270" s="3"/>
      <c r="P270" s="3"/>
      <c r="Q270" s="3"/>
      <c r="R270" s="3"/>
      <c r="S270" s="3"/>
      <c r="T270" s="281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221"/>
      <c r="L271" s="222"/>
      <c r="M271" s="221"/>
      <c r="O271" s="3"/>
      <c r="P271" s="3"/>
      <c r="Q271" s="3"/>
      <c r="R271" s="3"/>
      <c r="S271" s="3"/>
      <c r="T271" s="281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221"/>
      <c r="L272" s="222"/>
      <c r="M272" s="221"/>
      <c r="O272" s="3"/>
      <c r="P272" s="3"/>
      <c r="Q272" s="3"/>
      <c r="R272" s="3"/>
      <c r="S272" s="3"/>
      <c r="T272" s="281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221"/>
      <c r="L273" s="222"/>
      <c r="M273" s="221"/>
      <c r="O273" s="3"/>
      <c r="P273" s="3"/>
      <c r="Q273" s="3"/>
      <c r="R273" s="3"/>
      <c r="S273" s="3"/>
      <c r="T273" s="281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221"/>
      <c r="L274" s="222"/>
      <c r="M274" s="221"/>
      <c r="O274" s="3"/>
      <c r="P274" s="3"/>
      <c r="Q274" s="3"/>
      <c r="R274" s="3"/>
      <c r="S274" s="3"/>
      <c r="T274" s="281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221"/>
      <c r="L275" s="222"/>
      <c r="M275" s="221"/>
      <c r="O275" s="3"/>
      <c r="P275" s="3"/>
      <c r="Q275" s="3"/>
      <c r="R275" s="3"/>
      <c r="S275" s="3"/>
      <c r="T275" s="281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221"/>
      <c r="L276" s="222"/>
      <c r="M276" s="221"/>
      <c r="O276" s="3"/>
      <c r="P276" s="3"/>
      <c r="Q276" s="3"/>
      <c r="R276" s="3"/>
      <c r="S276" s="3"/>
      <c r="T276" s="281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221"/>
      <c r="L277" s="222"/>
      <c r="M277" s="221"/>
      <c r="O277" s="3"/>
      <c r="P277" s="3"/>
      <c r="Q277" s="3"/>
      <c r="R277" s="3"/>
      <c r="S277" s="3"/>
      <c r="T277" s="281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221"/>
      <c r="L278" s="222"/>
      <c r="M278" s="221"/>
      <c r="O278" s="3"/>
      <c r="P278" s="3"/>
      <c r="Q278" s="3"/>
      <c r="R278" s="3"/>
      <c r="S278" s="3"/>
      <c r="T278" s="281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221"/>
      <c r="L279" s="222"/>
      <c r="M279" s="221"/>
      <c r="O279" s="3"/>
      <c r="P279" s="3"/>
      <c r="Q279" s="3"/>
      <c r="R279" s="3"/>
      <c r="S279" s="3"/>
      <c r="T279" s="281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221"/>
      <c r="L280" s="222"/>
      <c r="M280" s="221"/>
      <c r="O280" s="3"/>
      <c r="P280" s="3"/>
      <c r="Q280" s="3"/>
      <c r="R280" s="3"/>
      <c r="S280" s="3"/>
      <c r="T280" s="281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221"/>
      <c r="L281" s="222"/>
      <c r="M281" s="221"/>
      <c r="O281" s="3"/>
      <c r="P281" s="3"/>
      <c r="Q281" s="3"/>
      <c r="R281" s="3"/>
      <c r="S281" s="3"/>
      <c r="T281" s="281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221"/>
      <c r="L282" s="222"/>
      <c r="M282" s="221"/>
      <c r="O282" s="3"/>
      <c r="P282" s="3"/>
      <c r="Q282" s="3"/>
      <c r="R282" s="3"/>
      <c r="S282" s="3"/>
      <c r="T282" s="281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221"/>
      <c r="L283" s="222"/>
      <c r="M283" s="221"/>
      <c r="O283" s="3"/>
      <c r="P283" s="3"/>
      <c r="Q283" s="3"/>
      <c r="R283" s="3"/>
      <c r="S283" s="3"/>
      <c r="T283" s="281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221"/>
      <c r="L284" s="222"/>
      <c r="M284" s="221"/>
      <c r="O284" s="3"/>
      <c r="P284" s="3"/>
      <c r="Q284" s="3"/>
      <c r="R284" s="3"/>
      <c r="S284" s="3"/>
      <c r="T284" s="281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221"/>
      <c r="L285" s="222"/>
      <c r="M285" s="221"/>
      <c r="O285" s="3"/>
      <c r="P285" s="3"/>
      <c r="Q285" s="3"/>
      <c r="R285" s="3"/>
      <c r="S285" s="3"/>
      <c r="T285" s="281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221"/>
      <c r="L286" s="222"/>
      <c r="M286" s="221"/>
      <c r="O286" s="3"/>
      <c r="P286" s="3"/>
      <c r="Q286" s="3"/>
      <c r="R286" s="3"/>
      <c r="S286" s="3"/>
      <c r="T286" s="281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221"/>
      <c r="L287" s="222"/>
      <c r="M287" s="221"/>
      <c r="O287" s="3"/>
      <c r="P287" s="3"/>
      <c r="Q287" s="3"/>
      <c r="R287" s="3"/>
      <c r="S287" s="3"/>
      <c r="T287" s="281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221"/>
      <c r="L288" s="222"/>
      <c r="M288" s="221"/>
      <c r="O288" s="3"/>
      <c r="P288" s="3"/>
      <c r="Q288" s="3"/>
      <c r="R288" s="3"/>
      <c r="S288" s="3"/>
      <c r="T288" s="281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221"/>
      <c r="L289" s="222"/>
      <c r="M289" s="221"/>
      <c r="O289" s="3"/>
      <c r="P289" s="3"/>
      <c r="Q289" s="3"/>
      <c r="R289" s="3"/>
      <c r="S289" s="3"/>
      <c r="T289" s="281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221"/>
      <c r="L290" s="222"/>
      <c r="M290" s="221"/>
      <c r="O290" s="3"/>
      <c r="P290" s="3"/>
      <c r="Q290" s="3"/>
      <c r="R290" s="3"/>
      <c r="S290" s="3"/>
      <c r="T290" s="281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221"/>
      <c r="L291" s="222"/>
      <c r="M291" s="221"/>
      <c r="O291" s="3"/>
      <c r="P291" s="3"/>
      <c r="Q291" s="3"/>
      <c r="R291" s="3"/>
      <c r="S291" s="3"/>
      <c r="T291" s="281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221"/>
      <c r="L292" s="222"/>
      <c r="M292" s="221"/>
      <c r="O292" s="3"/>
      <c r="P292" s="3"/>
      <c r="Q292" s="3"/>
      <c r="R292" s="3"/>
      <c r="S292" s="3"/>
      <c r="T292" s="281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221"/>
      <c r="L293" s="222"/>
      <c r="M293" s="221"/>
      <c r="O293" s="3"/>
      <c r="P293" s="3"/>
      <c r="Q293" s="3"/>
      <c r="R293" s="3"/>
      <c r="S293" s="3"/>
      <c r="T293" s="281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221"/>
      <c r="L294" s="222"/>
      <c r="M294" s="221"/>
      <c r="O294" s="3"/>
      <c r="P294" s="3"/>
      <c r="Q294" s="3"/>
      <c r="R294" s="3"/>
      <c r="S294" s="3"/>
      <c r="T294" s="281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221"/>
      <c r="L295" s="222"/>
      <c r="M295" s="221"/>
      <c r="O295" s="3"/>
      <c r="P295" s="3"/>
      <c r="Q295" s="3"/>
      <c r="R295" s="3"/>
      <c r="S295" s="3"/>
      <c r="T295" s="281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221"/>
      <c r="L296" s="222"/>
      <c r="M296" s="221"/>
      <c r="O296" s="3"/>
      <c r="P296" s="3"/>
      <c r="Q296" s="3"/>
      <c r="R296" s="3"/>
      <c r="S296" s="3"/>
      <c r="T296" s="281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221"/>
      <c r="L297" s="222"/>
      <c r="M297" s="221"/>
      <c r="O297" s="3"/>
      <c r="P297" s="3"/>
      <c r="Q297" s="3"/>
      <c r="R297" s="3"/>
      <c r="S297" s="3"/>
      <c r="T297" s="281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221"/>
      <c r="L298" s="222"/>
      <c r="M298" s="221"/>
      <c r="O298" s="3"/>
      <c r="P298" s="3"/>
      <c r="Q298" s="3"/>
      <c r="R298" s="3"/>
      <c r="S298" s="3"/>
      <c r="T298" s="281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221"/>
      <c r="L299" s="222"/>
      <c r="M299" s="221"/>
      <c r="O299" s="3"/>
      <c r="P299" s="3"/>
      <c r="Q299" s="3"/>
      <c r="R299" s="3"/>
      <c r="S299" s="3"/>
      <c r="T299" s="281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221"/>
      <c r="L300" s="222"/>
      <c r="M300" s="221"/>
      <c r="O300" s="3"/>
      <c r="P300" s="3"/>
      <c r="Q300" s="3"/>
      <c r="R300" s="3"/>
      <c r="S300" s="3"/>
      <c r="T300" s="281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221"/>
      <c r="L301" s="222"/>
      <c r="M301" s="221"/>
      <c r="O301" s="3"/>
      <c r="P301" s="3"/>
      <c r="Q301" s="3"/>
      <c r="R301" s="3"/>
      <c r="S301" s="3"/>
      <c r="T301" s="281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221"/>
      <c r="L302" s="222"/>
      <c r="M302" s="221"/>
      <c r="O302" s="3"/>
      <c r="P302" s="3"/>
      <c r="Q302" s="3"/>
      <c r="R302" s="3"/>
      <c r="S302" s="3"/>
      <c r="T302" s="281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221"/>
      <c r="L303" s="222"/>
      <c r="M303" s="221"/>
      <c r="O303" s="3"/>
      <c r="P303" s="3"/>
      <c r="Q303" s="3"/>
      <c r="R303" s="3"/>
      <c r="S303" s="3"/>
      <c r="T303" s="281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221"/>
      <c r="L304" s="222"/>
      <c r="M304" s="221"/>
      <c r="O304" s="3"/>
      <c r="P304" s="3"/>
      <c r="Q304" s="3"/>
      <c r="R304" s="3"/>
      <c r="S304" s="3"/>
      <c r="T304" s="281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221"/>
      <c r="L305" s="222"/>
      <c r="M305" s="221"/>
      <c r="O305" s="3"/>
      <c r="P305" s="3"/>
      <c r="Q305" s="3"/>
      <c r="R305" s="3"/>
      <c r="S305" s="3"/>
      <c r="T305" s="281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221"/>
      <c r="L306" s="222"/>
      <c r="M306" s="221"/>
      <c r="O306" s="3"/>
      <c r="P306" s="3"/>
      <c r="Q306" s="3"/>
      <c r="R306" s="3"/>
      <c r="S306" s="3"/>
      <c r="T306" s="281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221"/>
      <c r="L307" s="222"/>
      <c r="M307" s="221"/>
      <c r="O307" s="3"/>
      <c r="P307" s="3"/>
      <c r="Q307" s="3"/>
      <c r="R307" s="3"/>
      <c r="S307" s="3"/>
      <c r="T307" s="281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221"/>
      <c r="L308" s="222"/>
      <c r="M308" s="221"/>
      <c r="O308" s="3"/>
      <c r="P308" s="3"/>
      <c r="Q308" s="3"/>
      <c r="R308" s="3"/>
      <c r="S308" s="3"/>
      <c r="T308" s="281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221"/>
      <c r="L309" s="222"/>
      <c r="M309" s="221"/>
      <c r="O309" s="3"/>
      <c r="P309" s="3"/>
      <c r="Q309" s="3"/>
      <c r="R309" s="3"/>
      <c r="S309" s="3"/>
      <c r="T309" s="281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221"/>
      <c r="L310" s="222"/>
      <c r="M310" s="221"/>
      <c r="O310" s="3"/>
      <c r="P310" s="3"/>
      <c r="Q310" s="3"/>
      <c r="R310" s="3"/>
      <c r="S310" s="3"/>
      <c r="T310" s="281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221"/>
      <c r="L311" s="222"/>
      <c r="M311" s="221"/>
      <c r="O311" s="3"/>
      <c r="P311" s="3"/>
      <c r="Q311" s="3"/>
      <c r="R311" s="3"/>
      <c r="S311" s="3"/>
      <c r="T311" s="281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221"/>
      <c r="L312" s="222"/>
      <c r="M312" s="221"/>
      <c r="O312" s="3"/>
      <c r="P312" s="3"/>
      <c r="Q312" s="3"/>
      <c r="R312" s="3"/>
      <c r="S312" s="3"/>
      <c r="T312" s="281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221"/>
      <c r="L313" s="222"/>
      <c r="M313" s="221"/>
      <c r="O313" s="3"/>
      <c r="P313" s="3"/>
      <c r="Q313" s="3"/>
      <c r="R313" s="3"/>
      <c r="S313" s="3"/>
      <c r="T313" s="281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221"/>
      <c r="L314" s="222"/>
      <c r="M314" s="221"/>
      <c r="O314" s="3"/>
      <c r="P314" s="3"/>
      <c r="Q314" s="3"/>
      <c r="R314" s="3"/>
      <c r="S314" s="3"/>
      <c r="T314" s="281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221"/>
      <c r="L315" s="222"/>
      <c r="M315" s="221"/>
      <c r="O315" s="3"/>
      <c r="P315" s="3"/>
      <c r="Q315" s="3"/>
      <c r="R315" s="3"/>
      <c r="S315" s="3"/>
      <c r="T315" s="281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221"/>
      <c r="L316" s="222"/>
      <c r="M316" s="221"/>
      <c r="O316" s="3"/>
      <c r="P316" s="3"/>
      <c r="Q316" s="3"/>
      <c r="R316" s="3"/>
      <c r="S316" s="3"/>
      <c r="T316" s="281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221"/>
      <c r="L317" s="222"/>
      <c r="M317" s="221"/>
      <c r="O317" s="3"/>
      <c r="P317" s="3"/>
      <c r="Q317" s="3"/>
      <c r="R317" s="3"/>
      <c r="S317" s="3"/>
      <c r="T317" s="281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221"/>
      <c r="L318" s="222"/>
      <c r="M318" s="221"/>
      <c r="O318" s="3"/>
      <c r="P318" s="3"/>
      <c r="Q318" s="3"/>
      <c r="R318" s="3"/>
      <c r="S318" s="3"/>
      <c r="T318" s="281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221"/>
      <c r="L319" s="222"/>
      <c r="M319" s="221"/>
      <c r="O319" s="3"/>
      <c r="P319" s="3"/>
      <c r="Q319" s="3"/>
      <c r="R319" s="3"/>
      <c r="S319" s="3"/>
      <c r="T319" s="281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221"/>
      <c r="L320" s="222"/>
      <c r="M320" s="221"/>
      <c r="O320" s="3"/>
      <c r="P320" s="3"/>
      <c r="Q320" s="3"/>
      <c r="R320" s="3"/>
      <c r="S320" s="3"/>
      <c r="T320" s="281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221"/>
      <c r="L321" s="222"/>
      <c r="M321" s="221"/>
      <c r="O321" s="3"/>
      <c r="P321" s="3"/>
      <c r="Q321" s="3"/>
      <c r="R321" s="3"/>
      <c r="S321" s="3"/>
      <c r="T321" s="281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221"/>
      <c r="L322" s="222"/>
      <c r="M322" s="221"/>
      <c r="O322" s="3"/>
      <c r="P322" s="3"/>
      <c r="Q322" s="3"/>
      <c r="R322" s="3"/>
      <c r="S322" s="3"/>
      <c r="T322" s="281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221"/>
      <c r="L323" s="222"/>
      <c r="M323" s="221"/>
      <c r="O323" s="3"/>
      <c r="P323" s="3"/>
      <c r="Q323" s="3"/>
      <c r="R323" s="3"/>
      <c r="S323" s="3"/>
      <c r="T323" s="281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221"/>
      <c r="L324" s="222"/>
      <c r="M324" s="221"/>
      <c r="O324" s="3"/>
      <c r="P324" s="3"/>
      <c r="Q324" s="3"/>
      <c r="R324" s="3"/>
      <c r="S324" s="3"/>
      <c r="T324" s="281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221"/>
      <c r="L325" s="222"/>
      <c r="M325" s="221"/>
      <c r="O325" s="3"/>
      <c r="P325" s="3"/>
      <c r="Q325" s="3"/>
      <c r="R325" s="3"/>
      <c r="S325" s="3"/>
      <c r="T325" s="281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221"/>
      <c r="L326" s="222"/>
      <c r="M326" s="221"/>
      <c r="O326" s="3"/>
      <c r="P326" s="3"/>
      <c r="Q326" s="3"/>
      <c r="R326" s="3"/>
      <c r="S326" s="3"/>
      <c r="T326" s="281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221"/>
      <c r="L327" s="222"/>
      <c r="M327" s="221"/>
      <c r="O327" s="3"/>
      <c r="P327" s="3"/>
      <c r="Q327" s="3"/>
      <c r="R327" s="3"/>
      <c r="S327" s="3"/>
      <c r="T327" s="281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221"/>
      <c r="L328" s="222"/>
      <c r="M328" s="221"/>
      <c r="O328" s="3"/>
      <c r="P328" s="3"/>
      <c r="Q328" s="3"/>
      <c r="R328" s="3"/>
      <c r="S328" s="3"/>
      <c r="T328" s="281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221"/>
      <c r="L329" s="222"/>
      <c r="M329" s="221"/>
      <c r="O329" s="3"/>
      <c r="P329" s="3"/>
      <c r="Q329" s="3"/>
      <c r="R329" s="3"/>
      <c r="S329" s="3"/>
      <c r="T329" s="281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221"/>
      <c r="L330" s="222"/>
      <c r="M330" s="221"/>
      <c r="O330" s="3"/>
      <c r="P330" s="3"/>
      <c r="Q330" s="3"/>
      <c r="R330" s="3"/>
      <c r="S330" s="3"/>
      <c r="T330" s="281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221"/>
      <c r="L331" s="222"/>
      <c r="M331" s="221"/>
      <c r="O331" s="3"/>
      <c r="P331" s="3"/>
      <c r="Q331" s="3"/>
      <c r="R331" s="3"/>
      <c r="S331" s="3"/>
      <c r="T331" s="281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221"/>
      <c r="L332" s="222"/>
      <c r="M332" s="221"/>
      <c r="O332" s="3"/>
      <c r="P332" s="3"/>
      <c r="Q332" s="3"/>
      <c r="R332" s="3"/>
      <c r="S332" s="3"/>
      <c r="T332" s="281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221"/>
      <c r="L333" s="222"/>
      <c r="M333" s="221"/>
      <c r="O333" s="3"/>
      <c r="P333" s="3"/>
      <c r="Q333" s="3"/>
      <c r="R333" s="3"/>
      <c r="S333" s="3"/>
      <c r="T333" s="281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221"/>
      <c r="L334" s="222"/>
      <c r="M334" s="221"/>
      <c r="O334" s="3"/>
      <c r="P334" s="3"/>
      <c r="Q334" s="3"/>
      <c r="R334" s="3"/>
      <c r="S334" s="3"/>
      <c r="T334" s="281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221"/>
      <c r="L335" s="222"/>
      <c r="M335" s="221"/>
      <c r="O335" s="3"/>
      <c r="P335" s="3"/>
      <c r="Q335" s="3"/>
      <c r="R335" s="3"/>
      <c r="S335" s="3"/>
      <c r="T335" s="281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221"/>
      <c r="L336" s="222"/>
      <c r="M336" s="221"/>
      <c r="O336" s="3"/>
      <c r="P336" s="3"/>
      <c r="Q336" s="3"/>
      <c r="R336" s="3"/>
      <c r="S336" s="3"/>
      <c r="T336" s="281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221"/>
      <c r="L337" s="222"/>
      <c r="M337" s="221"/>
      <c r="O337" s="3"/>
      <c r="P337" s="3"/>
      <c r="Q337" s="3"/>
      <c r="R337" s="3"/>
      <c r="S337" s="3"/>
      <c r="T337" s="281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221"/>
      <c r="L338" s="222"/>
      <c r="M338" s="221"/>
      <c r="O338" s="3"/>
      <c r="P338" s="3"/>
      <c r="Q338" s="3"/>
      <c r="R338" s="3"/>
      <c r="S338" s="3"/>
      <c r="T338" s="281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221"/>
      <c r="L339" s="222"/>
      <c r="M339" s="221"/>
      <c r="O339" s="3"/>
      <c r="P339" s="3"/>
      <c r="Q339" s="3"/>
      <c r="R339" s="3"/>
      <c r="S339" s="3"/>
      <c r="T339" s="281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221"/>
      <c r="L340" s="222"/>
      <c r="M340" s="221"/>
      <c r="O340" s="3"/>
      <c r="P340" s="3"/>
      <c r="Q340" s="3"/>
      <c r="R340" s="3"/>
      <c r="S340" s="3"/>
      <c r="T340" s="281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221"/>
      <c r="L341" s="222"/>
      <c r="M341" s="221"/>
      <c r="O341" s="3"/>
      <c r="P341" s="3"/>
      <c r="Q341" s="3"/>
      <c r="R341" s="3"/>
      <c r="S341" s="3"/>
      <c r="T341" s="281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221"/>
      <c r="L342" s="222"/>
      <c r="M342" s="221"/>
      <c r="O342" s="3"/>
      <c r="P342" s="3"/>
      <c r="Q342" s="3"/>
      <c r="R342" s="3"/>
      <c r="S342" s="3"/>
      <c r="T342" s="281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221"/>
      <c r="L343" s="222"/>
      <c r="M343" s="221"/>
      <c r="O343" s="3"/>
      <c r="P343" s="3"/>
      <c r="Q343" s="3"/>
      <c r="R343" s="3"/>
      <c r="S343" s="3"/>
      <c r="T343" s="281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221"/>
      <c r="L344" s="222"/>
      <c r="M344" s="221"/>
      <c r="O344" s="3"/>
      <c r="P344" s="3"/>
      <c r="Q344" s="3"/>
      <c r="R344" s="3"/>
      <c r="S344" s="3"/>
      <c r="T344" s="281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221"/>
      <c r="L345" s="222"/>
      <c r="M345" s="221"/>
      <c r="O345" s="3"/>
      <c r="P345" s="3"/>
      <c r="Q345" s="3"/>
      <c r="R345" s="3"/>
      <c r="S345" s="3"/>
      <c r="T345" s="281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221"/>
      <c r="L346" s="222"/>
      <c r="M346" s="221"/>
      <c r="O346" s="3"/>
      <c r="P346" s="3"/>
      <c r="Q346" s="3"/>
      <c r="R346" s="3"/>
      <c r="S346" s="3"/>
      <c r="T346" s="281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221"/>
      <c r="L347" s="222"/>
      <c r="M347" s="221"/>
      <c r="O347" s="3"/>
      <c r="P347" s="3"/>
      <c r="Q347" s="3"/>
      <c r="R347" s="3"/>
      <c r="S347" s="3"/>
      <c r="T347" s="281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221"/>
      <c r="L348" s="222"/>
      <c r="M348" s="221"/>
      <c r="O348" s="3"/>
      <c r="P348" s="3"/>
      <c r="Q348" s="3"/>
      <c r="R348" s="3"/>
      <c r="S348" s="3"/>
      <c r="T348" s="281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221"/>
      <c r="L349" s="222"/>
      <c r="M349" s="221"/>
      <c r="O349" s="3"/>
      <c r="P349" s="3"/>
      <c r="Q349" s="3"/>
      <c r="R349" s="3"/>
      <c r="S349" s="3"/>
      <c r="T349" s="281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221"/>
      <c r="L350" s="222"/>
      <c r="M350" s="221"/>
      <c r="O350" s="3"/>
      <c r="P350" s="3"/>
      <c r="Q350" s="3"/>
      <c r="R350" s="3"/>
      <c r="S350" s="3"/>
      <c r="T350" s="281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221"/>
      <c r="L351" s="222"/>
      <c r="M351" s="221"/>
      <c r="O351" s="3"/>
      <c r="P351" s="3"/>
      <c r="Q351" s="3"/>
      <c r="R351" s="3"/>
      <c r="S351" s="3"/>
      <c r="T351" s="281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221"/>
      <c r="L352" s="222"/>
      <c r="M352" s="221"/>
      <c r="O352" s="3"/>
      <c r="P352" s="3"/>
      <c r="Q352" s="3"/>
      <c r="R352" s="3"/>
      <c r="S352" s="3"/>
      <c r="T352" s="281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221"/>
      <c r="L353" s="222"/>
      <c r="M353" s="221"/>
      <c r="O353" s="3"/>
      <c r="P353" s="3"/>
      <c r="Q353" s="3"/>
      <c r="R353" s="3"/>
      <c r="S353" s="3"/>
      <c r="T353" s="281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221"/>
      <c r="L354" s="222"/>
      <c r="M354" s="221"/>
      <c r="O354" s="3"/>
      <c r="P354" s="3"/>
      <c r="Q354" s="3"/>
      <c r="R354" s="3"/>
      <c r="S354" s="3"/>
      <c r="T354" s="281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221"/>
      <c r="L355" s="222"/>
      <c r="M355" s="221"/>
      <c r="O355" s="3"/>
      <c r="P355" s="3"/>
      <c r="Q355" s="3"/>
      <c r="R355" s="3"/>
      <c r="S355" s="3"/>
      <c r="T355" s="281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221"/>
      <c r="L356" s="222"/>
      <c r="M356" s="221"/>
      <c r="O356" s="3"/>
      <c r="P356" s="3"/>
      <c r="Q356" s="3"/>
      <c r="R356" s="3"/>
      <c r="S356" s="3"/>
      <c r="T356" s="281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221"/>
      <c r="L357" s="222"/>
      <c r="M357" s="221"/>
      <c r="O357" s="3"/>
      <c r="P357" s="3"/>
      <c r="Q357" s="3"/>
      <c r="R357" s="3"/>
      <c r="S357" s="3"/>
      <c r="T357" s="281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221"/>
      <c r="L358" s="222"/>
      <c r="M358" s="221"/>
      <c r="O358" s="3"/>
      <c r="P358" s="3"/>
      <c r="Q358" s="3"/>
      <c r="R358" s="3"/>
      <c r="S358" s="3"/>
      <c r="T358" s="281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221"/>
      <c r="L359" s="222"/>
      <c r="M359" s="221"/>
      <c r="O359" s="3"/>
      <c r="P359" s="3"/>
      <c r="Q359" s="3"/>
      <c r="R359" s="3"/>
      <c r="S359" s="3"/>
      <c r="T359" s="281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221"/>
      <c r="L360" s="222"/>
      <c r="M360" s="221"/>
      <c r="O360" s="3"/>
      <c r="P360" s="3"/>
      <c r="Q360" s="3"/>
      <c r="R360" s="3"/>
      <c r="S360" s="3"/>
      <c r="T360" s="281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221"/>
      <c r="L361" s="222"/>
      <c r="M361" s="221"/>
      <c r="O361" s="3"/>
      <c r="P361" s="3"/>
      <c r="Q361" s="3"/>
      <c r="R361" s="3"/>
      <c r="S361" s="3"/>
      <c r="T361" s="281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221"/>
      <c r="L362" s="222"/>
      <c r="M362" s="221"/>
      <c r="O362" s="3"/>
      <c r="P362" s="3"/>
      <c r="Q362" s="3"/>
      <c r="R362" s="3"/>
      <c r="S362" s="3"/>
      <c r="T362" s="281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221"/>
      <c r="L363" s="222"/>
      <c r="M363" s="221"/>
      <c r="O363" s="3"/>
      <c r="P363" s="3"/>
      <c r="Q363" s="3"/>
      <c r="R363" s="3"/>
      <c r="S363" s="3"/>
      <c r="T363" s="281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221"/>
      <c r="L364" s="222"/>
      <c r="M364" s="221"/>
      <c r="O364" s="3"/>
      <c r="P364" s="3"/>
      <c r="Q364" s="3"/>
      <c r="R364" s="3"/>
      <c r="S364" s="3"/>
      <c r="T364" s="281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221"/>
      <c r="L365" s="222"/>
      <c r="M365" s="221"/>
      <c r="O365" s="3"/>
      <c r="P365" s="3"/>
      <c r="Q365" s="3"/>
      <c r="R365" s="3"/>
      <c r="S365" s="3"/>
      <c r="T365" s="281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221"/>
      <c r="L366" s="222"/>
      <c r="M366" s="221"/>
      <c r="O366" s="3"/>
      <c r="P366" s="3"/>
      <c r="Q366" s="3"/>
      <c r="R366" s="3"/>
      <c r="S366" s="3"/>
      <c r="T366" s="281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221"/>
      <c r="L367" s="222"/>
      <c r="M367" s="221"/>
      <c r="O367" s="3"/>
      <c r="P367" s="3"/>
      <c r="Q367" s="3"/>
      <c r="R367" s="3"/>
      <c r="S367" s="3"/>
      <c r="T367" s="281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221"/>
      <c r="L368" s="222"/>
      <c r="M368" s="221"/>
      <c r="O368" s="3"/>
      <c r="P368" s="3"/>
      <c r="Q368" s="3"/>
      <c r="R368" s="3"/>
      <c r="S368" s="3"/>
      <c r="T368" s="281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221"/>
      <c r="L369" s="222"/>
      <c r="M369" s="221"/>
      <c r="O369" s="3"/>
      <c r="P369" s="3"/>
      <c r="Q369" s="3"/>
      <c r="R369" s="3"/>
      <c r="S369" s="3"/>
      <c r="T369" s="281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221"/>
      <c r="L370" s="222"/>
      <c r="M370" s="221"/>
      <c r="O370" s="3"/>
      <c r="P370" s="3"/>
      <c r="Q370" s="3"/>
      <c r="R370" s="3"/>
      <c r="S370" s="3"/>
      <c r="T370" s="281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221"/>
      <c r="L371" s="222"/>
      <c r="M371" s="221"/>
      <c r="O371" s="3"/>
      <c r="P371" s="3"/>
      <c r="Q371" s="3"/>
      <c r="R371" s="3"/>
      <c r="S371" s="3"/>
      <c r="T371" s="281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221"/>
      <c r="L372" s="222"/>
      <c r="M372" s="221"/>
      <c r="O372" s="3"/>
      <c r="P372" s="3"/>
      <c r="Q372" s="3"/>
      <c r="R372" s="3"/>
      <c r="S372" s="3"/>
      <c r="T372" s="281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221"/>
      <c r="L373" s="222"/>
      <c r="M373" s="221"/>
      <c r="O373" s="3"/>
      <c r="P373" s="3"/>
      <c r="Q373" s="3"/>
      <c r="R373" s="3"/>
      <c r="S373" s="3"/>
      <c r="T373" s="281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221"/>
      <c r="L374" s="222"/>
      <c r="M374" s="221"/>
      <c r="O374" s="3"/>
      <c r="P374" s="3"/>
      <c r="Q374" s="3"/>
      <c r="R374" s="3"/>
      <c r="S374" s="3"/>
      <c r="T374" s="281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221"/>
      <c r="L375" s="222"/>
      <c r="M375" s="221"/>
      <c r="O375" s="3"/>
      <c r="P375" s="3"/>
      <c r="Q375" s="3"/>
      <c r="R375" s="3"/>
      <c r="S375" s="3"/>
      <c r="T375" s="281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221"/>
      <c r="L376" s="222"/>
      <c r="M376" s="221"/>
      <c r="O376" s="3"/>
      <c r="P376" s="3"/>
      <c r="Q376" s="3"/>
      <c r="R376" s="3"/>
      <c r="S376" s="3"/>
      <c r="T376" s="281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221"/>
      <c r="L377" s="222"/>
      <c r="M377" s="221"/>
      <c r="O377" s="3"/>
      <c r="P377" s="3"/>
      <c r="Q377" s="3"/>
      <c r="R377" s="3"/>
      <c r="S377" s="3"/>
      <c r="T377" s="281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221"/>
      <c r="L378" s="222"/>
      <c r="M378" s="221"/>
      <c r="O378" s="3"/>
      <c r="P378" s="3"/>
      <c r="Q378" s="3"/>
      <c r="R378" s="3"/>
      <c r="S378" s="3"/>
      <c r="T378" s="281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221"/>
      <c r="L379" s="222"/>
      <c r="M379" s="221"/>
      <c r="O379" s="3"/>
      <c r="P379" s="3"/>
      <c r="Q379" s="3"/>
      <c r="R379" s="3"/>
      <c r="S379" s="3"/>
      <c r="T379" s="281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221"/>
      <c r="L380" s="222"/>
      <c r="M380" s="221"/>
      <c r="O380" s="3"/>
      <c r="P380" s="3"/>
      <c r="Q380" s="3"/>
      <c r="R380" s="3"/>
      <c r="S380" s="3"/>
      <c r="T380" s="281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221"/>
      <c r="L381" s="222"/>
      <c r="M381" s="221"/>
      <c r="O381" s="3"/>
      <c r="P381" s="3"/>
      <c r="Q381" s="3"/>
      <c r="R381" s="3"/>
      <c r="S381" s="3"/>
      <c r="T381" s="281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221"/>
      <c r="L382" s="222"/>
      <c r="M382" s="221"/>
      <c r="O382" s="3"/>
      <c r="P382" s="3"/>
      <c r="Q382" s="3"/>
      <c r="R382" s="3"/>
      <c r="S382" s="3"/>
      <c r="T382" s="281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221"/>
      <c r="L383" s="222"/>
      <c r="M383" s="221"/>
      <c r="O383" s="3"/>
      <c r="P383" s="3"/>
      <c r="Q383" s="3"/>
      <c r="R383" s="3"/>
      <c r="S383" s="3"/>
      <c r="T383" s="281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221"/>
      <c r="L384" s="222"/>
      <c r="M384" s="221"/>
      <c r="O384" s="3"/>
      <c r="P384" s="3"/>
      <c r="Q384" s="3"/>
      <c r="R384" s="3"/>
      <c r="S384" s="3"/>
      <c r="T384" s="281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221"/>
      <c r="L385" s="222"/>
      <c r="M385" s="221"/>
      <c r="O385" s="3"/>
      <c r="P385" s="3"/>
      <c r="Q385" s="3"/>
      <c r="R385" s="3"/>
      <c r="S385" s="3"/>
      <c r="T385" s="281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221"/>
      <c r="L386" s="222"/>
      <c r="M386" s="221"/>
      <c r="O386" s="3"/>
      <c r="P386" s="3"/>
      <c r="Q386" s="3"/>
      <c r="R386" s="3"/>
      <c r="S386" s="3"/>
      <c r="T386" s="281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221"/>
      <c r="L387" s="222"/>
      <c r="M387" s="221"/>
      <c r="O387" s="3"/>
      <c r="P387" s="3"/>
      <c r="Q387" s="3"/>
      <c r="R387" s="3"/>
      <c r="S387" s="3"/>
      <c r="T387" s="281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221"/>
      <c r="L388" s="222"/>
      <c r="M388" s="221"/>
      <c r="O388" s="3"/>
      <c r="P388" s="3"/>
      <c r="Q388" s="3"/>
      <c r="R388" s="3"/>
      <c r="S388" s="3"/>
      <c r="T388" s="281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221"/>
      <c r="L389" s="222"/>
      <c r="M389" s="221"/>
      <c r="O389" s="3"/>
      <c r="P389" s="3"/>
      <c r="Q389" s="3"/>
      <c r="R389" s="3"/>
      <c r="S389" s="3"/>
      <c r="T389" s="281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221"/>
      <c r="L390" s="222"/>
      <c r="M390" s="221"/>
      <c r="O390" s="3"/>
      <c r="P390" s="3"/>
      <c r="Q390" s="3"/>
      <c r="R390" s="3"/>
      <c r="S390" s="3"/>
      <c r="T390" s="281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221"/>
      <c r="L391" s="222"/>
      <c r="M391" s="221"/>
      <c r="O391" s="3"/>
      <c r="P391" s="3"/>
      <c r="Q391" s="3"/>
      <c r="R391" s="3"/>
      <c r="S391" s="3"/>
      <c r="T391" s="281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221"/>
      <c r="L392" s="222"/>
      <c r="M392" s="221"/>
      <c r="O392" s="3"/>
      <c r="P392" s="3"/>
      <c r="Q392" s="3"/>
      <c r="R392" s="3"/>
      <c r="S392" s="3"/>
      <c r="T392" s="281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221"/>
      <c r="L393" s="222"/>
      <c r="M393" s="221"/>
      <c r="O393" s="3"/>
      <c r="P393" s="3"/>
      <c r="Q393" s="3"/>
      <c r="R393" s="3"/>
      <c r="S393" s="3"/>
      <c r="T393" s="281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221"/>
      <c r="L394" s="222"/>
      <c r="M394" s="221"/>
      <c r="O394" s="3"/>
      <c r="P394" s="3"/>
      <c r="Q394" s="3"/>
      <c r="R394" s="3"/>
      <c r="S394" s="3"/>
      <c r="T394" s="281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221"/>
      <c r="L395" s="222"/>
      <c r="M395" s="221"/>
      <c r="O395" s="3"/>
      <c r="P395" s="3"/>
      <c r="Q395" s="3"/>
      <c r="R395" s="3"/>
      <c r="S395" s="3"/>
      <c r="T395" s="281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221"/>
      <c r="L396" s="222"/>
      <c r="M396" s="221"/>
      <c r="O396" s="3"/>
      <c r="P396" s="3"/>
      <c r="Q396" s="3"/>
      <c r="R396" s="3"/>
      <c r="S396" s="3"/>
      <c r="T396" s="281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221"/>
      <c r="L397" s="222"/>
      <c r="M397" s="221"/>
      <c r="O397" s="3"/>
      <c r="P397" s="3"/>
      <c r="Q397" s="3"/>
      <c r="R397" s="3"/>
      <c r="S397" s="3"/>
      <c r="T397" s="281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221"/>
      <c r="L398" s="222"/>
      <c r="M398" s="221"/>
      <c r="O398" s="3"/>
      <c r="P398" s="3"/>
      <c r="Q398" s="3"/>
      <c r="R398" s="3"/>
      <c r="S398" s="3"/>
      <c r="T398" s="281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221"/>
      <c r="L399" s="222"/>
      <c r="M399" s="221"/>
      <c r="O399" s="3"/>
      <c r="P399" s="3"/>
      <c r="Q399" s="3"/>
      <c r="R399" s="3"/>
      <c r="S399" s="3"/>
      <c r="T399" s="281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221"/>
      <c r="L400" s="222"/>
      <c r="M400" s="221"/>
      <c r="O400" s="3"/>
      <c r="P400" s="3"/>
      <c r="Q400" s="3"/>
      <c r="R400" s="3"/>
      <c r="S400" s="3"/>
      <c r="T400" s="281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221"/>
      <c r="L401" s="222"/>
      <c r="M401" s="221"/>
      <c r="O401" s="3"/>
      <c r="P401" s="3"/>
      <c r="Q401" s="3"/>
      <c r="R401" s="3"/>
      <c r="S401" s="3"/>
      <c r="T401" s="281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221"/>
      <c r="L402" s="222"/>
      <c r="M402" s="221"/>
      <c r="O402" s="3"/>
      <c r="P402" s="3"/>
      <c r="Q402" s="3"/>
      <c r="R402" s="3"/>
      <c r="S402" s="3"/>
      <c r="T402" s="281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221"/>
      <c r="L403" s="222"/>
      <c r="M403" s="221"/>
      <c r="O403" s="3"/>
      <c r="P403" s="3"/>
      <c r="Q403" s="3"/>
      <c r="R403" s="3"/>
      <c r="S403" s="3"/>
      <c r="T403" s="281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221"/>
      <c r="L404" s="222"/>
      <c r="M404" s="221"/>
      <c r="O404" s="3"/>
      <c r="P404" s="3"/>
      <c r="Q404" s="3"/>
      <c r="R404" s="3"/>
      <c r="S404" s="3"/>
      <c r="T404" s="281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221"/>
      <c r="L405" s="222"/>
      <c r="M405" s="221"/>
      <c r="O405" s="3"/>
      <c r="P405" s="3"/>
      <c r="Q405" s="3"/>
      <c r="R405" s="3"/>
      <c r="S405" s="3"/>
      <c r="T405" s="281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221"/>
      <c r="L406" s="222"/>
      <c r="M406" s="221"/>
      <c r="O406" s="3"/>
      <c r="P406" s="3"/>
      <c r="Q406" s="3"/>
      <c r="R406" s="3"/>
      <c r="S406" s="3"/>
      <c r="T406" s="281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221"/>
      <c r="L407" s="222"/>
      <c r="M407" s="221"/>
      <c r="O407" s="3"/>
      <c r="P407" s="3"/>
      <c r="Q407" s="3"/>
      <c r="R407" s="3"/>
      <c r="S407" s="3"/>
      <c r="T407" s="281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221"/>
      <c r="L408" s="222"/>
      <c r="M408" s="221"/>
      <c r="O408" s="3"/>
      <c r="P408" s="3"/>
      <c r="Q408" s="3"/>
      <c r="R408" s="3"/>
      <c r="S408" s="3"/>
      <c r="T408" s="281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221"/>
      <c r="L409" s="222"/>
      <c r="M409" s="221"/>
      <c r="O409" s="3"/>
      <c r="P409" s="3"/>
      <c r="Q409" s="3"/>
      <c r="R409" s="3"/>
      <c r="S409" s="3"/>
      <c r="T409" s="281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221"/>
      <c r="L410" s="222"/>
      <c r="M410" s="221"/>
      <c r="O410" s="3"/>
      <c r="P410" s="3"/>
      <c r="Q410" s="3"/>
      <c r="R410" s="3"/>
      <c r="S410" s="3"/>
      <c r="T410" s="281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221"/>
      <c r="L411" s="222"/>
      <c r="M411" s="221"/>
      <c r="O411" s="3"/>
      <c r="P411" s="3"/>
      <c r="Q411" s="3"/>
      <c r="R411" s="3"/>
      <c r="S411" s="3"/>
      <c r="T411" s="281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221"/>
      <c r="L412" s="222"/>
      <c r="M412" s="221"/>
      <c r="O412" s="3"/>
      <c r="P412" s="3"/>
      <c r="Q412" s="3"/>
      <c r="R412" s="3"/>
      <c r="S412" s="3"/>
      <c r="T412" s="281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221"/>
      <c r="L413" s="222"/>
      <c r="M413" s="221"/>
      <c r="O413" s="3"/>
      <c r="P413" s="3"/>
      <c r="Q413" s="3"/>
      <c r="R413" s="3"/>
      <c r="S413" s="3"/>
      <c r="T413" s="281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221"/>
      <c r="L414" s="222"/>
      <c r="M414" s="221"/>
      <c r="O414" s="3"/>
      <c r="P414" s="3"/>
      <c r="Q414" s="3"/>
      <c r="R414" s="3"/>
      <c r="S414" s="3"/>
      <c r="T414" s="281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221"/>
      <c r="L415" s="222"/>
      <c r="M415" s="221"/>
      <c r="O415" s="3"/>
      <c r="P415" s="3"/>
      <c r="Q415" s="3"/>
      <c r="R415" s="3"/>
      <c r="S415" s="3"/>
      <c r="T415" s="281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221"/>
      <c r="L416" s="222"/>
      <c r="M416" s="221"/>
      <c r="O416" s="3"/>
      <c r="P416" s="3"/>
      <c r="Q416" s="3"/>
      <c r="R416" s="3"/>
      <c r="S416" s="3"/>
      <c r="T416" s="281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221"/>
      <c r="L417" s="222"/>
      <c r="M417" s="221"/>
      <c r="O417" s="3"/>
      <c r="P417" s="3"/>
      <c r="Q417" s="3"/>
      <c r="R417" s="3"/>
      <c r="S417" s="3"/>
      <c r="T417" s="281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221"/>
      <c r="L418" s="222"/>
      <c r="M418" s="221"/>
      <c r="O418" s="3"/>
      <c r="P418" s="3"/>
      <c r="Q418" s="3"/>
      <c r="R418" s="3"/>
      <c r="S418" s="3"/>
      <c r="T418" s="281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221"/>
      <c r="L419" s="222"/>
      <c r="M419" s="221"/>
      <c r="O419" s="3"/>
      <c r="P419" s="3"/>
      <c r="Q419" s="3"/>
      <c r="R419" s="3"/>
      <c r="S419" s="3"/>
      <c r="T419" s="281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221"/>
      <c r="L420" s="222"/>
      <c r="M420" s="221"/>
      <c r="O420" s="3"/>
      <c r="P420" s="3"/>
      <c r="Q420" s="3"/>
      <c r="R420" s="3"/>
      <c r="S420" s="3"/>
      <c r="T420" s="281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221"/>
      <c r="L421" s="222"/>
      <c r="M421" s="221"/>
      <c r="O421" s="3"/>
      <c r="P421" s="3"/>
      <c r="Q421" s="3"/>
      <c r="R421" s="3"/>
      <c r="S421" s="3"/>
      <c r="T421" s="281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221"/>
      <c r="L422" s="222"/>
      <c r="M422" s="221"/>
      <c r="O422" s="3"/>
      <c r="P422" s="3"/>
      <c r="Q422" s="3"/>
      <c r="R422" s="3"/>
      <c r="S422" s="3"/>
      <c r="T422" s="281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221"/>
      <c r="L423" s="222"/>
      <c r="M423" s="221"/>
      <c r="O423" s="3"/>
      <c r="P423" s="3"/>
      <c r="Q423" s="3"/>
      <c r="R423" s="3"/>
      <c r="S423" s="3"/>
      <c r="T423" s="281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221"/>
      <c r="L424" s="222"/>
      <c r="M424" s="221"/>
      <c r="O424" s="3"/>
      <c r="P424" s="3"/>
      <c r="Q424" s="3"/>
      <c r="R424" s="3"/>
      <c r="S424" s="3"/>
      <c r="T424" s="281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221"/>
      <c r="L425" s="222"/>
      <c r="M425" s="221"/>
      <c r="O425" s="3"/>
      <c r="P425" s="3"/>
      <c r="Q425" s="3"/>
      <c r="R425" s="3"/>
      <c r="S425" s="3"/>
      <c r="T425" s="281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221"/>
      <c r="L426" s="222"/>
      <c r="M426" s="221"/>
      <c r="O426" s="3"/>
      <c r="P426" s="3"/>
      <c r="Q426" s="3"/>
      <c r="R426" s="3"/>
      <c r="S426" s="3"/>
      <c r="T426" s="281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221"/>
      <c r="L427" s="222"/>
      <c r="M427" s="221"/>
      <c r="O427" s="3"/>
      <c r="P427" s="3"/>
      <c r="Q427" s="3"/>
      <c r="R427" s="3"/>
      <c r="S427" s="3"/>
      <c r="T427" s="281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221"/>
      <c r="L428" s="222"/>
      <c r="M428" s="221"/>
      <c r="O428" s="3"/>
      <c r="P428" s="3"/>
      <c r="Q428" s="3"/>
      <c r="R428" s="3"/>
      <c r="S428" s="3"/>
      <c r="T428" s="281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221"/>
      <c r="L429" s="222"/>
      <c r="M429" s="221"/>
      <c r="O429" s="3"/>
      <c r="P429" s="3"/>
      <c r="Q429" s="3"/>
      <c r="R429" s="3"/>
      <c r="S429" s="3"/>
      <c r="T429" s="281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221"/>
      <c r="L430" s="222"/>
      <c r="M430" s="221"/>
      <c r="O430" s="3"/>
      <c r="P430" s="3"/>
      <c r="Q430" s="3"/>
      <c r="R430" s="3"/>
      <c r="S430" s="3"/>
      <c r="T430" s="281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221"/>
      <c r="L431" s="222"/>
      <c r="M431" s="221"/>
      <c r="O431" s="3"/>
      <c r="P431" s="3"/>
      <c r="Q431" s="3"/>
      <c r="R431" s="3"/>
      <c r="S431" s="3"/>
      <c r="T431" s="281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221"/>
      <c r="L432" s="222"/>
      <c r="M432" s="221"/>
      <c r="O432" s="3"/>
      <c r="P432" s="3"/>
      <c r="Q432" s="3"/>
      <c r="R432" s="3"/>
      <c r="S432" s="3"/>
      <c r="T432" s="281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221"/>
      <c r="L433" s="222"/>
      <c r="M433" s="221"/>
      <c r="O433" s="3"/>
      <c r="P433" s="3"/>
      <c r="Q433" s="3"/>
      <c r="R433" s="3"/>
      <c r="S433" s="3"/>
      <c r="T433" s="281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221"/>
      <c r="L434" s="222"/>
      <c r="M434" s="221"/>
      <c r="O434" s="3"/>
      <c r="P434" s="3"/>
      <c r="Q434" s="3"/>
      <c r="R434" s="3"/>
      <c r="S434" s="3"/>
      <c r="T434" s="281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221"/>
      <c r="L435" s="222"/>
      <c r="M435" s="221"/>
      <c r="O435" s="3"/>
      <c r="P435" s="3"/>
      <c r="Q435" s="3"/>
      <c r="R435" s="3"/>
      <c r="S435" s="3"/>
      <c r="T435" s="281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221"/>
      <c r="L436" s="222"/>
      <c r="M436" s="221"/>
      <c r="O436" s="3"/>
      <c r="P436" s="3"/>
      <c r="Q436" s="3"/>
      <c r="R436" s="3"/>
      <c r="S436" s="3"/>
      <c r="T436" s="281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221"/>
      <c r="L437" s="222"/>
      <c r="M437" s="221"/>
      <c r="O437" s="3"/>
      <c r="P437" s="3"/>
      <c r="Q437" s="3"/>
      <c r="R437" s="3"/>
      <c r="S437" s="3"/>
      <c r="T437" s="281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221"/>
      <c r="L438" s="222"/>
      <c r="M438" s="221"/>
      <c r="O438" s="3"/>
      <c r="P438" s="3"/>
      <c r="Q438" s="3"/>
      <c r="R438" s="3"/>
      <c r="S438" s="3"/>
      <c r="T438" s="281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221"/>
      <c r="L439" s="222"/>
      <c r="M439" s="221"/>
      <c r="O439" s="3"/>
      <c r="P439" s="3"/>
      <c r="Q439" s="3"/>
      <c r="R439" s="3"/>
      <c r="S439" s="3"/>
      <c r="T439" s="281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221"/>
      <c r="L440" s="222"/>
      <c r="M440" s="221"/>
      <c r="O440" s="3"/>
      <c r="P440" s="3"/>
      <c r="Q440" s="3"/>
      <c r="R440" s="3"/>
      <c r="S440" s="3"/>
      <c r="T440" s="281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221"/>
      <c r="L441" s="222"/>
      <c r="M441" s="221"/>
      <c r="O441" s="3"/>
      <c r="P441" s="3"/>
      <c r="Q441" s="3"/>
      <c r="R441" s="3"/>
      <c r="S441" s="3"/>
      <c r="T441" s="281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221"/>
      <c r="L442" s="222"/>
      <c r="M442" s="221"/>
      <c r="O442" s="3"/>
      <c r="P442" s="3"/>
      <c r="Q442" s="3"/>
      <c r="R442" s="3"/>
      <c r="S442" s="3"/>
      <c r="T442" s="281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221"/>
      <c r="L443" s="222"/>
      <c r="M443" s="221"/>
      <c r="O443" s="3"/>
      <c r="P443" s="3"/>
      <c r="Q443" s="3"/>
      <c r="R443" s="3"/>
      <c r="S443" s="3"/>
      <c r="T443" s="281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221"/>
      <c r="L444" s="222"/>
      <c r="M444" s="221"/>
      <c r="O444" s="3"/>
      <c r="P444" s="3"/>
      <c r="Q444" s="3"/>
      <c r="R444" s="3"/>
      <c r="S444" s="3"/>
      <c r="T444" s="281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221"/>
      <c r="L445" s="222"/>
      <c r="M445" s="221"/>
      <c r="O445" s="3"/>
      <c r="P445" s="3"/>
      <c r="Q445" s="3"/>
      <c r="R445" s="3"/>
      <c r="S445" s="3"/>
      <c r="T445" s="281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221"/>
      <c r="L446" s="222"/>
      <c r="M446" s="221"/>
      <c r="O446" s="3"/>
      <c r="P446" s="3"/>
      <c r="Q446" s="3"/>
      <c r="R446" s="3"/>
      <c r="S446" s="3"/>
      <c r="T446" s="281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221"/>
      <c r="L447" s="222"/>
      <c r="M447" s="221"/>
      <c r="O447" s="3"/>
      <c r="P447" s="3"/>
      <c r="Q447" s="3"/>
      <c r="R447" s="3"/>
      <c r="S447" s="3"/>
      <c r="T447" s="281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221"/>
      <c r="L448" s="222"/>
      <c r="M448" s="221"/>
      <c r="O448" s="3"/>
      <c r="P448" s="3"/>
      <c r="Q448" s="3"/>
      <c r="R448" s="3"/>
      <c r="S448" s="3"/>
      <c r="T448" s="281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221"/>
      <c r="L449" s="222"/>
      <c r="M449" s="221"/>
      <c r="O449" s="3"/>
      <c r="P449" s="3"/>
      <c r="Q449" s="3"/>
      <c r="R449" s="3"/>
      <c r="S449" s="3"/>
      <c r="T449" s="281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221"/>
      <c r="L450" s="222"/>
      <c r="M450" s="221"/>
      <c r="O450" s="3"/>
      <c r="P450" s="3"/>
      <c r="Q450" s="3"/>
      <c r="R450" s="3"/>
      <c r="S450" s="3"/>
      <c r="T450" s="281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221"/>
      <c r="L451" s="222"/>
      <c r="M451" s="221"/>
      <c r="O451" s="3"/>
      <c r="P451" s="3"/>
      <c r="Q451" s="3"/>
      <c r="R451" s="3"/>
      <c r="S451" s="3"/>
      <c r="T451" s="281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221"/>
      <c r="L452" s="222"/>
      <c r="M452" s="221"/>
      <c r="O452" s="3"/>
      <c r="P452" s="3"/>
      <c r="Q452" s="3"/>
      <c r="R452" s="3"/>
      <c r="S452" s="3"/>
      <c r="T452" s="281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221"/>
      <c r="L453" s="222"/>
      <c r="M453" s="221"/>
      <c r="O453" s="3"/>
      <c r="P453" s="3"/>
      <c r="Q453" s="3"/>
      <c r="R453" s="3"/>
      <c r="S453" s="3"/>
      <c r="T453" s="281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221"/>
      <c r="L454" s="222"/>
      <c r="M454" s="221"/>
      <c r="O454" s="3"/>
      <c r="P454" s="3"/>
      <c r="Q454" s="3"/>
      <c r="R454" s="3"/>
      <c r="S454" s="3"/>
      <c r="T454" s="281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221"/>
      <c r="L455" s="222"/>
      <c r="M455" s="221"/>
      <c r="O455" s="3"/>
      <c r="P455" s="3"/>
      <c r="Q455" s="3"/>
      <c r="R455" s="3"/>
      <c r="S455" s="3"/>
      <c r="T455" s="281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221"/>
      <c r="L456" s="222"/>
      <c r="M456" s="221"/>
      <c r="O456" s="3"/>
      <c r="P456" s="3"/>
      <c r="Q456" s="3"/>
      <c r="R456" s="3"/>
      <c r="S456" s="3"/>
      <c r="T456" s="281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221"/>
      <c r="L457" s="222"/>
      <c r="M457" s="221"/>
      <c r="O457" s="3"/>
      <c r="P457" s="3"/>
      <c r="Q457" s="3"/>
      <c r="R457" s="3"/>
      <c r="S457" s="3"/>
      <c r="T457" s="281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221"/>
      <c r="L458" s="222"/>
      <c r="M458" s="221"/>
      <c r="O458" s="3"/>
      <c r="P458" s="3"/>
      <c r="Q458" s="3"/>
      <c r="R458" s="3"/>
      <c r="S458" s="3"/>
      <c r="T458" s="281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221"/>
      <c r="L459" s="222"/>
      <c r="M459" s="221"/>
      <c r="O459" s="3"/>
      <c r="P459" s="3"/>
      <c r="Q459" s="3"/>
      <c r="R459" s="3"/>
      <c r="S459" s="3"/>
      <c r="T459" s="281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221"/>
      <c r="L460" s="222"/>
      <c r="M460" s="221"/>
      <c r="O460" s="3"/>
      <c r="P460" s="3"/>
      <c r="Q460" s="3"/>
      <c r="R460" s="3"/>
      <c r="S460" s="3"/>
      <c r="T460" s="281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221"/>
      <c r="L461" s="222"/>
      <c r="M461" s="221"/>
      <c r="O461" s="3"/>
      <c r="P461" s="3"/>
      <c r="Q461" s="3"/>
      <c r="R461" s="3"/>
      <c r="S461" s="3"/>
      <c r="T461" s="281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221"/>
      <c r="L462" s="222"/>
      <c r="M462" s="221"/>
      <c r="O462" s="3"/>
      <c r="P462" s="3"/>
      <c r="Q462" s="3"/>
      <c r="R462" s="3"/>
      <c r="S462" s="3"/>
      <c r="T462" s="281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221"/>
      <c r="L463" s="222"/>
      <c r="M463" s="221"/>
      <c r="O463" s="3"/>
      <c r="P463" s="3"/>
      <c r="Q463" s="3"/>
      <c r="R463" s="3"/>
      <c r="S463" s="3"/>
      <c r="T463" s="281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221"/>
      <c r="L464" s="222"/>
      <c r="M464" s="221"/>
      <c r="O464" s="3"/>
      <c r="P464" s="3"/>
      <c r="Q464" s="3"/>
      <c r="R464" s="3"/>
      <c r="S464" s="3"/>
      <c r="T464" s="281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221"/>
      <c r="L465" s="222"/>
      <c r="M465" s="221"/>
      <c r="O465" s="3"/>
      <c r="P465" s="3"/>
      <c r="Q465" s="3"/>
      <c r="R465" s="3"/>
      <c r="S465" s="3"/>
      <c r="T465" s="281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221"/>
      <c r="L466" s="222"/>
      <c r="M466" s="221"/>
      <c r="O466" s="3"/>
      <c r="P466" s="3"/>
      <c r="Q466" s="3"/>
      <c r="R466" s="3"/>
      <c r="S466" s="3"/>
      <c r="T466" s="281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221"/>
      <c r="L467" s="222"/>
      <c r="M467" s="221"/>
      <c r="O467" s="3"/>
      <c r="P467" s="3"/>
      <c r="Q467" s="3"/>
      <c r="R467" s="3"/>
      <c r="S467" s="3"/>
      <c r="T467" s="281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221"/>
      <c r="L468" s="222"/>
      <c r="M468" s="221"/>
      <c r="O468" s="3"/>
      <c r="P468" s="3"/>
      <c r="Q468" s="3"/>
      <c r="R468" s="3"/>
      <c r="S468" s="3"/>
      <c r="T468" s="281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221"/>
      <c r="L469" s="222"/>
      <c r="M469" s="221"/>
      <c r="O469" s="3"/>
      <c r="P469" s="3"/>
      <c r="Q469" s="3"/>
      <c r="R469" s="3"/>
      <c r="S469" s="3"/>
      <c r="T469" s="281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221"/>
      <c r="L470" s="222"/>
      <c r="M470" s="221"/>
      <c r="O470" s="3"/>
      <c r="P470" s="3"/>
      <c r="Q470" s="3"/>
      <c r="R470" s="3"/>
      <c r="S470" s="3"/>
      <c r="T470" s="281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221"/>
      <c r="L471" s="222"/>
      <c r="M471" s="221"/>
      <c r="O471" s="3"/>
      <c r="P471" s="3"/>
      <c r="Q471" s="3"/>
      <c r="R471" s="3"/>
      <c r="S471" s="3"/>
      <c r="T471" s="281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221"/>
      <c r="L472" s="222"/>
      <c r="M472" s="221"/>
      <c r="O472" s="3"/>
      <c r="P472" s="3"/>
      <c r="Q472" s="3"/>
      <c r="R472" s="3"/>
      <c r="S472" s="3"/>
      <c r="T472" s="281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221"/>
      <c r="L473" s="222"/>
      <c r="M473" s="221"/>
      <c r="O473" s="3"/>
      <c r="P473" s="3"/>
      <c r="Q473" s="3"/>
      <c r="R473" s="3"/>
      <c r="S473" s="3"/>
      <c r="T473" s="281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221"/>
      <c r="L474" s="222"/>
      <c r="M474" s="221"/>
      <c r="O474" s="3"/>
      <c r="P474" s="3"/>
      <c r="Q474" s="3"/>
      <c r="R474" s="3"/>
      <c r="S474" s="3"/>
      <c r="T474" s="281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221"/>
      <c r="L475" s="222"/>
      <c r="M475" s="221"/>
      <c r="O475" s="3"/>
      <c r="P475" s="3"/>
      <c r="Q475" s="3"/>
      <c r="R475" s="3"/>
      <c r="S475" s="3"/>
      <c r="T475" s="281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221"/>
      <c r="L476" s="222"/>
      <c r="M476" s="221"/>
      <c r="O476" s="3"/>
      <c r="P476" s="3"/>
      <c r="Q476" s="3"/>
      <c r="R476" s="3"/>
      <c r="S476" s="3"/>
      <c r="T476" s="281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221"/>
      <c r="L477" s="222"/>
      <c r="M477" s="221"/>
      <c r="O477" s="3"/>
      <c r="P477" s="3"/>
      <c r="Q477" s="3"/>
      <c r="R477" s="3"/>
      <c r="S477" s="3"/>
      <c r="T477" s="281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221"/>
      <c r="L478" s="222"/>
      <c r="M478" s="221"/>
      <c r="O478" s="3"/>
      <c r="P478" s="3"/>
      <c r="Q478" s="3"/>
      <c r="R478" s="3"/>
      <c r="S478" s="3"/>
      <c r="T478" s="281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221"/>
      <c r="L479" s="222"/>
      <c r="M479" s="221"/>
      <c r="O479" s="3"/>
      <c r="P479" s="3"/>
      <c r="Q479" s="3"/>
      <c r="R479" s="3"/>
      <c r="S479" s="3"/>
      <c r="T479" s="281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221"/>
      <c r="L480" s="222"/>
      <c r="M480" s="221"/>
      <c r="O480" s="3"/>
      <c r="P480" s="3"/>
      <c r="Q480" s="3"/>
      <c r="R480" s="3"/>
      <c r="S480" s="3"/>
      <c r="T480" s="281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221"/>
      <c r="L481" s="222"/>
      <c r="M481" s="221"/>
      <c r="O481" s="3"/>
      <c r="P481" s="3"/>
      <c r="Q481" s="3"/>
      <c r="R481" s="3"/>
      <c r="S481" s="3"/>
      <c r="T481" s="281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221"/>
      <c r="L482" s="222"/>
      <c r="M482" s="221"/>
      <c r="O482" s="3"/>
      <c r="P482" s="3"/>
      <c r="Q482" s="3"/>
      <c r="R482" s="3"/>
      <c r="S482" s="3"/>
      <c r="T482" s="281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221"/>
      <c r="L483" s="222"/>
      <c r="M483" s="221"/>
      <c r="O483" s="3"/>
      <c r="P483" s="3"/>
      <c r="Q483" s="3"/>
      <c r="R483" s="3"/>
      <c r="S483" s="3"/>
      <c r="T483" s="281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221"/>
      <c r="L484" s="222"/>
      <c r="M484" s="221"/>
      <c r="O484" s="3"/>
      <c r="P484" s="3"/>
      <c r="Q484" s="3"/>
      <c r="R484" s="3"/>
      <c r="S484" s="3"/>
      <c r="T484" s="281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221"/>
      <c r="L485" s="222"/>
      <c r="M485" s="221"/>
      <c r="O485" s="3"/>
      <c r="P485" s="3"/>
      <c r="Q485" s="3"/>
      <c r="R485" s="3"/>
      <c r="S485" s="3"/>
      <c r="T485" s="281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221"/>
      <c r="L486" s="222"/>
      <c r="M486" s="221"/>
      <c r="O486" s="3"/>
      <c r="P486" s="3"/>
      <c r="Q486" s="3"/>
      <c r="R486" s="3"/>
      <c r="S486" s="3"/>
      <c r="T486" s="281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221"/>
      <c r="L487" s="222"/>
      <c r="M487" s="221"/>
      <c r="O487" s="3"/>
      <c r="P487" s="3"/>
      <c r="Q487" s="3"/>
      <c r="R487" s="3"/>
      <c r="S487" s="3"/>
      <c r="T487" s="281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221"/>
      <c r="L488" s="222"/>
      <c r="M488" s="221"/>
      <c r="O488" s="3"/>
      <c r="P488" s="3"/>
      <c r="Q488" s="3"/>
      <c r="R488" s="3"/>
      <c r="S488" s="3"/>
      <c r="T488" s="281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221"/>
      <c r="L489" s="222"/>
      <c r="M489" s="221"/>
      <c r="O489" s="3"/>
      <c r="P489" s="3"/>
      <c r="Q489" s="3"/>
      <c r="R489" s="3"/>
      <c r="S489" s="3"/>
      <c r="T489" s="281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221"/>
      <c r="L490" s="222"/>
      <c r="M490" s="221"/>
      <c r="O490" s="3"/>
      <c r="P490" s="3"/>
      <c r="Q490" s="3"/>
      <c r="R490" s="3"/>
      <c r="S490" s="3"/>
      <c r="T490" s="281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221"/>
      <c r="L491" s="222"/>
      <c r="M491" s="221"/>
      <c r="O491" s="3"/>
      <c r="P491" s="3"/>
      <c r="Q491" s="3"/>
      <c r="R491" s="3"/>
      <c r="S491" s="3"/>
      <c r="T491" s="281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221"/>
      <c r="L492" s="222"/>
      <c r="M492" s="221"/>
      <c r="O492" s="3"/>
      <c r="P492" s="3"/>
      <c r="Q492" s="3"/>
      <c r="R492" s="3"/>
      <c r="S492" s="3"/>
      <c r="T492" s="281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221"/>
      <c r="L493" s="222"/>
      <c r="M493" s="221"/>
      <c r="O493" s="3"/>
      <c r="P493" s="3"/>
      <c r="Q493" s="3"/>
      <c r="R493" s="3"/>
      <c r="S493" s="3"/>
      <c r="T493" s="281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221"/>
      <c r="L494" s="222"/>
      <c r="M494" s="221"/>
      <c r="O494" s="3"/>
      <c r="P494" s="3"/>
      <c r="Q494" s="3"/>
      <c r="R494" s="3"/>
      <c r="S494" s="3"/>
      <c r="T494" s="281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221"/>
      <c r="L495" s="222"/>
      <c r="M495" s="221"/>
      <c r="O495" s="3"/>
      <c r="P495" s="3"/>
      <c r="Q495" s="3"/>
      <c r="R495" s="3"/>
      <c r="S495" s="3"/>
      <c r="T495" s="281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221"/>
      <c r="L496" s="222"/>
      <c r="M496" s="221"/>
      <c r="O496" s="3"/>
      <c r="P496" s="3"/>
      <c r="Q496" s="3"/>
      <c r="R496" s="3"/>
      <c r="S496" s="3"/>
      <c r="T496" s="281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221"/>
      <c r="L497" s="222"/>
      <c r="M497" s="221"/>
      <c r="O497" s="3"/>
      <c r="P497" s="3"/>
      <c r="Q497" s="3"/>
      <c r="R497" s="3"/>
      <c r="S497" s="3"/>
      <c r="T497" s="281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221"/>
      <c r="L498" s="222"/>
      <c r="M498" s="221"/>
      <c r="O498" s="3"/>
      <c r="P498" s="3"/>
      <c r="Q498" s="3"/>
      <c r="R498" s="3"/>
      <c r="S498" s="3"/>
      <c r="T498" s="281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221"/>
      <c r="L499" s="222"/>
      <c r="M499" s="221"/>
      <c r="O499" s="3"/>
      <c r="P499" s="3"/>
      <c r="Q499" s="3"/>
      <c r="R499" s="3"/>
      <c r="S499" s="3"/>
      <c r="T499" s="281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221"/>
      <c r="L500" s="222"/>
      <c r="M500" s="221"/>
      <c r="O500" s="3"/>
      <c r="P500" s="3"/>
      <c r="Q500" s="3"/>
      <c r="R500" s="3"/>
      <c r="S500" s="3"/>
      <c r="T500" s="281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221"/>
      <c r="L501" s="222"/>
      <c r="M501" s="221"/>
      <c r="O501" s="3"/>
      <c r="P501" s="3"/>
      <c r="Q501" s="3"/>
      <c r="R501" s="3"/>
      <c r="S501" s="3"/>
      <c r="T501" s="281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221"/>
      <c r="L502" s="222"/>
      <c r="M502" s="221"/>
      <c r="O502" s="3"/>
      <c r="P502" s="3"/>
      <c r="Q502" s="3"/>
      <c r="R502" s="3"/>
      <c r="S502" s="3"/>
      <c r="T502" s="281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221"/>
      <c r="L503" s="222"/>
      <c r="M503" s="221"/>
      <c r="O503" s="3"/>
      <c r="P503" s="3"/>
      <c r="Q503" s="3"/>
      <c r="R503" s="3"/>
      <c r="S503" s="3"/>
      <c r="T503" s="281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221"/>
      <c r="L504" s="222"/>
      <c r="M504" s="221"/>
      <c r="O504" s="3"/>
      <c r="P504" s="3"/>
      <c r="Q504" s="3"/>
      <c r="R504" s="3"/>
      <c r="S504" s="3"/>
      <c r="T504" s="281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221"/>
      <c r="L505" s="222"/>
      <c r="M505" s="221"/>
      <c r="O505" s="3"/>
      <c r="P505" s="3"/>
      <c r="Q505" s="3"/>
      <c r="R505" s="3"/>
      <c r="S505" s="3"/>
      <c r="T505" s="281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221"/>
      <c r="L506" s="222"/>
      <c r="M506" s="221"/>
      <c r="O506" s="3"/>
      <c r="P506" s="3"/>
      <c r="Q506" s="3"/>
      <c r="R506" s="3"/>
      <c r="S506" s="3"/>
      <c r="T506" s="281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221"/>
      <c r="L507" s="222"/>
      <c r="M507" s="221"/>
      <c r="O507" s="3"/>
      <c r="P507" s="3"/>
      <c r="Q507" s="3"/>
      <c r="R507" s="3"/>
      <c r="S507" s="3"/>
      <c r="T507" s="281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221"/>
      <c r="L508" s="222"/>
      <c r="M508" s="221"/>
      <c r="O508" s="3"/>
      <c r="P508" s="3"/>
      <c r="Q508" s="3"/>
      <c r="R508" s="3"/>
      <c r="S508" s="3"/>
      <c r="T508" s="281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221"/>
      <c r="L509" s="222"/>
      <c r="M509" s="221"/>
      <c r="O509" s="3"/>
      <c r="P509" s="3"/>
      <c r="Q509" s="3"/>
      <c r="R509" s="3"/>
      <c r="S509" s="3"/>
      <c r="T509" s="281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221"/>
      <c r="L510" s="222"/>
      <c r="M510" s="221"/>
      <c r="O510" s="3"/>
      <c r="P510" s="3"/>
      <c r="Q510" s="3"/>
      <c r="R510" s="3"/>
      <c r="S510" s="3"/>
      <c r="T510" s="281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221"/>
      <c r="L511" s="222"/>
      <c r="M511" s="221"/>
      <c r="O511" s="3"/>
      <c r="P511" s="3"/>
      <c r="Q511" s="3"/>
      <c r="R511" s="3"/>
      <c r="S511" s="3"/>
      <c r="T511" s="281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221"/>
      <c r="L512" s="222"/>
      <c r="M512" s="221"/>
      <c r="O512" s="3"/>
      <c r="P512" s="3"/>
      <c r="Q512" s="3"/>
      <c r="R512" s="3"/>
      <c r="S512" s="3"/>
      <c r="T512" s="281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221"/>
      <c r="L513" s="222"/>
      <c r="M513" s="221"/>
      <c r="O513" s="3"/>
      <c r="P513" s="3"/>
      <c r="Q513" s="3"/>
      <c r="R513" s="3"/>
      <c r="S513" s="3"/>
      <c r="T513" s="281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221"/>
      <c r="L514" s="222"/>
      <c r="M514" s="221"/>
      <c r="O514" s="3"/>
      <c r="P514" s="3"/>
      <c r="Q514" s="3"/>
      <c r="R514" s="3"/>
      <c r="S514" s="3"/>
      <c r="T514" s="281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221"/>
      <c r="L515" s="222"/>
      <c r="M515" s="221"/>
      <c r="O515" s="3"/>
      <c r="P515" s="3"/>
      <c r="Q515" s="3"/>
      <c r="R515" s="3"/>
      <c r="S515" s="3"/>
      <c r="T515" s="281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221"/>
      <c r="L516" s="222"/>
      <c r="M516" s="221"/>
      <c r="O516" s="3"/>
      <c r="P516" s="3"/>
      <c r="Q516" s="3"/>
      <c r="R516" s="3"/>
      <c r="S516" s="3"/>
      <c r="T516" s="281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221"/>
      <c r="L517" s="222"/>
      <c r="M517" s="221"/>
      <c r="O517" s="3"/>
      <c r="P517" s="3"/>
      <c r="Q517" s="3"/>
      <c r="R517" s="3"/>
      <c r="S517" s="3"/>
      <c r="T517" s="281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221"/>
      <c r="L518" s="222"/>
      <c r="M518" s="221"/>
      <c r="O518" s="3"/>
      <c r="P518" s="3"/>
      <c r="Q518" s="3"/>
      <c r="R518" s="3"/>
      <c r="S518" s="3"/>
      <c r="T518" s="281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221"/>
      <c r="L519" s="222"/>
      <c r="M519" s="221"/>
      <c r="O519" s="3"/>
      <c r="P519" s="3"/>
      <c r="Q519" s="3"/>
      <c r="R519" s="3"/>
      <c r="S519" s="3"/>
      <c r="T519" s="281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221"/>
      <c r="L520" s="222"/>
      <c r="M520" s="221"/>
      <c r="O520" s="3"/>
      <c r="P520" s="3"/>
      <c r="Q520" s="3"/>
      <c r="R520" s="3"/>
      <c r="S520" s="3"/>
      <c r="T520" s="281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221"/>
      <c r="L521" s="222"/>
      <c r="M521" s="221"/>
      <c r="O521" s="3"/>
      <c r="P521" s="3"/>
      <c r="Q521" s="3"/>
      <c r="R521" s="3"/>
      <c r="S521" s="3"/>
      <c r="T521" s="281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221"/>
      <c r="L522" s="222"/>
      <c r="M522" s="221"/>
      <c r="O522" s="3"/>
      <c r="P522" s="3"/>
      <c r="Q522" s="3"/>
      <c r="R522" s="3"/>
      <c r="S522" s="3"/>
      <c r="T522" s="281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221"/>
      <c r="L523" s="222"/>
      <c r="M523" s="221"/>
      <c r="O523" s="3"/>
      <c r="P523" s="3"/>
      <c r="Q523" s="3"/>
      <c r="R523" s="3"/>
      <c r="S523" s="3"/>
      <c r="T523" s="281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221"/>
      <c r="L524" s="222"/>
      <c r="M524" s="221"/>
      <c r="O524" s="3"/>
      <c r="P524" s="3"/>
      <c r="Q524" s="3"/>
      <c r="R524" s="3"/>
      <c r="S524" s="3"/>
      <c r="T524" s="281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221"/>
      <c r="L525" s="222"/>
      <c r="M525" s="221"/>
      <c r="O525" s="3"/>
      <c r="P525" s="3"/>
      <c r="Q525" s="3"/>
      <c r="R525" s="3"/>
      <c r="S525" s="3"/>
      <c r="T525" s="281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221"/>
      <c r="L526" s="222"/>
      <c r="M526" s="221"/>
      <c r="O526" s="3"/>
      <c r="P526" s="3"/>
      <c r="Q526" s="3"/>
      <c r="R526" s="3"/>
      <c r="S526" s="3"/>
      <c r="T526" s="281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221"/>
      <c r="L527" s="222"/>
      <c r="M527" s="221"/>
      <c r="O527" s="3"/>
      <c r="P527" s="3"/>
      <c r="Q527" s="3"/>
      <c r="R527" s="3"/>
      <c r="S527" s="3"/>
      <c r="T527" s="281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221"/>
      <c r="L528" s="222"/>
      <c r="M528" s="221"/>
      <c r="O528" s="3"/>
      <c r="P528" s="3"/>
      <c r="Q528" s="3"/>
      <c r="R528" s="3"/>
      <c r="S528" s="3"/>
      <c r="T528" s="281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221"/>
      <c r="L529" s="222"/>
      <c r="M529" s="221"/>
      <c r="O529" s="3"/>
      <c r="P529" s="3"/>
      <c r="Q529" s="3"/>
      <c r="R529" s="3"/>
      <c r="S529" s="3"/>
      <c r="T529" s="281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221"/>
      <c r="L530" s="222"/>
      <c r="M530" s="221"/>
      <c r="O530" s="3"/>
      <c r="P530" s="3"/>
      <c r="Q530" s="3"/>
      <c r="R530" s="3"/>
      <c r="S530" s="3"/>
      <c r="T530" s="281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221"/>
      <c r="L531" s="222"/>
      <c r="M531" s="221"/>
      <c r="O531" s="3"/>
      <c r="P531" s="3"/>
      <c r="Q531" s="3"/>
      <c r="R531" s="3"/>
      <c r="S531" s="3"/>
      <c r="T531" s="281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221"/>
      <c r="L532" s="222"/>
      <c r="M532" s="221"/>
      <c r="O532" s="3"/>
      <c r="P532" s="3"/>
      <c r="Q532" s="3"/>
      <c r="R532" s="3"/>
      <c r="S532" s="3"/>
      <c r="T532" s="281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221"/>
      <c r="L533" s="222"/>
      <c r="M533" s="221"/>
      <c r="O533" s="3"/>
      <c r="P533" s="3"/>
      <c r="Q533" s="3"/>
      <c r="R533" s="3"/>
      <c r="S533" s="3"/>
      <c r="T533" s="281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221"/>
      <c r="L534" s="222"/>
      <c r="M534" s="221"/>
      <c r="O534" s="3"/>
      <c r="P534" s="3"/>
      <c r="Q534" s="3"/>
      <c r="R534" s="3"/>
      <c r="S534" s="3"/>
      <c r="T534" s="281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221"/>
      <c r="L535" s="222"/>
      <c r="M535" s="221"/>
      <c r="O535" s="3"/>
      <c r="P535" s="3"/>
      <c r="Q535" s="3"/>
      <c r="R535" s="3"/>
      <c r="S535" s="3"/>
      <c r="T535" s="281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221"/>
      <c r="L536" s="222"/>
      <c r="M536" s="221"/>
      <c r="O536" s="3"/>
      <c r="P536" s="3"/>
      <c r="Q536" s="3"/>
      <c r="R536" s="3"/>
      <c r="S536" s="3"/>
      <c r="T536" s="281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221"/>
      <c r="L537" s="222"/>
      <c r="M537" s="221"/>
      <c r="O537" s="3"/>
      <c r="P537" s="3"/>
      <c r="Q537" s="3"/>
      <c r="R537" s="3"/>
      <c r="S537" s="3"/>
      <c r="T537" s="281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221"/>
      <c r="L538" s="222"/>
      <c r="M538" s="221"/>
      <c r="O538" s="3"/>
      <c r="P538" s="3"/>
      <c r="Q538" s="3"/>
      <c r="R538" s="3"/>
      <c r="S538" s="3"/>
      <c r="T538" s="281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221"/>
      <c r="L539" s="222"/>
      <c r="M539" s="221"/>
      <c r="O539" s="3"/>
      <c r="P539" s="3"/>
      <c r="Q539" s="3"/>
      <c r="R539" s="3"/>
      <c r="S539" s="3"/>
      <c r="T539" s="281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221"/>
      <c r="L540" s="222"/>
      <c r="M540" s="221"/>
      <c r="O540" s="3"/>
      <c r="P540" s="3"/>
      <c r="Q540" s="3"/>
      <c r="R540" s="3"/>
      <c r="S540" s="3"/>
      <c r="T540" s="281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221"/>
      <c r="L541" s="222"/>
      <c r="M541" s="221"/>
      <c r="O541" s="3"/>
      <c r="P541" s="3"/>
      <c r="Q541" s="3"/>
      <c r="R541" s="3"/>
      <c r="S541" s="3"/>
      <c r="T541" s="281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221"/>
      <c r="L542" s="222"/>
      <c r="M542" s="221"/>
      <c r="O542" s="3"/>
      <c r="P542" s="3"/>
      <c r="Q542" s="3"/>
      <c r="R542" s="3"/>
      <c r="S542" s="3"/>
      <c r="T542" s="281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221"/>
      <c r="L543" s="222"/>
      <c r="M543" s="221"/>
      <c r="O543" s="3"/>
      <c r="P543" s="3"/>
      <c r="Q543" s="3"/>
      <c r="R543" s="3"/>
      <c r="S543" s="3"/>
      <c r="T543" s="281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221"/>
      <c r="L544" s="222"/>
      <c r="M544" s="221"/>
      <c r="O544" s="3"/>
      <c r="P544" s="3"/>
      <c r="Q544" s="3"/>
      <c r="R544" s="3"/>
      <c r="S544" s="3"/>
      <c r="T544" s="281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221"/>
      <c r="L545" s="222"/>
      <c r="M545" s="221"/>
      <c r="O545" s="3"/>
      <c r="P545" s="3"/>
      <c r="Q545" s="3"/>
      <c r="R545" s="3"/>
      <c r="S545" s="3"/>
      <c r="T545" s="281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221"/>
      <c r="L546" s="222"/>
      <c r="M546" s="221"/>
      <c r="O546" s="3"/>
      <c r="P546" s="3"/>
      <c r="Q546" s="3"/>
      <c r="R546" s="3"/>
      <c r="S546" s="3"/>
      <c r="T546" s="281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221"/>
      <c r="L547" s="222"/>
      <c r="M547" s="221"/>
      <c r="O547" s="3"/>
      <c r="P547" s="3"/>
      <c r="Q547" s="3"/>
      <c r="R547" s="3"/>
      <c r="S547" s="3"/>
      <c r="T547" s="281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221"/>
      <c r="L548" s="222"/>
      <c r="M548" s="221"/>
      <c r="O548" s="3"/>
      <c r="P548" s="3"/>
      <c r="Q548" s="3"/>
      <c r="R548" s="3"/>
      <c r="S548" s="3"/>
      <c r="T548" s="281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221"/>
      <c r="L549" s="222"/>
      <c r="M549" s="221"/>
      <c r="O549" s="3"/>
      <c r="P549" s="3"/>
      <c r="Q549" s="3"/>
      <c r="R549" s="3"/>
      <c r="S549" s="3"/>
      <c r="T549" s="281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221"/>
      <c r="L550" s="222"/>
      <c r="M550" s="221"/>
      <c r="O550" s="3"/>
      <c r="P550" s="3"/>
      <c r="Q550" s="3"/>
      <c r="R550" s="3"/>
      <c r="S550" s="3"/>
      <c r="T550" s="281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221"/>
      <c r="L551" s="222"/>
      <c r="M551" s="221"/>
      <c r="O551" s="3"/>
      <c r="P551" s="3"/>
      <c r="Q551" s="3"/>
      <c r="R551" s="3"/>
      <c r="S551" s="3"/>
      <c r="T551" s="281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221"/>
      <c r="L552" s="222"/>
      <c r="M552" s="221"/>
      <c r="O552" s="3"/>
      <c r="P552" s="3"/>
      <c r="Q552" s="3"/>
      <c r="R552" s="3"/>
      <c r="S552" s="3"/>
      <c r="T552" s="281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221"/>
      <c r="L553" s="222"/>
      <c r="M553" s="221"/>
      <c r="O553" s="3"/>
      <c r="P553" s="3"/>
      <c r="Q553" s="3"/>
      <c r="R553" s="3"/>
      <c r="S553" s="3"/>
      <c r="T553" s="281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221"/>
      <c r="L554" s="222"/>
      <c r="M554" s="221"/>
      <c r="O554" s="3"/>
      <c r="P554" s="3"/>
      <c r="Q554" s="3"/>
      <c r="R554" s="3"/>
      <c r="S554" s="3"/>
      <c r="T554" s="281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221"/>
      <c r="L555" s="222"/>
      <c r="M555" s="221"/>
      <c r="O555" s="3"/>
      <c r="P555" s="3"/>
      <c r="Q555" s="3"/>
      <c r="R555" s="3"/>
      <c r="S555" s="3"/>
      <c r="T555" s="281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221"/>
      <c r="L556" s="222"/>
      <c r="M556" s="221"/>
      <c r="O556" s="3"/>
      <c r="P556" s="3"/>
      <c r="Q556" s="3"/>
      <c r="R556" s="3"/>
      <c r="S556" s="3"/>
      <c r="T556" s="281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221"/>
      <c r="L557" s="222"/>
      <c r="M557" s="221"/>
      <c r="O557" s="3"/>
      <c r="P557" s="3"/>
      <c r="Q557" s="3"/>
      <c r="R557" s="3"/>
      <c r="S557" s="3"/>
      <c r="T557" s="281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221"/>
      <c r="L558" s="222"/>
      <c r="M558" s="221"/>
      <c r="O558" s="3"/>
      <c r="P558" s="3"/>
      <c r="Q558" s="3"/>
      <c r="R558" s="3"/>
      <c r="S558" s="3"/>
      <c r="T558" s="281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221"/>
      <c r="L559" s="222"/>
      <c r="M559" s="221"/>
      <c r="O559" s="3"/>
      <c r="P559" s="3"/>
      <c r="Q559" s="3"/>
      <c r="R559" s="3"/>
      <c r="S559" s="3"/>
      <c r="T559" s="281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221"/>
      <c r="L560" s="222"/>
      <c r="M560" s="221"/>
      <c r="O560" s="3"/>
      <c r="P560" s="3"/>
      <c r="Q560" s="3"/>
      <c r="R560" s="3"/>
      <c r="S560" s="3"/>
      <c r="T560" s="281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221"/>
      <c r="L561" s="222"/>
      <c r="M561" s="221"/>
      <c r="O561" s="3"/>
      <c r="P561" s="3"/>
      <c r="Q561" s="3"/>
      <c r="R561" s="3"/>
      <c r="S561" s="3"/>
      <c r="T561" s="281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221"/>
      <c r="L562" s="222"/>
      <c r="M562" s="221"/>
      <c r="O562" s="3"/>
      <c r="P562" s="3"/>
      <c r="Q562" s="3"/>
      <c r="R562" s="3"/>
      <c r="S562" s="3"/>
      <c r="T562" s="281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221"/>
      <c r="L563" s="222"/>
      <c r="M563" s="221"/>
      <c r="O563" s="3"/>
      <c r="P563" s="3"/>
      <c r="Q563" s="3"/>
      <c r="R563" s="3"/>
      <c r="S563" s="3"/>
      <c r="T563" s="281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221"/>
      <c r="L564" s="222"/>
      <c r="M564" s="221"/>
      <c r="O564" s="3"/>
      <c r="P564" s="3"/>
      <c r="Q564" s="3"/>
      <c r="R564" s="3"/>
      <c r="S564" s="3"/>
      <c r="T564" s="281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221"/>
      <c r="L565" s="222"/>
      <c r="M565" s="221"/>
      <c r="O565" s="3"/>
      <c r="P565" s="3"/>
      <c r="Q565" s="3"/>
      <c r="R565" s="3"/>
      <c r="S565" s="3"/>
      <c r="T565" s="281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221"/>
      <c r="L566" s="222"/>
      <c r="M566" s="221"/>
      <c r="O566" s="3"/>
      <c r="P566" s="3"/>
      <c r="Q566" s="3"/>
      <c r="R566" s="3"/>
      <c r="S566" s="3"/>
      <c r="T566" s="281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221"/>
      <c r="L567" s="222"/>
      <c r="M567" s="221"/>
      <c r="O567" s="3"/>
      <c r="P567" s="3"/>
      <c r="Q567" s="3"/>
      <c r="R567" s="3"/>
      <c r="S567" s="3"/>
      <c r="T567" s="281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221"/>
      <c r="L568" s="222"/>
      <c r="M568" s="221"/>
      <c r="O568" s="3"/>
      <c r="P568" s="3"/>
      <c r="Q568" s="3"/>
      <c r="R568" s="3"/>
      <c r="S568" s="3"/>
      <c r="T568" s="281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221"/>
      <c r="L569" s="222"/>
      <c r="M569" s="221"/>
      <c r="O569" s="3"/>
      <c r="P569" s="3"/>
      <c r="Q569" s="3"/>
      <c r="R569" s="3"/>
      <c r="S569" s="3"/>
      <c r="T569" s="281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221"/>
      <c r="L570" s="222"/>
      <c r="M570" s="221"/>
      <c r="O570" s="3"/>
      <c r="P570" s="3"/>
      <c r="Q570" s="3"/>
      <c r="R570" s="3"/>
      <c r="S570" s="3"/>
      <c r="T570" s="281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221"/>
      <c r="L571" s="222"/>
      <c r="M571" s="221"/>
      <c r="O571" s="3"/>
      <c r="P571" s="3"/>
      <c r="Q571" s="3"/>
      <c r="R571" s="3"/>
      <c r="S571" s="3"/>
      <c r="T571" s="281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221"/>
      <c r="L572" s="222"/>
      <c r="M572" s="221"/>
      <c r="O572" s="3"/>
      <c r="P572" s="3"/>
      <c r="Q572" s="3"/>
      <c r="R572" s="3"/>
      <c r="S572" s="3"/>
      <c r="T572" s="281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221"/>
      <c r="L573" s="222"/>
      <c r="M573" s="221"/>
      <c r="O573" s="3"/>
      <c r="P573" s="3"/>
      <c r="Q573" s="3"/>
      <c r="R573" s="3"/>
      <c r="S573" s="3"/>
      <c r="T573" s="281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221"/>
      <c r="L574" s="222"/>
      <c r="M574" s="221"/>
      <c r="O574" s="3"/>
      <c r="P574" s="3"/>
      <c r="Q574" s="3"/>
      <c r="R574" s="3"/>
      <c r="S574" s="3"/>
      <c r="T574" s="281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221"/>
      <c r="L575" s="222"/>
      <c r="M575" s="221"/>
      <c r="O575" s="3"/>
      <c r="P575" s="3"/>
      <c r="Q575" s="3"/>
      <c r="R575" s="3"/>
      <c r="S575" s="3"/>
      <c r="T575" s="281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221"/>
      <c r="L576" s="222"/>
      <c r="M576" s="221"/>
      <c r="O576" s="3"/>
      <c r="P576" s="3"/>
      <c r="Q576" s="3"/>
      <c r="R576" s="3"/>
      <c r="S576" s="3"/>
      <c r="T576" s="281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221"/>
      <c r="L577" s="222"/>
      <c r="M577" s="221"/>
      <c r="O577" s="3"/>
      <c r="P577" s="3"/>
      <c r="Q577" s="3"/>
      <c r="R577" s="3"/>
      <c r="S577" s="3"/>
      <c r="T577" s="281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221"/>
      <c r="L578" s="222"/>
      <c r="M578" s="221"/>
      <c r="O578" s="3"/>
      <c r="P578" s="3"/>
      <c r="Q578" s="3"/>
      <c r="R578" s="3"/>
      <c r="S578" s="3"/>
      <c r="T578" s="281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221"/>
      <c r="L579" s="222"/>
      <c r="M579" s="221"/>
      <c r="O579" s="3"/>
      <c r="P579" s="3"/>
      <c r="Q579" s="3"/>
      <c r="R579" s="3"/>
      <c r="S579" s="3"/>
      <c r="T579" s="281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221"/>
      <c r="L580" s="222"/>
      <c r="M580" s="221"/>
      <c r="O580" s="3"/>
      <c r="P580" s="3"/>
      <c r="Q580" s="3"/>
      <c r="R580" s="3"/>
      <c r="S580" s="3"/>
      <c r="T580" s="281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221"/>
      <c r="L581" s="222"/>
      <c r="M581" s="221"/>
      <c r="O581" s="3"/>
      <c r="P581" s="3"/>
      <c r="Q581" s="3"/>
      <c r="R581" s="3"/>
      <c r="S581" s="3"/>
      <c r="T581" s="281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221"/>
      <c r="L582" s="222"/>
      <c r="M582" s="221"/>
      <c r="O582" s="3"/>
      <c r="P582" s="3"/>
      <c r="Q582" s="3"/>
      <c r="R582" s="3"/>
      <c r="S582" s="3"/>
      <c r="T582" s="281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221"/>
      <c r="L583" s="222"/>
      <c r="M583" s="221"/>
      <c r="O583" s="3"/>
      <c r="P583" s="3"/>
      <c r="Q583" s="3"/>
      <c r="R583" s="3"/>
      <c r="S583" s="3"/>
      <c r="T583" s="281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221"/>
      <c r="L584" s="222"/>
      <c r="M584" s="221"/>
      <c r="O584" s="3"/>
      <c r="P584" s="3"/>
      <c r="Q584" s="3"/>
      <c r="R584" s="3"/>
      <c r="S584" s="3"/>
      <c r="T584" s="281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221"/>
      <c r="L585" s="222"/>
      <c r="M585" s="221"/>
      <c r="O585" s="3"/>
      <c r="P585" s="3"/>
      <c r="Q585" s="3"/>
      <c r="R585" s="3"/>
      <c r="S585" s="3"/>
      <c r="T585" s="281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221"/>
      <c r="L586" s="222"/>
      <c r="M586" s="221"/>
      <c r="O586" s="3"/>
      <c r="P586" s="3"/>
      <c r="Q586" s="3"/>
      <c r="R586" s="3"/>
      <c r="S586" s="3"/>
      <c r="T586" s="281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221"/>
      <c r="L587" s="222"/>
      <c r="M587" s="221"/>
      <c r="O587" s="3"/>
      <c r="P587" s="3"/>
      <c r="Q587" s="3"/>
      <c r="R587" s="3"/>
      <c r="S587" s="3"/>
      <c r="T587" s="281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221"/>
      <c r="L588" s="222"/>
      <c r="M588" s="221"/>
      <c r="O588" s="3"/>
      <c r="P588" s="3"/>
      <c r="Q588" s="3"/>
      <c r="R588" s="3"/>
      <c r="S588" s="3"/>
      <c r="T588" s="281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221"/>
      <c r="L589" s="222"/>
      <c r="M589" s="221"/>
      <c r="O589" s="3"/>
      <c r="P589" s="3"/>
      <c r="Q589" s="3"/>
      <c r="R589" s="3"/>
      <c r="S589" s="3"/>
      <c r="T589" s="281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221"/>
      <c r="L590" s="222"/>
      <c r="M590" s="221"/>
      <c r="O590" s="3"/>
      <c r="P590" s="3"/>
      <c r="Q590" s="3"/>
      <c r="R590" s="3"/>
      <c r="S590" s="3"/>
      <c r="T590" s="281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221"/>
      <c r="L591" s="222"/>
      <c r="M591" s="221"/>
      <c r="O591" s="3"/>
      <c r="P591" s="3"/>
      <c r="Q591" s="3"/>
      <c r="R591" s="3"/>
      <c r="S591" s="3"/>
      <c r="T591" s="281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221"/>
      <c r="L592" s="222"/>
      <c r="M592" s="221"/>
      <c r="O592" s="3"/>
      <c r="P592" s="3"/>
      <c r="Q592" s="3"/>
      <c r="R592" s="3"/>
      <c r="S592" s="3"/>
      <c r="T592" s="281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221"/>
      <c r="L593" s="222"/>
      <c r="M593" s="221"/>
      <c r="O593" s="3"/>
      <c r="P593" s="3"/>
      <c r="Q593" s="3"/>
      <c r="R593" s="3"/>
      <c r="S593" s="3"/>
      <c r="T593" s="281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221"/>
      <c r="L594" s="222"/>
      <c r="M594" s="221"/>
      <c r="O594" s="3"/>
      <c r="P594" s="3"/>
      <c r="Q594" s="3"/>
      <c r="R594" s="3"/>
      <c r="S594" s="3"/>
      <c r="T594" s="281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221"/>
      <c r="L595" s="222"/>
      <c r="M595" s="221"/>
      <c r="O595" s="3"/>
      <c r="P595" s="3"/>
      <c r="Q595" s="3"/>
      <c r="R595" s="3"/>
      <c r="S595" s="3"/>
      <c r="T595" s="281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221"/>
      <c r="L596" s="222"/>
      <c r="M596" s="221"/>
      <c r="O596" s="3"/>
      <c r="P596" s="3"/>
      <c r="Q596" s="3"/>
      <c r="R596" s="3"/>
      <c r="S596" s="3"/>
      <c r="T596" s="281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221"/>
      <c r="L597" s="222"/>
      <c r="M597" s="221"/>
      <c r="O597" s="3"/>
      <c r="P597" s="3"/>
      <c r="Q597" s="3"/>
      <c r="R597" s="3"/>
      <c r="S597" s="3"/>
      <c r="T597" s="281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221"/>
      <c r="L598" s="222"/>
      <c r="M598" s="221"/>
      <c r="O598" s="3"/>
      <c r="P598" s="3"/>
      <c r="Q598" s="3"/>
      <c r="R598" s="3"/>
      <c r="S598" s="3"/>
      <c r="T598" s="281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221"/>
      <c r="L599" s="222"/>
      <c r="M599" s="221"/>
      <c r="O599" s="3"/>
      <c r="P599" s="3"/>
      <c r="Q599" s="3"/>
      <c r="R599" s="3"/>
      <c r="S599" s="3"/>
      <c r="T599" s="281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221"/>
      <c r="L600" s="222"/>
      <c r="M600" s="221"/>
      <c r="O600" s="3"/>
      <c r="P600" s="3"/>
      <c r="Q600" s="3"/>
      <c r="R600" s="3"/>
      <c r="S600" s="3"/>
      <c r="T600" s="281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221"/>
      <c r="L601" s="222"/>
      <c r="M601" s="221"/>
      <c r="O601" s="3"/>
      <c r="P601" s="3"/>
      <c r="Q601" s="3"/>
      <c r="R601" s="3"/>
      <c r="S601" s="3"/>
      <c r="T601" s="281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221"/>
      <c r="L602" s="222"/>
      <c r="M602" s="221"/>
      <c r="O602" s="3"/>
      <c r="P602" s="3"/>
      <c r="Q602" s="3"/>
      <c r="R602" s="3"/>
      <c r="S602" s="3"/>
      <c r="T602" s="281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221"/>
      <c r="L603" s="222"/>
      <c r="M603" s="221"/>
      <c r="O603" s="3"/>
      <c r="P603" s="3"/>
      <c r="Q603" s="3"/>
      <c r="R603" s="3"/>
      <c r="S603" s="3"/>
      <c r="T603" s="281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221"/>
      <c r="L604" s="222"/>
      <c r="M604" s="221"/>
      <c r="O604" s="3"/>
      <c r="P604" s="3"/>
      <c r="Q604" s="3"/>
      <c r="R604" s="3"/>
      <c r="S604" s="3"/>
      <c r="T604" s="281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221"/>
      <c r="L605" s="222"/>
      <c r="M605" s="221"/>
      <c r="O605" s="3"/>
      <c r="P605" s="3"/>
      <c r="Q605" s="3"/>
      <c r="R605" s="3"/>
      <c r="S605" s="3"/>
      <c r="T605" s="281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221"/>
      <c r="L606" s="222"/>
      <c r="M606" s="221"/>
      <c r="O606" s="3"/>
      <c r="P606" s="3"/>
      <c r="Q606" s="3"/>
      <c r="R606" s="3"/>
      <c r="S606" s="3"/>
      <c r="T606" s="281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221"/>
      <c r="L607" s="222"/>
      <c r="M607" s="221"/>
      <c r="O607" s="3"/>
      <c r="P607" s="3"/>
      <c r="Q607" s="3"/>
      <c r="R607" s="3"/>
      <c r="S607" s="3"/>
      <c r="T607" s="281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221"/>
      <c r="L608" s="222"/>
      <c r="M608" s="221"/>
      <c r="O608" s="3"/>
      <c r="P608" s="3"/>
      <c r="Q608" s="3"/>
      <c r="R608" s="3"/>
      <c r="S608" s="3"/>
      <c r="T608" s="281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221"/>
      <c r="L609" s="222"/>
      <c r="M609" s="221"/>
      <c r="O609" s="3"/>
      <c r="P609" s="3"/>
      <c r="Q609" s="3"/>
      <c r="R609" s="3"/>
      <c r="S609" s="3"/>
      <c r="T609" s="281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221"/>
      <c r="L610" s="222"/>
      <c r="M610" s="221"/>
      <c r="O610" s="3"/>
      <c r="P610" s="3"/>
      <c r="Q610" s="3"/>
      <c r="R610" s="3"/>
      <c r="S610" s="3"/>
      <c r="T610" s="281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221"/>
      <c r="L611" s="222"/>
      <c r="M611" s="221"/>
      <c r="O611" s="3"/>
      <c r="P611" s="3"/>
      <c r="Q611" s="3"/>
      <c r="R611" s="3"/>
      <c r="S611" s="3"/>
      <c r="T611" s="281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221"/>
      <c r="L612" s="222"/>
      <c r="M612" s="221"/>
      <c r="O612" s="3"/>
      <c r="P612" s="3"/>
      <c r="Q612" s="3"/>
      <c r="R612" s="3"/>
      <c r="S612" s="3"/>
      <c r="T612" s="281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221"/>
      <c r="L613" s="222"/>
      <c r="M613" s="221"/>
      <c r="O613" s="3"/>
      <c r="P613" s="3"/>
      <c r="Q613" s="3"/>
      <c r="R613" s="3"/>
      <c r="S613" s="3"/>
      <c r="T613" s="281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221"/>
      <c r="L614" s="222"/>
      <c r="M614" s="221"/>
      <c r="O614" s="3"/>
      <c r="P614" s="3"/>
      <c r="Q614" s="3"/>
      <c r="R614" s="3"/>
      <c r="S614" s="3"/>
      <c r="T614" s="281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221"/>
      <c r="L615" s="222"/>
      <c r="M615" s="221"/>
      <c r="O615" s="3"/>
      <c r="P615" s="3"/>
      <c r="Q615" s="3"/>
      <c r="R615" s="3"/>
      <c r="S615" s="3"/>
      <c r="T615" s="281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221"/>
      <c r="L616" s="222"/>
      <c r="M616" s="221"/>
      <c r="O616" s="3"/>
      <c r="P616" s="3"/>
      <c r="Q616" s="3"/>
      <c r="R616" s="3"/>
      <c r="S616" s="3"/>
      <c r="T616" s="281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221"/>
      <c r="L617" s="222"/>
      <c r="M617" s="221"/>
      <c r="O617" s="3"/>
      <c r="P617" s="3"/>
      <c r="Q617" s="3"/>
      <c r="R617" s="3"/>
      <c r="S617" s="3"/>
      <c r="T617" s="281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221"/>
      <c r="L618" s="222"/>
      <c r="M618" s="221"/>
      <c r="O618" s="3"/>
      <c r="P618" s="3"/>
      <c r="Q618" s="3"/>
      <c r="R618" s="3"/>
      <c r="S618" s="3"/>
      <c r="T618" s="281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221"/>
      <c r="L619" s="222"/>
      <c r="M619" s="221"/>
      <c r="O619" s="3"/>
      <c r="P619" s="3"/>
      <c r="Q619" s="3"/>
      <c r="R619" s="3"/>
      <c r="S619" s="3"/>
      <c r="T619" s="281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221"/>
      <c r="L620" s="222"/>
      <c r="M620" s="221"/>
      <c r="O620" s="3"/>
      <c r="P620" s="3"/>
      <c r="Q620" s="3"/>
      <c r="R620" s="3"/>
      <c r="S620" s="3"/>
      <c r="T620" s="281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221"/>
      <c r="L621" s="222"/>
      <c r="M621" s="221"/>
      <c r="O621" s="3"/>
      <c r="P621" s="3"/>
      <c r="Q621" s="3"/>
      <c r="R621" s="3"/>
      <c r="S621" s="3"/>
      <c r="T621" s="281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221"/>
      <c r="L622" s="222"/>
      <c r="M622" s="221"/>
      <c r="O622" s="3"/>
      <c r="P622" s="3"/>
      <c r="Q622" s="3"/>
      <c r="R622" s="3"/>
      <c r="S622" s="3"/>
      <c r="T622" s="281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221"/>
      <c r="L623" s="222"/>
      <c r="M623" s="221"/>
      <c r="O623" s="3"/>
      <c r="P623" s="3"/>
      <c r="Q623" s="3"/>
      <c r="R623" s="3"/>
      <c r="S623" s="3"/>
      <c r="T623" s="281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221"/>
      <c r="L624" s="222"/>
      <c r="M624" s="221"/>
      <c r="O624" s="3"/>
      <c r="P624" s="3"/>
      <c r="Q624" s="3"/>
      <c r="R624" s="3"/>
      <c r="S624" s="3"/>
      <c r="T624" s="281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221"/>
      <c r="L625" s="222"/>
      <c r="M625" s="221"/>
      <c r="O625" s="3"/>
      <c r="P625" s="3"/>
      <c r="Q625" s="3"/>
      <c r="R625" s="3"/>
      <c r="S625" s="3"/>
      <c r="T625" s="281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221"/>
      <c r="L626" s="222"/>
      <c r="M626" s="221"/>
      <c r="O626" s="3"/>
      <c r="P626" s="3"/>
      <c r="Q626" s="3"/>
      <c r="R626" s="3"/>
      <c r="S626" s="3"/>
      <c r="T626" s="281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221"/>
      <c r="L627" s="222"/>
      <c r="M627" s="221"/>
      <c r="O627" s="3"/>
      <c r="P627" s="3"/>
      <c r="Q627" s="3"/>
      <c r="R627" s="3"/>
      <c r="S627" s="3"/>
      <c r="T627" s="281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221"/>
      <c r="L628" s="222"/>
      <c r="M628" s="221"/>
      <c r="O628" s="3"/>
      <c r="P628" s="3"/>
      <c r="Q628" s="3"/>
      <c r="R628" s="3"/>
      <c r="S628" s="3"/>
      <c r="T628" s="281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221"/>
      <c r="L629" s="222"/>
      <c r="M629" s="221"/>
      <c r="O629" s="3"/>
      <c r="P629" s="3"/>
      <c r="Q629" s="3"/>
      <c r="R629" s="3"/>
      <c r="S629" s="3"/>
      <c r="T629" s="281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221"/>
      <c r="L630" s="222"/>
      <c r="M630" s="221"/>
      <c r="O630" s="3"/>
      <c r="P630" s="3"/>
      <c r="Q630" s="3"/>
      <c r="R630" s="3"/>
      <c r="S630" s="3"/>
      <c r="T630" s="281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221"/>
      <c r="L631" s="222"/>
      <c r="M631" s="221"/>
      <c r="O631" s="3"/>
      <c r="P631" s="3"/>
      <c r="Q631" s="3"/>
      <c r="R631" s="3"/>
      <c r="S631" s="3"/>
      <c r="T631" s="281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221"/>
      <c r="L632" s="222"/>
      <c r="M632" s="221"/>
      <c r="O632" s="3"/>
      <c r="P632" s="3"/>
      <c r="Q632" s="3"/>
      <c r="R632" s="3"/>
      <c r="S632" s="3"/>
      <c r="T632" s="281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221"/>
      <c r="L633" s="222"/>
      <c r="M633" s="221"/>
      <c r="O633" s="3"/>
      <c r="P633" s="3"/>
      <c r="Q633" s="3"/>
      <c r="R633" s="3"/>
      <c r="S633" s="3"/>
      <c r="T633" s="281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221"/>
      <c r="L634" s="222"/>
      <c r="M634" s="221"/>
      <c r="O634" s="3"/>
      <c r="P634" s="3"/>
      <c r="Q634" s="3"/>
      <c r="R634" s="3"/>
      <c r="S634" s="3"/>
      <c r="T634" s="281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221"/>
      <c r="L635" s="222"/>
      <c r="M635" s="221"/>
      <c r="O635" s="3"/>
      <c r="P635" s="3"/>
      <c r="Q635" s="3"/>
      <c r="R635" s="3"/>
      <c r="S635" s="3"/>
      <c r="T635" s="281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221"/>
      <c r="L636" s="222"/>
      <c r="M636" s="221"/>
      <c r="O636" s="3"/>
      <c r="P636" s="3"/>
      <c r="Q636" s="3"/>
      <c r="R636" s="3"/>
      <c r="S636" s="3"/>
      <c r="T636" s="281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221"/>
      <c r="L637" s="222"/>
      <c r="M637" s="221"/>
      <c r="O637" s="3"/>
      <c r="P637" s="3"/>
      <c r="Q637" s="3"/>
      <c r="R637" s="3"/>
      <c r="S637" s="3"/>
      <c r="T637" s="281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221"/>
      <c r="L638" s="222"/>
      <c r="M638" s="221"/>
      <c r="O638" s="3"/>
      <c r="P638" s="3"/>
      <c r="Q638" s="3"/>
      <c r="R638" s="3"/>
      <c r="S638" s="3"/>
      <c r="T638" s="281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221"/>
      <c r="L639" s="222"/>
      <c r="M639" s="221"/>
      <c r="O639" s="3"/>
      <c r="P639" s="3"/>
      <c r="Q639" s="3"/>
      <c r="R639" s="3"/>
      <c r="S639" s="3"/>
      <c r="T639" s="281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221"/>
      <c r="L640" s="222"/>
      <c r="M640" s="221"/>
      <c r="O640" s="3"/>
      <c r="P640" s="3"/>
      <c r="Q640" s="3"/>
      <c r="R640" s="3"/>
      <c r="S640" s="3"/>
      <c r="T640" s="281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221"/>
      <c r="L641" s="222"/>
      <c r="M641" s="221"/>
      <c r="O641" s="3"/>
      <c r="P641" s="3"/>
      <c r="Q641" s="3"/>
      <c r="R641" s="3"/>
      <c r="S641" s="3"/>
      <c r="T641" s="281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221"/>
      <c r="L642" s="222"/>
      <c r="M642" s="221"/>
      <c r="O642" s="3"/>
      <c r="P642" s="3"/>
      <c r="Q642" s="3"/>
      <c r="R642" s="3"/>
      <c r="S642" s="3"/>
      <c r="T642" s="281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221"/>
      <c r="L643" s="222"/>
      <c r="M643" s="221"/>
      <c r="O643" s="3"/>
      <c r="P643" s="3"/>
      <c r="Q643" s="3"/>
      <c r="R643" s="3"/>
      <c r="S643" s="3"/>
      <c r="T643" s="281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221"/>
      <c r="L644" s="222"/>
      <c r="M644" s="221"/>
      <c r="O644" s="3"/>
      <c r="P644" s="3"/>
      <c r="Q644" s="3"/>
      <c r="R644" s="3"/>
      <c r="S644" s="3"/>
      <c r="T644" s="281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221"/>
      <c r="L645" s="222"/>
      <c r="M645" s="221"/>
      <c r="O645" s="3"/>
      <c r="P645" s="3"/>
      <c r="Q645" s="3"/>
      <c r="R645" s="3"/>
      <c r="S645" s="3"/>
      <c r="T645" s="281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221"/>
      <c r="L646" s="222"/>
      <c r="M646" s="221"/>
      <c r="O646" s="3"/>
      <c r="P646" s="3"/>
      <c r="Q646" s="3"/>
      <c r="R646" s="3"/>
      <c r="S646" s="3"/>
      <c r="T646" s="281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221"/>
      <c r="L647" s="222"/>
      <c r="M647" s="221"/>
      <c r="O647" s="3"/>
      <c r="P647" s="3"/>
      <c r="Q647" s="3"/>
      <c r="R647" s="3"/>
      <c r="S647" s="3"/>
      <c r="T647" s="281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221"/>
      <c r="L648" s="222"/>
      <c r="M648" s="221"/>
      <c r="O648" s="3"/>
      <c r="P648" s="3"/>
      <c r="Q648" s="3"/>
      <c r="R648" s="3"/>
      <c r="S648" s="3"/>
      <c r="T648" s="281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221"/>
      <c r="L649" s="222"/>
      <c r="M649" s="221"/>
      <c r="O649" s="3"/>
      <c r="P649" s="3"/>
      <c r="Q649" s="3"/>
      <c r="R649" s="3"/>
      <c r="S649" s="3"/>
      <c r="T649" s="281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221"/>
      <c r="L650" s="222"/>
      <c r="M650" s="221"/>
      <c r="O650" s="3"/>
      <c r="P650" s="3"/>
      <c r="Q650" s="3"/>
      <c r="R650" s="3"/>
      <c r="S650" s="3"/>
      <c r="T650" s="281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221"/>
      <c r="L651" s="222"/>
      <c r="M651" s="221"/>
      <c r="O651" s="3"/>
      <c r="P651" s="3"/>
      <c r="Q651" s="3"/>
      <c r="R651" s="3"/>
      <c r="S651" s="3"/>
      <c r="T651" s="281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221"/>
      <c r="L652" s="222"/>
      <c r="M652" s="221"/>
      <c r="O652" s="3"/>
      <c r="P652" s="3"/>
      <c r="Q652" s="3"/>
      <c r="R652" s="3"/>
      <c r="S652" s="3"/>
      <c r="T652" s="281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221"/>
      <c r="L653" s="222"/>
      <c r="M653" s="221"/>
      <c r="O653" s="3"/>
      <c r="P653" s="3"/>
      <c r="Q653" s="3"/>
      <c r="R653" s="3"/>
      <c r="S653" s="3"/>
      <c r="T653" s="281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221"/>
      <c r="L654" s="222"/>
      <c r="M654" s="221"/>
      <c r="O654" s="3"/>
      <c r="P654" s="3"/>
      <c r="Q654" s="3"/>
      <c r="R654" s="3"/>
      <c r="S654" s="3"/>
      <c r="T654" s="281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221"/>
      <c r="L655" s="222"/>
      <c r="M655" s="221"/>
      <c r="O655" s="3"/>
      <c r="P655" s="3"/>
      <c r="Q655" s="3"/>
      <c r="R655" s="3"/>
      <c r="S655" s="3"/>
      <c r="T655" s="281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221"/>
      <c r="L656" s="222"/>
      <c r="M656" s="221"/>
      <c r="O656" s="3"/>
      <c r="P656" s="3"/>
      <c r="Q656" s="3"/>
      <c r="R656" s="3"/>
      <c r="S656" s="3"/>
      <c r="T656" s="281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221"/>
      <c r="L657" s="222"/>
      <c r="M657" s="221"/>
      <c r="O657" s="3"/>
      <c r="P657" s="3"/>
      <c r="Q657" s="3"/>
      <c r="R657" s="3"/>
      <c r="S657" s="3"/>
      <c r="T657" s="281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221"/>
      <c r="L658" s="222"/>
      <c r="M658" s="221"/>
      <c r="O658" s="3"/>
      <c r="P658" s="3"/>
      <c r="Q658" s="3"/>
      <c r="R658" s="3"/>
      <c r="S658" s="3"/>
      <c r="T658" s="281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221"/>
      <c r="L659" s="222"/>
      <c r="M659" s="221"/>
      <c r="O659" s="3"/>
      <c r="P659" s="3"/>
      <c r="Q659" s="3"/>
      <c r="R659" s="3"/>
      <c r="S659" s="3"/>
      <c r="T659" s="281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221"/>
      <c r="L660" s="222"/>
      <c r="M660" s="221"/>
      <c r="O660" s="3"/>
      <c r="P660" s="3"/>
      <c r="Q660" s="3"/>
      <c r="R660" s="3"/>
      <c r="S660" s="3"/>
      <c r="T660" s="281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221"/>
      <c r="L661" s="222"/>
      <c r="M661" s="221"/>
      <c r="O661" s="3"/>
      <c r="P661" s="3"/>
      <c r="Q661" s="3"/>
      <c r="R661" s="3"/>
      <c r="S661" s="3"/>
      <c r="T661" s="281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221"/>
      <c r="L662" s="222"/>
      <c r="M662" s="221"/>
      <c r="O662" s="3"/>
      <c r="P662" s="3"/>
      <c r="Q662" s="3"/>
      <c r="R662" s="3"/>
      <c r="S662" s="3"/>
      <c r="T662" s="281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221"/>
      <c r="L663" s="222"/>
      <c r="M663" s="221"/>
      <c r="O663" s="3"/>
      <c r="P663" s="3"/>
      <c r="Q663" s="3"/>
      <c r="R663" s="3"/>
      <c r="S663" s="3"/>
      <c r="T663" s="281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221"/>
      <c r="L664" s="222"/>
      <c r="M664" s="221"/>
      <c r="O664" s="3"/>
      <c r="P664" s="3"/>
      <c r="Q664" s="3"/>
      <c r="R664" s="3"/>
      <c r="S664" s="3"/>
      <c r="T664" s="281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221"/>
      <c r="L665" s="222"/>
      <c r="M665" s="221"/>
      <c r="O665" s="3"/>
      <c r="P665" s="3"/>
      <c r="Q665" s="3"/>
      <c r="R665" s="3"/>
      <c r="S665" s="3"/>
      <c r="T665" s="281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221"/>
      <c r="L666" s="222"/>
      <c r="M666" s="221"/>
      <c r="O666" s="3"/>
      <c r="P666" s="3"/>
      <c r="Q666" s="3"/>
      <c r="R666" s="3"/>
      <c r="S666" s="3"/>
      <c r="T666" s="281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221"/>
      <c r="L667" s="222"/>
      <c r="M667" s="221"/>
      <c r="O667" s="3"/>
      <c r="P667" s="3"/>
      <c r="Q667" s="3"/>
      <c r="R667" s="3"/>
      <c r="S667" s="3"/>
      <c r="T667" s="281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221"/>
      <c r="L668" s="222"/>
      <c r="M668" s="221"/>
      <c r="O668" s="3"/>
      <c r="P668" s="3"/>
      <c r="Q668" s="3"/>
      <c r="R668" s="3"/>
      <c r="S668" s="3"/>
      <c r="T668" s="281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221"/>
      <c r="L669" s="222"/>
      <c r="M669" s="221"/>
      <c r="O669" s="3"/>
      <c r="P669" s="3"/>
      <c r="Q669" s="3"/>
      <c r="R669" s="3"/>
      <c r="S669" s="3"/>
      <c r="T669" s="281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221"/>
      <c r="L670" s="222"/>
      <c r="M670" s="221"/>
      <c r="O670" s="3"/>
      <c r="P670" s="3"/>
      <c r="Q670" s="3"/>
      <c r="R670" s="3"/>
      <c r="S670" s="3"/>
      <c r="T670" s="281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221"/>
      <c r="L671" s="222"/>
      <c r="M671" s="221"/>
      <c r="O671" s="3"/>
      <c r="P671" s="3"/>
      <c r="Q671" s="3"/>
      <c r="R671" s="3"/>
      <c r="S671" s="3"/>
      <c r="T671" s="281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221"/>
      <c r="L672" s="222"/>
      <c r="M672" s="221"/>
      <c r="O672" s="3"/>
      <c r="P672" s="3"/>
      <c r="Q672" s="3"/>
      <c r="R672" s="3"/>
      <c r="S672" s="3"/>
      <c r="T672" s="281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221"/>
      <c r="L673" s="222"/>
      <c r="M673" s="221"/>
      <c r="O673" s="3"/>
      <c r="P673" s="3"/>
      <c r="Q673" s="3"/>
      <c r="R673" s="3"/>
      <c r="S673" s="3"/>
      <c r="T673" s="281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221"/>
      <c r="L674" s="222"/>
      <c r="M674" s="221"/>
      <c r="O674" s="3"/>
      <c r="P674" s="3"/>
      <c r="Q674" s="3"/>
      <c r="R674" s="3"/>
      <c r="S674" s="3"/>
      <c r="T674" s="281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221"/>
      <c r="L675" s="222"/>
      <c r="M675" s="221"/>
      <c r="O675" s="3"/>
      <c r="P675" s="3"/>
      <c r="Q675" s="3"/>
      <c r="R675" s="3"/>
      <c r="S675" s="3"/>
      <c r="T675" s="281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221"/>
      <c r="L676" s="222"/>
      <c r="M676" s="221"/>
      <c r="O676" s="3"/>
      <c r="P676" s="3"/>
      <c r="Q676" s="3"/>
      <c r="R676" s="3"/>
      <c r="S676" s="3"/>
      <c r="T676" s="281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221"/>
      <c r="L677" s="222"/>
      <c r="M677" s="221"/>
      <c r="O677" s="3"/>
      <c r="P677" s="3"/>
      <c r="Q677" s="3"/>
      <c r="R677" s="3"/>
      <c r="S677" s="3"/>
      <c r="T677" s="281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221"/>
      <c r="L678" s="222"/>
      <c r="M678" s="221"/>
      <c r="O678" s="3"/>
      <c r="P678" s="3"/>
      <c r="Q678" s="3"/>
      <c r="R678" s="3"/>
      <c r="S678" s="3"/>
      <c r="T678" s="281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221"/>
      <c r="L679" s="222"/>
      <c r="M679" s="221"/>
      <c r="O679" s="3"/>
      <c r="P679" s="3"/>
      <c r="Q679" s="3"/>
      <c r="R679" s="3"/>
      <c r="S679" s="3"/>
      <c r="T679" s="281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221"/>
      <c r="L680" s="222"/>
      <c r="M680" s="221"/>
      <c r="O680" s="3"/>
      <c r="P680" s="3"/>
      <c r="Q680" s="3"/>
      <c r="R680" s="3"/>
      <c r="S680" s="3"/>
      <c r="T680" s="281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221"/>
      <c r="L681" s="222"/>
      <c r="M681" s="221"/>
      <c r="O681" s="3"/>
      <c r="P681" s="3"/>
      <c r="Q681" s="3"/>
      <c r="R681" s="3"/>
      <c r="S681" s="3"/>
      <c r="T681" s="281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221"/>
      <c r="L682" s="222"/>
      <c r="M682" s="221"/>
      <c r="O682" s="3"/>
      <c r="P682" s="3"/>
      <c r="Q682" s="3"/>
      <c r="R682" s="3"/>
      <c r="S682" s="3"/>
      <c r="T682" s="281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221"/>
      <c r="L683" s="222"/>
      <c r="M683" s="221"/>
      <c r="O683" s="3"/>
      <c r="P683" s="3"/>
      <c r="Q683" s="3"/>
      <c r="R683" s="3"/>
      <c r="S683" s="3"/>
      <c r="T683" s="281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221"/>
      <c r="L684" s="222"/>
      <c r="M684" s="221"/>
      <c r="O684" s="3"/>
      <c r="P684" s="3"/>
      <c r="Q684" s="3"/>
      <c r="R684" s="3"/>
      <c r="S684" s="3"/>
      <c r="T684" s="281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221"/>
      <c r="L685" s="222"/>
      <c r="M685" s="221"/>
      <c r="O685" s="3"/>
      <c r="P685" s="3"/>
      <c r="Q685" s="3"/>
      <c r="R685" s="3"/>
      <c r="S685" s="3"/>
      <c r="T685" s="281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221"/>
      <c r="L686" s="222"/>
      <c r="M686" s="221"/>
      <c r="O686" s="3"/>
      <c r="P686" s="3"/>
      <c r="Q686" s="3"/>
      <c r="R686" s="3"/>
      <c r="S686" s="3"/>
      <c r="T686" s="281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221"/>
      <c r="L687" s="222"/>
      <c r="M687" s="221"/>
      <c r="O687" s="3"/>
      <c r="P687" s="3"/>
      <c r="Q687" s="3"/>
      <c r="R687" s="3"/>
      <c r="S687" s="3"/>
      <c r="T687" s="281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221"/>
      <c r="L688" s="222"/>
      <c r="M688" s="221"/>
      <c r="O688" s="3"/>
      <c r="P688" s="3"/>
      <c r="Q688" s="3"/>
      <c r="R688" s="3"/>
      <c r="S688" s="3"/>
      <c r="T688" s="281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221"/>
      <c r="L689" s="222"/>
      <c r="M689" s="221"/>
      <c r="O689" s="3"/>
      <c r="P689" s="3"/>
      <c r="Q689" s="3"/>
      <c r="R689" s="3"/>
      <c r="S689" s="3"/>
      <c r="T689" s="281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221"/>
      <c r="L690" s="222"/>
      <c r="M690" s="221"/>
      <c r="O690" s="3"/>
      <c r="P690" s="3"/>
      <c r="Q690" s="3"/>
      <c r="R690" s="3"/>
      <c r="S690" s="3"/>
      <c r="T690" s="281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221"/>
      <c r="L691" s="222"/>
      <c r="M691" s="221"/>
      <c r="O691" s="3"/>
      <c r="P691" s="3"/>
      <c r="Q691" s="3"/>
      <c r="R691" s="3"/>
      <c r="S691" s="3"/>
      <c r="T691" s="281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221"/>
      <c r="L692" s="222"/>
      <c r="M692" s="221"/>
      <c r="O692" s="3"/>
      <c r="P692" s="3"/>
      <c r="Q692" s="3"/>
      <c r="R692" s="3"/>
      <c r="S692" s="3"/>
      <c r="T692" s="281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221"/>
      <c r="L693" s="222"/>
      <c r="M693" s="221"/>
      <c r="O693" s="3"/>
      <c r="P693" s="3"/>
      <c r="Q693" s="3"/>
      <c r="R693" s="3"/>
      <c r="S693" s="3"/>
      <c r="T693" s="281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221"/>
      <c r="L694" s="222"/>
      <c r="M694" s="221"/>
      <c r="O694" s="3"/>
      <c r="P694" s="3"/>
      <c r="Q694" s="3"/>
      <c r="R694" s="3"/>
      <c r="S694" s="3"/>
      <c r="T694" s="281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221"/>
      <c r="L695" s="222"/>
      <c r="M695" s="221"/>
      <c r="O695" s="3"/>
      <c r="P695" s="3"/>
      <c r="Q695" s="3"/>
      <c r="R695" s="3"/>
      <c r="S695" s="3"/>
      <c r="T695" s="281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221"/>
      <c r="L696" s="222"/>
      <c r="M696" s="221"/>
      <c r="O696" s="3"/>
      <c r="P696" s="3"/>
      <c r="Q696" s="3"/>
      <c r="R696" s="3"/>
      <c r="S696" s="3"/>
      <c r="T696" s="281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221"/>
      <c r="L697" s="222"/>
      <c r="M697" s="221"/>
      <c r="O697" s="3"/>
      <c r="P697" s="3"/>
      <c r="Q697" s="3"/>
      <c r="R697" s="3"/>
      <c r="S697" s="3"/>
      <c r="T697" s="281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221"/>
      <c r="L698" s="222"/>
      <c r="M698" s="221"/>
      <c r="O698" s="3"/>
      <c r="P698" s="3"/>
      <c r="Q698" s="3"/>
      <c r="R698" s="3"/>
      <c r="S698" s="3"/>
      <c r="T698" s="281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221"/>
      <c r="L699" s="222"/>
      <c r="M699" s="221"/>
      <c r="O699" s="3"/>
      <c r="P699" s="3"/>
      <c r="Q699" s="3"/>
      <c r="R699" s="3"/>
      <c r="S699" s="3"/>
      <c r="T699" s="281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221"/>
      <c r="L700" s="222"/>
      <c r="M700" s="221"/>
      <c r="O700" s="3"/>
      <c r="P700" s="3"/>
      <c r="Q700" s="3"/>
      <c r="R700" s="3"/>
      <c r="S700" s="3"/>
      <c r="T700" s="281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221"/>
      <c r="L701" s="222"/>
      <c r="M701" s="221"/>
      <c r="O701" s="3"/>
      <c r="P701" s="3"/>
      <c r="Q701" s="3"/>
      <c r="R701" s="3"/>
      <c r="S701" s="3"/>
      <c r="T701" s="281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221"/>
      <c r="L702" s="222"/>
      <c r="M702" s="221"/>
      <c r="O702" s="3"/>
      <c r="P702" s="3"/>
      <c r="Q702" s="3"/>
      <c r="R702" s="3"/>
      <c r="S702" s="3"/>
      <c r="T702" s="281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221"/>
      <c r="L703" s="222"/>
      <c r="M703" s="221"/>
      <c r="O703" s="3"/>
      <c r="P703" s="3"/>
      <c r="Q703" s="3"/>
      <c r="R703" s="3"/>
      <c r="S703" s="3"/>
      <c r="T703" s="281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221"/>
      <c r="L704" s="222"/>
      <c r="M704" s="221"/>
      <c r="O704" s="3"/>
      <c r="P704" s="3"/>
      <c r="Q704" s="3"/>
      <c r="R704" s="3"/>
      <c r="S704" s="3"/>
      <c r="T704" s="281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221"/>
      <c r="L705" s="222"/>
      <c r="M705" s="221"/>
      <c r="O705" s="3"/>
      <c r="P705" s="3"/>
      <c r="Q705" s="3"/>
      <c r="R705" s="3"/>
      <c r="S705" s="3"/>
      <c r="T705" s="281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221"/>
      <c r="L706" s="222"/>
      <c r="M706" s="221"/>
      <c r="O706" s="3"/>
      <c r="P706" s="3"/>
      <c r="Q706" s="3"/>
      <c r="R706" s="3"/>
      <c r="S706" s="3"/>
      <c r="T706" s="281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221"/>
      <c r="L707" s="222"/>
      <c r="M707" s="221"/>
      <c r="O707" s="3"/>
      <c r="P707" s="3"/>
      <c r="Q707" s="3"/>
      <c r="R707" s="3"/>
      <c r="S707" s="3"/>
      <c r="T707" s="281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221"/>
      <c r="L708" s="222"/>
      <c r="M708" s="221"/>
      <c r="O708" s="3"/>
      <c r="P708" s="3"/>
      <c r="Q708" s="3"/>
      <c r="R708" s="3"/>
      <c r="S708" s="3"/>
      <c r="T708" s="281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221"/>
      <c r="L709" s="222"/>
      <c r="M709" s="221"/>
      <c r="O709" s="3"/>
      <c r="P709" s="3"/>
      <c r="Q709" s="3"/>
      <c r="R709" s="3"/>
      <c r="S709" s="3"/>
      <c r="T709" s="281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221"/>
      <c r="L710" s="222"/>
      <c r="M710" s="221"/>
      <c r="O710" s="3"/>
      <c r="P710" s="3"/>
      <c r="Q710" s="3"/>
      <c r="R710" s="3"/>
      <c r="S710" s="3"/>
      <c r="T710" s="281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221"/>
      <c r="L711" s="222"/>
      <c r="M711" s="221"/>
      <c r="O711" s="3"/>
      <c r="P711" s="3"/>
      <c r="Q711" s="3"/>
      <c r="R711" s="3"/>
      <c r="S711" s="3"/>
      <c r="T711" s="281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221"/>
      <c r="L712" s="222"/>
      <c r="M712" s="221"/>
      <c r="O712" s="3"/>
      <c r="P712" s="3"/>
      <c r="Q712" s="3"/>
      <c r="R712" s="3"/>
      <c r="S712" s="3"/>
      <c r="T712" s="281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221"/>
      <c r="L713" s="222"/>
      <c r="M713" s="221"/>
      <c r="O713" s="3"/>
      <c r="P713" s="3"/>
      <c r="Q713" s="3"/>
      <c r="R713" s="3"/>
      <c r="S713" s="3"/>
      <c r="T713" s="281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221"/>
      <c r="L714" s="222"/>
      <c r="M714" s="221"/>
      <c r="O714" s="3"/>
      <c r="P714" s="3"/>
      <c r="Q714" s="3"/>
      <c r="R714" s="3"/>
      <c r="S714" s="3"/>
      <c r="T714" s="281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221"/>
      <c r="L715" s="222"/>
      <c r="M715" s="221"/>
      <c r="O715" s="3"/>
      <c r="P715" s="3"/>
      <c r="Q715" s="3"/>
      <c r="R715" s="3"/>
      <c r="S715" s="3"/>
      <c r="T715" s="281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221"/>
      <c r="L716" s="222"/>
      <c r="M716" s="221"/>
      <c r="O716" s="3"/>
      <c r="P716" s="3"/>
      <c r="Q716" s="3"/>
      <c r="R716" s="3"/>
      <c r="S716" s="3"/>
      <c r="T716" s="281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221"/>
      <c r="L717" s="222"/>
      <c r="M717" s="221"/>
      <c r="O717" s="3"/>
      <c r="P717" s="3"/>
      <c r="Q717" s="3"/>
      <c r="R717" s="3"/>
      <c r="S717" s="3"/>
      <c r="T717" s="281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221"/>
      <c r="L718" s="222"/>
      <c r="M718" s="221"/>
      <c r="O718" s="3"/>
      <c r="P718" s="3"/>
      <c r="Q718" s="3"/>
      <c r="R718" s="3"/>
      <c r="S718" s="3"/>
      <c r="T718" s="281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221"/>
      <c r="L719" s="222"/>
      <c r="M719" s="221"/>
      <c r="O719" s="3"/>
      <c r="P719" s="3"/>
      <c r="Q719" s="3"/>
      <c r="R719" s="3"/>
      <c r="S719" s="3"/>
      <c r="T719" s="281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221"/>
      <c r="L720" s="222"/>
      <c r="M720" s="221"/>
      <c r="O720" s="3"/>
      <c r="P720" s="3"/>
      <c r="Q720" s="3"/>
      <c r="R720" s="3"/>
      <c r="S720" s="3"/>
      <c r="T720" s="281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221"/>
      <c r="L721" s="222"/>
      <c r="M721" s="221"/>
      <c r="O721" s="3"/>
      <c r="P721" s="3"/>
      <c r="Q721" s="3"/>
      <c r="R721" s="3"/>
      <c r="S721" s="3"/>
      <c r="T721" s="281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221"/>
      <c r="L722" s="222"/>
      <c r="M722" s="221"/>
      <c r="O722" s="3"/>
      <c r="P722" s="3"/>
      <c r="Q722" s="3"/>
      <c r="R722" s="3"/>
      <c r="S722" s="3"/>
      <c r="T722" s="281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221"/>
      <c r="L723" s="222"/>
      <c r="M723" s="221"/>
      <c r="O723" s="3"/>
      <c r="P723" s="3"/>
      <c r="Q723" s="3"/>
      <c r="R723" s="3"/>
      <c r="S723" s="3"/>
      <c r="T723" s="281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221"/>
      <c r="L724" s="222"/>
      <c r="M724" s="221"/>
      <c r="O724" s="3"/>
      <c r="P724" s="3"/>
      <c r="Q724" s="3"/>
      <c r="R724" s="3"/>
      <c r="S724" s="3"/>
      <c r="T724" s="281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221"/>
      <c r="L725" s="222"/>
      <c r="M725" s="221"/>
      <c r="O725" s="3"/>
      <c r="P725" s="3"/>
      <c r="Q725" s="3"/>
      <c r="R725" s="3"/>
      <c r="S725" s="3"/>
      <c r="T725" s="281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221"/>
      <c r="L726" s="222"/>
      <c r="M726" s="221"/>
      <c r="O726" s="3"/>
      <c r="P726" s="3"/>
      <c r="Q726" s="3"/>
      <c r="R726" s="3"/>
      <c r="S726" s="3"/>
      <c r="T726" s="281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221"/>
      <c r="L727" s="222"/>
      <c r="M727" s="221"/>
      <c r="O727" s="3"/>
      <c r="P727" s="3"/>
      <c r="Q727" s="3"/>
      <c r="R727" s="3"/>
      <c r="S727" s="3"/>
      <c r="T727" s="281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221"/>
      <c r="L728" s="222"/>
      <c r="M728" s="221"/>
      <c r="O728" s="3"/>
      <c r="P728" s="3"/>
      <c r="Q728" s="3"/>
      <c r="R728" s="3"/>
      <c r="S728" s="3"/>
      <c r="T728" s="281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221"/>
      <c r="L729" s="222"/>
      <c r="M729" s="221"/>
      <c r="O729" s="3"/>
      <c r="P729" s="3"/>
      <c r="Q729" s="3"/>
      <c r="R729" s="3"/>
      <c r="S729" s="3"/>
      <c r="T729" s="281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221"/>
      <c r="L730" s="222"/>
      <c r="M730" s="221"/>
      <c r="O730" s="3"/>
      <c r="P730" s="3"/>
      <c r="Q730" s="3"/>
      <c r="R730" s="3"/>
      <c r="S730" s="3"/>
      <c r="T730" s="281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221"/>
      <c r="L731" s="222"/>
      <c r="M731" s="221"/>
      <c r="O731" s="3"/>
      <c r="P731" s="3"/>
      <c r="Q731" s="3"/>
      <c r="R731" s="3"/>
      <c r="S731" s="3"/>
      <c r="T731" s="281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221"/>
      <c r="L732" s="222"/>
      <c r="M732" s="221"/>
      <c r="O732" s="3"/>
      <c r="P732" s="3"/>
      <c r="Q732" s="3"/>
      <c r="R732" s="3"/>
      <c r="S732" s="3"/>
      <c r="T732" s="281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221"/>
      <c r="L733" s="222"/>
      <c r="M733" s="221"/>
      <c r="O733" s="3"/>
      <c r="P733" s="3"/>
      <c r="Q733" s="3"/>
      <c r="R733" s="3"/>
      <c r="S733" s="3"/>
      <c r="T733" s="281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221"/>
      <c r="L734" s="222"/>
      <c r="M734" s="221"/>
      <c r="O734" s="3"/>
      <c r="P734" s="3"/>
      <c r="Q734" s="3"/>
      <c r="R734" s="3"/>
      <c r="S734" s="3"/>
      <c r="T734" s="281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221"/>
      <c r="L735" s="222"/>
      <c r="M735" s="221"/>
      <c r="O735" s="3"/>
      <c r="P735" s="3"/>
      <c r="Q735" s="3"/>
      <c r="R735" s="3"/>
      <c r="S735" s="3"/>
      <c r="T735" s="281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221"/>
      <c r="L736" s="222"/>
      <c r="M736" s="221"/>
      <c r="O736" s="3"/>
      <c r="P736" s="3"/>
      <c r="Q736" s="3"/>
      <c r="R736" s="3"/>
      <c r="S736" s="3"/>
      <c r="T736" s="281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221"/>
      <c r="L737" s="222"/>
      <c r="M737" s="221"/>
      <c r="O737" s="3"/>
      <c r="P737" s="3"/>
      <c r="Q737" s="3"/>
      <c r="R737" s="3"/>
      <c r="S737" s="3"/>
      <c r="T737" s="281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221"/>
      <c r="L738" s="222"/>
      <c r="M738" s="221"/>
      <c r="O738" s="3"/>
      <c r="P738" s="3"/>
      <c r="Q738" s="3"/>
      <c r="R738" s="3"/>
      <c r="S738" s="3"/>
      <c r="T738" s="281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221"/>
      <c r="L739" s="222"/>
      <c r="M739" s="221"/>
      <c r="O739" s="3"/>
      <c r="P739" s="3"/>
      <c r="Q739" s="3"/>
      <c r="R739" s="3"/>
      <c r="S739" s="3"/>
      <c r="T739" s="281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221"/>
      <c r="L740" s="222"/>
      <c r="M740" s="221"/>
      <c r="O740" s="3"/>
      <c r="P740" s="3"/>
      <c r="Q740" s="3"/>
      <c r="R740" s="3"/>
      <c r="S740" s="3"/>
      <c r="T740" s="281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221"/>
      <c r="L741" s="222"/>
      <c r="M741" s="221"/>
      <c r="O741" s="3"/>
      <c r="P741" s="3"/>
      <c r="Q741" s="3"/>
      <c r="R741" s="3"/>
      <c r="S741" s="3"/>
      <c r="T741" s="281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221"/>
      <c r="L742" s="222"/>
      <c r="M742" s="221"/>
      <c r="O742" s="3"/>
      <c r="P742" s="3"/>
      <c r="Q742" s="3"/>
      <c r="R742" s="3"/>
      <c r="S742" s="3"/>
      <c r="T742" s="281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221"/>
      <c r="L743" s="222"/>
      <c r="M743" s="221"/>
      <c r="O743" s="3"/>
      <c r="P743" s="3"/>
      <c r="Q743" s="3"/>
      <c r="R743" s="3"/>
      <c r="S743" s="3"/>
      <c r="T743" s="281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221"/>
      <c r="L744" s="222"/>
      <c r="M744" s="221"/>
      <c r="O744" s="3"/>
      <c r="P744" s="3"/>
      <c r="Q744" s="3"/>
      <c r="R744" s="3"/>
      <c r="S744" s="3"/>
      <c r="T744" s="281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221"/>
      <c r="L745" s="222"/>
      <c r="M745" s="221"/>
      <c r="O745" s="3"/>
      <c r="P745" s="3"/>
      <c r="Q745" s="3"/>
      <c r="R745" s="3"/>
      <c r="S745" s="3"/>
      <c r="T745" s="281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221"/>
      <c r="L746" s="222"/>
      <c r="M746" s="221"/>
      <c r="O746" s="3"/>
      <c r="P746" s="3"/>
      <c r="Q746" s="3"/>
      <c r="R746" s="3"/>
      <c r="S746" s="3"/>
      <c r="T746" s="281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221"/>
      <c r="L747" s="222"/>
      <c r="M747" s="221"/>
      <c r="O747" s="3"/>
      <c r="P747" s="3"/>
      <c r="Q747" s="3"/>
      <c r="R747" s="3"/>
      <c r="S747" s="3"/>
      <c r="T747" s="281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221"/>
      <c r="L748" s="222"/>
      <c r="M748" s="221"/>
      <c r="O748" s="3"/>
      <c r="P748" s="3"/>
      <c r="Q748" s="3"/>
      <c r="R748" s="3"/>
      <c r="S748" s="3"/>
      <c r="T748" s="281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221"/>
      <c r="L749" s="222"/>
      <c r="M749" s="221"/>
      <c r="O749" s="3"/>
      <c r="P749" s="3"/>
      <c r="Q749" s="3"/>
      <c r="R749" s="3"/>
      <c r="S749" s="3"/>
      <c r="T749" s="281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221"/>
      <c r="L750" s="222"/>
      <c r="M750" s="221"/>
      <c r="O750" s="3"/>
      <c r="P750" s="3"/>
      <c r="Q750" s="3"/>
      <c r="R750" s="3"/>
      <c r="S750" s="3"/>
      <c r="T750" s="281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221"/>
      <c r="L751" s="222"/>
      <c r="M751" s="221"/>
      <c r="O751" s="3"/>
      <c r="P751" s="3"/>
      <c r="Q751" s="3"/>
      <c r="R751" s="3"/>
      <c r="S751" s="3"/>
      <c r="T751" s="281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221"/>
      <c r="L752" s="222"/>
      <c r="M752" s="221"/>
      <c r="O752" s="3"/>
      <c r="P752" s="3"/>
      <c r="Q752" s="3"/>
      <c r="R752" s="3"/>
      <c r="S752" s="3"/>
      <c r="T752" s="281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221"/>
      <c r="L753" s="222"/>
      <c r="M753" s="221"/>
      <c r="O753" s="3"/>
      <c r="P753" s="3"/>
      <c r="Q753" s="3"/>
      <c r="R753" s="3"/>
      <c r="S753" s="3"/>
      <c r="T753" s="281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221"/>
      <c r="L754" s="222"/>
      <c r="M754" s="221"/>
      <c r="O754" s="3"/>
      <c r="P754" s="3"/>
      <c r="Q754" s="3"/>
      <c r="R754" s="3"/>
      <c r="S754" s="3"/>
      <c r="T754" s="281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221"/>
      <c r="L755" s="222"/>
      <c r="M755" s="221"/>
      <c r="O755" s="3"/>
      <c r="P755" s="3"/>
      <c r="Q755" s="3"/>
      <c r="R755" s="3"/>
      <c r="S755" s="3"/>
      <c r="T755" s="281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221"/>
      <c r="L756" s="222"/>
      <c r="M756" s="221"/>
      <c r="O756" s="3"/>
      <c r="P756" s="3"/>
      <c r="Q756" s="3"/>
      <c r="R756" s="3"/>
      <c r="S756" s="3"/>
      <c r="T756" s="281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221"/>
      <c r="L757" s="222"/>
      <c r="M757" s="221"/>
      <c r="O757" s="3"/>
      <c r="P757" s="3"/>
      <c r="Q757" s="3"/>
      <c r="R757" s="3"/>
      <c r="S757" s="3"/>
      <c r="T757" s="281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221"/>
      <c r="L758" s="222"/>
      <c r="M758" s="221"/>
      <c r="O758" s="3"/>
      <c r="P758" s="3"/>
      <c r="Q758" s="3"/>
      <c r="R758" s="3"/>
      <c r="S758" s="3"/>
      <c r="T758" s="281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221"/>
      <c r="L759" s="222"/>
      <c r="M759" s="221"/>
      <c r="O759" s="3"/>
      <c r="P759" s="3"/>
      <c r="Q759" s="3"/>
      <c r="R759" s="3"/>
      <c r="S759" s="3"/>
      <c r="T759" s="281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221"/>
      <c r="L760" s="222"/>
      <c r="M760" s="221"/>
      <c r="O760" s="3"/>
      <c r="P760" s="3"/>
      <c r="Q760" s="3"/>
      <c r="R760" s="3"/>
      <c r="S760" s="3"/>
      <c r="T760" s="281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221"/>
      <c r="L761" s="222"/>
      <c r="M761" s="221"/>
      <c r="O761" s="3"/>
      <c r="P761" s="3"/>
      <c r="Q761" s="3"/>
      <c r="R761" s="3"/>
      <c r="S761" s="3"/>
      <c r="T761" s="281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221"/>
      <c r="L762" s="222"/>
      <c r="M762" s="221"/>
      <c r="O762" s="3"/>
      <c r="P762" s="3"/>
      <c r="Q762" s="3"/>
      <c r="R762" s="3"/>
      <c r="S762" s="3"/>
      <c r="T762" s="281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221"/>
      <c r="L763" s="222"/>
      <c r="M763" s="221"/>
      <c r="O763" s="3"/>
      <c r="P763" s="3"/>
      <c r="Q763" s="3"/>
      <c r="R763" s="3"/>
      <c r="S763" s="3"/>
      <c r="T763" s="281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221"/>
      <c r="L764" s="222"/>
      <c r="M764" s="221"/>
      <c r="O764" s="3"/>
      <c r="P764" s="3"/>
      <c r="Q764" s="3"/>
      <c r="R764" s="3"/>
      <c r="S764" s="3"/>
      <c r="T764" s="281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221"/>
      <c r="L765" s="222"/>
      <c r="M765" s="221"/>
      <c r="O765" s="3"/>
      <c r="P765" s="3"/>
      <c r="Q765" s="3"/>
      <c r="R765" s="3"/>
      <c r="S765" s="3"/>
      <c r="T765" s="281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221"/>
      <c r="L766" s="222"/>
      <c r="M766" s="221"/>
      <c r="O766" s="3"/>
      <c r="P766" s="3"/>
      <c r="Q766" s="3"/>
      <c r="R766" s="3"/>
      <c r="S766" s="3"/>
      <c r="T766" s="281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221"/>
      <c r="L767" s="222"/>
      <c r="M767" s="221"/>
      <c r="O767" s="3"/>
      <c r="P767" s="3"/>
      <c r="Q767" s="3"/>
      <c r="R767" s="3"/>
      <c r="S767" s="3"/>
      <c r="T767" s="281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221"/>
      <c r="L768" s="222"/>
      <c r="M768" s="221"/>
      <c r="O768" s="3"/>
      <c r="P768" s="3"/>
      <c r="Q768" s="3"/>
      <c r="R768" s="3"/>
      <c r="S768" s="3"/>
      <c r="T768" s="281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221"/>
      <c r="L769" s="222"/>
      <c r="M769" s="221"/>
      <c r="O769" s="3"/>
      <c r="P769" s="3"/>
      <c r="Q769" s="3"/>
      <c r="R769" s="3"/>
      <c r="S769" s="3"/>
      <c r="T769" s="281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221"/>
      <c r="L770" s="222"/>
      <c r="M770" s="221"/>
      <c r="O770" s="3"/>
      <c r="P770" s="3"/>
      <c r="Q770" s="3"/>
      <c r="R770" s="3"/>
      <c r="S770" s="3"/>
      <c r="T770" s="281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221"/>
      <c r="L771" s="222"/>
      <c r="M771" s="221"/>
      <c r="O771" s="3"/>
      <c r="P771" s="3"/>
      <c r="Q771" s="3"/>
      <c r="R771" s="3"/>
      <c r="S771" s="3"/>
      <c r="T771" s="281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221"/>
      <c r="L772" s="222"/>
      <c r="M772" s="221"/>
      <c r="O772" s="3"/>
      <c r="P772" s="3"/>
      <c r="Q772" s="3"/>
      <c r="R772" s="3"/>
      <c r="S772" s="3"/>
      <c r="T772" s="281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221"/>
      <c r="L773" s="222"/>
      <c r="M773" s="221"/>
      <c r="O773" s="3"/>
      <c r="P773" s="3"/>
      <c r="Q773" s="3"/>
      <c r="R773" s="3"/>
      <c r="S773" s="3"/>
      <c r="T773" s="281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221"/>
      <c r="L774" s="222"/>
      <c r="M774" s="221"/>
      <c r="O774" s="3"/>
      <c r="P774" s="3"/>
      <c r="Q774" s="3"/>
      <c r="R774" s="3"/>
      <c r="S774" s="3"/>
      <c r="T774" s="281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221"/>
      <c r="L775" s="222"/>
      <c r="M775" s="221"/>
      <c r="O775" s="3"/>
      <c r="P775" s="3"/>
      <c r="Q775" s="3"/>
      <c r="R775" s="3"/>
      <c r="S775" s="3"/>
      <c r="T775" s="281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221"/>
      <c r="L776" s="222"/>
      <c r="M776" s="221"/>
      <c r="O776" s="3"/>
      <c r="P776" s="3"/>
      <c r="Q776" s="3"/>
      <c r="R776" s="3"/>
      <c r="S776" s="3"/>
      <c r="T776" s="281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221"/>
      <c r="L777" s="222"/>
      <c r="M777" s="221"/>
      <c r="O777" s="3"/>
      <c r="P777" s="3"/>
      <c r="Q777" s="3"/>
      <c r="R777" s="3"/>
      <c r="S777" s="3"/>
      <c r="T777" s="281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221"/>
      <c r="L778" s="222"/>
      <c r="M778" s="221"/>
      <c r="O778" s="3"/>
      <c r="P778" s="3"/>
      <c r="Q778" s="3"/>
      <c r="R778" s="3"/>
      <c r="S778" s="3"/>
      <c r="T778" s="281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221"/>
      <c r="L779" s="222"/>
      <c r="M779" s="221"/>
      <c r="O779" s="3"/>
      <c r="P779" s="3"/>
      <c r="Q779" s="3"/>
      <c r="R779" s="3"/>
      <c r="S779" s="3"/>
      <c r="T779" s="281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221"/>
      <c r="L780" s="222"/>
      <c r="M780" s="221"/>
      <c r="O780" s="3"/>
      <c r="P780" s="3"/>
      <c r="Q780" s="3"/>
      <c r="R780" s="3"/>
      <c r="S780" s="3"/>
      <c r="T780" s="281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221"/>
      <c r="L781" s="222"/>
      <c r="M781" s="221"/>
      <c r="O781" s="3"/>
      <c r="P781" s="3"/>
      <c r="Q781" s="3"/>
      <c r="R781" s="3"/>
      <c r="S781" s="3"/>
      <c r="T781" s="281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221"/>
      <c r="L782" s="222"/>
      <c r="M782" s="221"/>
      <c r="O782" s="3"/>
      <c r="P782" s="3"/>
      <c r="Q782" s="3"/>
      <c r="R782" s="3"/>
      <c r="S782" s="3"/>
      <c r="T782" s="281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221"/>
      <c r="L783" s="222"/>
      <c r="M783" s="221"/>
      <c r="O783" s="3"/>
      <c r="P783" s="3"/>
      <c r="Q783" s="3"/>
      <c r="R783" s="3"/>
      <c r="S783" s="3"/>
      <c r="T783" s="281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221"/>
      <c r="L784" s="222"/>
      <c r="M784" s="221"/>
      <c r="O784" s="3"/>
      <c r="P784" s="3"/>
      <c r="Q784" s="3"/>
      <c r="R784" s="3"/>
      <c r="S784" s="3"/>
      <c r="T784" s="281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221"/>
      <c r="L785" s="222"/>
      <c r="M785" s="221"/>
      <c r="O785" s="3"/>
      <c r="P785" s="3"/>
      <c r="Q785" s="3"/>
      <c r="R785" s="3"/>
      <c r="S785" s="3"/>
      <c r="T785" s="281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221"/>
      <c r="L786" s="222"/>
      <c r="M786" s="221"/>
      <c r="O786" s="3"/>
      <c r="P786" s="3"/>
      <c r="Q786" s="3"/>
      <c r="R786" s="3"/>
      <c r="S786" s="3"/>
      <c r="T786" s="281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221"/>
      <c r="L787" s="222"/>
      <c r="M787" s="221"/>
      <c r="O787" s="3"/>
      <c r="P787" s="3"/>
      <c r="Q787" s="3"/>
      <c r="R787" s="3"/>
      <c r="S787" s="3"/>
      <c r="T787" s="281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221"/>
      <c r="L788" s="222"/>
      <c r="M788" s="221"/>
      <c r="O788" s="3"/>
      <c r="P788" s="3"/>
      <c r="Q788" s="3"/>
      <c r="R788" s="3"/>
      <c r="S788" s="3"/>
      <c r="T788" s="281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221"/>
      <c r="L789" s="222"/>
      <c r="M789" s="221"/>
      <c r="O789" s="3"/>
      <c r="P789" s="3"/>
      <c r="Q789" s="3"/>
      <c r="R789" s="3"/>
      <c r="S789" s="3"/>
      <c r="T789" s="281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221"/>
      <c r="L790" s="222"/>
      <c r="M790" s="221"/>
      <c r="O790" s="3"/>
      <c r="P790" s="3"/>
      <c r="Q790" s="3"/>
      <c r="R790" s="3"/>
      <c r="S790" s="3"/>
      <c r="T790" s="281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221"/>
      <c r="L791" s="222"/>
      <c r="M791" s="221"/>
      <c r="O791" s="3"/>
      <c r="P791" s="3"/>
      <c r="Q791" s="3"/>
      <c r="R791" s="3"/>
      <c r="S791" s="3"/>
      <c r="T791" s="281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221"/>
      <c r="L792" s="222"/>
      <c r="M792" s="221"/>
      <c r="O792" s="3"/>
      <c r="P792" s="3"/>
      <c r="Q792" s="3"/>
      <c r="R792" s="3"/>
      <c r="S792" s="3"/>
      <c r="T792" s="281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221"/>
      <c r="L793" s="222"/>
      <c r="M793" s="221"/>
      <c r="O793" s="3"/>
      <c r="P793" s="3"/>
      <c r="Q793" s="3"/>
      <c r="R793" s="3"/>
      <c r="S793" s="3"/>
      <c r="T793" s="281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221"/>
      <c r="L794" s="222"/>
      <c r="M794" s="221"/>
      <c r="O794" s="3"/>
      <c r="P794" s="3"/>
      <c r="Q794" s="3"/>
      <c r="R794" s="3"/>
      <c r="S794" s="3"/>
      <c r="T794" s="281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221"/>
      <c r="L795" s="222"/>
      <c r="M795" s="221"/>
      <c r="O795" s="3"/>
      <c r="P795" s="3"/>
      <c r="Q795" s="3"/>
      <c r="R795" s="3"/>
      <c r="S795" s="3"/>
      <c r="T795" s="281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221"/>
      <c r="L796" s="222"/>
      <c r="M796" s="221"/>
      <c r="O796" s="3"/>
      <c r="P796" s="3"/>
      <c r="Q796" s="3"/>
      <c r="R796" s="3"/>
      <c r="S796" s="3"/>
      <c r="T796" s="281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221"/>
      <c r="L797" s="222"/>
      <c r="M797" s="221"/>
      <c r="O797" s="3"/>
      <c r="P797" s="3"/>
      <c r="Q797" s="3"/>
      <c r="R797" s="3"/>
      <c r="S797" s="3"/>
      <c r="T797" s="281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221"/>
      <c r="L798" s="222"/>
      <c r="M798" s="221"/>
      <c r="O798" s="3"/>
      <c r="P798" s="3"/>
      <c r="Q798" s="3"/>
      <c r="R798" s="3"/>
      <c r="S798" s="3"/>
      <c r="T798" s="281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221"/>
      <c r="L799" s="222"/>
      <c r="M799" s="221"/>
      <c r="O799" s="3"/>
      <c r="P799" s="3"/>
      <c r="Q799" s="3"/>
      <c r="R799" s="3"/>
      <c r="S799" s="3"/>
      <c r="T799" s="281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221"/>
      <c r="L800" s="222"/>
      <c r="M800" s="221"/>
      <c r="O800" s="3"/>
      <c r="P800" s="3"/>
      <c r="Q800" s="3"/>
      <c r="R800" s="3"/>
      <c r="S800" s="3"/>
      <c r="T800" s="281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221"/>
      <c r="L801" s="222"/>
      <c r="M801" s="221"/>
      <c r="O801" s="3"/>
      <c r="P801" s="3"/>
      <c r="Q801" s="3"/>
      <c r="R801" s="3"/>
      <c r="S801" s="3"/>
      <c r="T801" s="281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221"/>
      <c r="L802" s="222"/>
      <c r="M802" s="221"/>
      <c r="O802" s="3"/>
      <c r="P802" s="3"/>
      <c r="Q802" s="3"/>
      <c r="R802" s="3"/>
      <c r="S802" s="3"/>
      <c r="T802" s="281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221"/>
      <c r="L803" s="222"/>
      <c r="M803" s="221"/>
      <c r="O803" s="3"/>
      <c r="P803" s="3"/>
      <c r="Q803" s="3"/>
      <c r="R803" s="3"/>
      <c r="S803" s="3"/>
      <c r="T803" s="281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221"/>
      <c r="L804" s="222"/>
      <c r="M804" s="221"/>
      <c r="O804" s="3"/>
      <c r="P804" s="3"/>
      <c r="Q804" s="3"/>
      <c r="R804" s="3"/>
      <c r="S804" s="3"/>
      <c r="T804" s="281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221"/>
      <c r="L805" s="222"/>
      <c r="M805" s="221"/>
      <c r="O805" s="3"/>
      <c r="P805" s="3"/>
      <c r="Q805" s="3"/>
      <c r="R805" s="3"/>
      <c r="S805" s="3"/>
      <c r="T805" s="281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221"/>
      <c r="L806" s="222"/>
      <c r="M806" s="221"/>
      <c r="O806" s="3"/>
      <c r="P806" s="3"/>
      <c r="Q806" s="3"/>
      <c r="R806" s="3"/>
      <c r="S806" s="3"/>
      <c r="T806" s="281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221"/>
      <c r="L807" s="222"/>
      <c r="M807" s="221"/>
      <c r="O807" s="3"/>
      <c r="P807" s="3"/>
      <c r="Q807" s="3"/>
      <c r="R807" s="3"/>
      <c r="S807" s="3"/>
      <c r="T807" s="281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221"/>
      <c r="L808" s="222"/>
      <c r="M808" s="221"/>
      <c r="O808" s="3"/>
      <c r="P808" s="3"/>
      <c r="Q808" s="3"/>
      <c r="R808" s="3"/>
      <c r="S808" s="3"/>
      <c r="T808" s="281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221"/>
      <c r="L809" s="222"/>
      <c r="M809" s="221"/>
      <c r="O809" s="3"/>
      <c r="P809" s="3"/>
      <c r="Q809" s="3"/>
      <c r="R809" s="3"/>
      <c r="S809" s="3"/>
      <c r="T809" s="281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221"/>
      <c r="L810" s="222"/>
      <c r="M810" s="221"/>
      <c r="O810" s="3"/>
      <c r="P810" s="3"/>
      <c r="Q810" s="3"/>
      <c r="R810" s="3"/>
      <c r="S810" s="3"/>
      <c r="T810" s="281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221"/>
      <c r="L811" s="222"/>
      <c r="M811" s="221"/>
      <c r="O811" s="3"/>
      <c r="P811" s="3"/>
      <c r="Q811" s="3"/>
      <c r="R811" s="3"/>
      <c r="S811" s="3"/>
      <c r="T811" s="281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221"/>
      <c r="L812" s="222"/>
      <c r="M812" s="221"/>
      <c r="O812" s="3"/>
      <c r="P812" s="3"/>
      <c r="Q812" s="3"/>
      <c r="R812" s="3"/>
      <c r="S812" s="3"/>
      <c r="T812" s="281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221"/>
      <c r="L813" s="222"/>
      <c r="M813" s="221"/>
      <c r="O813" s="3"/>
      <c r="P813" s="3"/>
      <c r="Q813" s="3"/>
      <c r="R813" s="3"/>
      <c r="S813" s="3"/>
      <c r="T813" s="281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221"/>
      <c r="L814" s="222"/>
      <c r="M814" s="221"/>
      <c r="O814" s="3"/>
      <c r="P814" s="3"/>
      <c r="Q814" s="3"/>
      <c r="R814" s="3"/>
      <c r="S814" s="3"/>
      <c r="T814" s="281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221"/>
      <c r="L815" s="222"/>
      <c r="M815" s="221"/>
      <c r="O815" s="3"/>
      <c r="P815" s="3"/>
      <c r="Q815" s="3"/>
      <c r="R815" s="3"/>
      <c r="S815" s="3"/>
      <c r="T815" s="281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221"/>
      <c r="L816" s="222"/>
      <c r="M816" s="221"/>
      <c r="O816" s="3"/>
      <c r="P816" s="3"/>
      <c r="Q816" s="3"/>
      <c r="R816" s="3"/>
      <c r="S816" s="3"/>
      <c r="T816" s="281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221"/>
      <c r="L817" s="222"/>
      <c r="M817" s="221"/>
      <c r="O817" s="3"/>
      <c r="P817" s="3"/>
      <c r="Q817" s="3"/>
      <c r="R817" s="3"/>
      <c r="S817" s="3"/>
      <c r="T817" s="281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221"/>
      <c r="L818" s="222"/>
      <c r="M818" s="221"/>
      <c r="O818" s="3"/>
      <c r="P818" s="3"/>
      <c r="Q818" s="3"/>
      <c r="R818" s="3"/>
      <c r="S818" s="3"/>
      <c r="T818" s="281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221"/>
      <c r="L819" s="222"/>
      <c r="M819" s="221"/>
      <c r="O819" s="3"/>
      <c r="P819" s="3"/>
      <c r="Q819" s="3"/>
      <c r="R819" s="3"/>
      <c r="S819" s="3"/>
      <c r="T819" s="281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221"/>
      <c r="L820" s="222"/>
      <c r="M820" s="221"/>
      <c r="O820" s="3"/>
      <c r="P820" s="3"/>
      <c r="Q820" s="3"/>
      <c r="R820" s="3"/>
      <c r="S820" s="3"/>
      <c r="T820" s="281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221"/>
      <c r="L821" s="222"/>
      <c r="M821" s="221"/>
      <c r="O821" s="3"/>
      <c r="P821" s="3"/>
      <c r="Q821" s="3"/>
      <c r="R821" s="3"/>
      <c r="S821" s="3"/>
      <c r="T821" s="281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221"/>
      <c r="L822" s="222"/>
      <c r="M822" s="221"/>
      <c r="O822" s="3"/>
      <c r="P822" s="3"/>
      <c r="Q822" s="3"/>
      <c r="R822" s="3"/>
      <c r="S822" s="3"/>
      <c r="T822" s="281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221"/>
      <c r="L823" s="222"/>
      <c r="M823" s="221"/>
      <c r="O823" s="3"/>
      <c r="P823" s="3"/>
      <c r="Q823" s="3"/>
      <c r="R823" s="3"/>
      <c r="S823" s="3"/>
      <c r="T823" s="281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221"/>
      <c r="L824" s="222"/>
      <c r="M824" s="221"/>
      <c r="O824" s="3"/>
      <c r="P824" s="3"/>
      <c r="Q824" s="3"/>
      <c r="R824" s="3"/>
      <c r="S824" s="3"/>
      <c r="T824" s="281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221"/>
      <c r="L825" s="222"/>
      <c r="M825" s="221"/>
      <c r="O825" s="3"/>
      <c r="P825" s="3"/>
      <c r="Q825" s="3"/>
      <c r="R825" s="3"/>
      <c r="S825" s="3"/>
      <c r="T825" s="281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221"/>
      <c r="L826" s="222"/>
      <c r="M826" s="221"/>
      <c r="O826" s="3"/>
      <c r="P826" s="3"/>
      <c r="Q826" s="3"/>
      <c r="R826" s="3"/>
      <c r="S826" s="3"/>
      <c r="T826" s="281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221"/>
      <c r="L827" s="222"/>
      <c r="M827" s="221"/>
      <c r="O827" s="3"/>
      <c r="P827" s="3"/>
      <c r="Q827" s="3"/>
      <c r="R827" s="3"/>
      <c r="S827" s="3"/>
      <c r="T827" s="281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221"/>
      <c r="L828" s="222"/>
      <c r="M828" s="221"/>
      <c r="O828" s="3"/>
      <c r="P828" s="3"/>
      <c r="Q828" s="3"/>
      <c r="R828" s="3"/>
      <c r="S828" s="3"/>
      <c r="T828" s="281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221"/>
      <c r="L829" s="222"/>
      <c r="M829" s="221"/>
      <c r="O829" s="3"/>
      <c r="P829" s="3"/>
      <c r="Q829" s="3"/>
      <c r="R829" s="3"/>
      <c r="S829" s="3"/>
      <c r="T829" s="281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221"/>
      <c r="L830" s="222"/>
      <c r="M830" s="221"/>
      <c r="O830" s="3"/>
      <c r="P830" s="3"/>
      <c r="Q830" s="3"/>
      <c r="R830" s="3"/>
      <c r="S830" s="3"/>
      <c r="T830" s="281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221"/>
      <c r="L831" s="222"/>
      <c r="M831" s="221"/>
      <c r="O831" s="3"/>
      <c r="P831" s="3"/>
      <c r="Q831" s="3"/>
      <c r="R831" s="3"/>
      <c r="S831" s="3"/>
      <c r="T831" s="281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221"/>
      <c r="L832" s="222"/>
      <c r="M832" s="221"/>
      <c r="O832" s="3"/>
      <c r="P832" s="3"/>
      <c r="Q832" s="3"/>
      <c r="R832" s="3"/>
      <c r="S832" s="3"/>
      <c r="T832" s="281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221"/>
      <c r="L833" s="222"/>
      <c r="M833" s="221"/>
      <c r="O833" s="3"/>
      <c r="P833" s="3"/>
      <c r="Q833" s="3"/>
      <c r="R833" s="3"/>
      <c r="S833" s="3"/>
      <c r="T833" s="281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221"/>
      <c r="L834" s="222"/>
      <c r="M834" s="221"/>
      <c r="O834" s="3"/>
      <c r="P834" s="3"/>
      <c r="Q834" s="3"/>
      <c r="R834" s="3"/>
      <c r="S834" s="3"/>
      <c r="T834" s="281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221"/>
      <c r="L835" s="222"/>
      <c r="M835" s="221"/>
      <c r="O835" s="3"/>
      <c r="P835" s="3"/>
      <c r="Q835" s="3"/>
      <c r="R835" s="3"/>
      <c r="S835" s="3"/>
      <c r="T835" s="281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221"/>
      <c r="L836" s="222"/>
      <c r="M836" s="221"/>
      <c r="O836" s="3"/>
      <c r="P836" s="3"/>
      <c r="Q836" s="3"/>
      <c r="R836" s="3"/>
      <c r="S836" s="3"/>
      <c r="T836" s="281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221"/>
      <c r="L837" s="222"/>
      <c r="M837" s="221"/>
      <c r="O837" s="3"/>
      <c r="P837" s="3"/>
      <c r="Q837" s="3"/>
      <c r="R837" s="3"/>
      <c r="S837" s="3"/>
      <c r="T837" s="281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221"/>
      <c r="L838" s="222"/>
      <c r="M838" s="221"/>
      <c r="O838" s="3"/>
      <c r="P838" s="3"/>
      <c r="Q838" s="3"/>
      <c r="R838" s="3"/>
      <c r="S838" s="3"/>
      <c r="T838" s="281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221"/>
      <c r="L839" s="222"/>
      <c r="M839" s="221"/>
      <c r="O839" s="3"/>
      <c r="P839" s="3"/>
      <c r="Q839" s="3"/>
      <c r="R839" s="3"/>
      <c r="S839" s="3"/>
      <c r="T839" s="281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221"/>
      <c r="L840" s="222"/>
      <c r="M840" s="221"/>
      <c r="O840" s="3"/>
      <c r="P840" s="3"/>
      <c r="Q840" s="3"/>
      <c r="R840" s="3"/>
      <c r="S840" s="3"/>
      <c r="T840" s="281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221"/>
      <c r="L841" s="222"/>
      <c r="M841" s="221"/>
      <c r="O841" s="3"/>
      <c r="P841" s="3"/>
      <c r="Q841" s="3"/>
      <c r="R841" s="3"/>
      <c r="S841" s="3"/>
      <c r="T841" s="281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221"/>
      <c r="L842" s="222"/>
      <c r="M842" s="221"/>
      <c r="O842" s="3"/>
      <c r="P842" s="3"/>
      <c r="Q842" s="3"/>
      <c r="R842" s="3"/>
      <c r="S842" s="3"/>
      <c r="T842" s="281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221"/>
      <c r="L843" s="222"/>
      <c r="M843" s="221"/>
      <c r="O843" s="3"/>
      <c r="P843" s="3"/>
      <c r="Q843" s="3"/>
      <c r="R843" s="3"/>
      <c r="S843" s="3"/>
      <c r="T843" s="281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221"/>
      <c r="L844" s="222"/>
      <c r="M844" s="221"/>
      <c r="O844" s="3"/>
      <c r="P844" s="3"/>
      <c r="Q844" s="3"/>
      <c r="R844" s="3"/>
      <c r="S844" s="3"/>
      <c r="T844" s="281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221"/>
      <c r="L845" s="222"/>
      <c r="M845" s="221"/>
      <c r="O845" s="3"/>
      <c r="P845" s="3"/>
      <c r="Q845" s="3"/>
      <c r="R845" s="3"/>
      <c r="S845" s="3"/>
      <c r="T845" s="281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221"/>
      <c r="L846" s="222"/>
      <c r="M846" s="221"/>
      <c r="O846" s="3"/>
      <c r="P846" s="3"/>
      <c r="Q846" s="3"/>
      <c r="R846" s="3"/>
      <c r="S846" s="3"/>
      <c r="T846" s="281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221"/>
      <c r="L847" s="222"/>
      <c r="M847" s="221"/>
      <c r="O847" s="3"/>
      <c r="P847" s="3"/>
      <c r="Q847" s="3"/>
      <c r="R847" s="3"/>
      <c r="S847" s="3"/>
      <c r="T847" s="281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221"/>
      <c r="L848" s="222"/>
      <c r="M848" s="221"/>
      <c r="O848" s="3"/>
      <c r="P848" s="3"/>
      <c r="Q848" s="3"/>
      <c r="R848" s="3"/>
      <c r="S848" s="3"/>
      <c r="T848" s="281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221"/>
      <c r="L849" s="222"/>
      <c r="M849" s="221"/>
      <c r="O849" s="3"/>
      <c r="P849" s="3"/>
      <c r="Q849" s="3"/>
      <c r="R849" s="3"/>
      <c r="S849" s="3"/>
      <c r="T849" s="281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221"/>
      <c r="L850" s="222"/>
      <c r="M850" s="221"/>
      <c r="O850" s="3"/>
      <c r="P850" s="3"/>
      <c r="Q850" s="3"/>
      <c r="R850" s="3"/>
      <c r="S850" s="3"/>
      <c r="T850" s="281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221"/>
      <c r="L851" s="222"/>
      <c r="M851" s="221"/>
      <c r="O851" s="3"/>
      <c r="P851" s="3"/>
      <c r="Q851" s="3"/>
      <c r="R851" s="3"/>
      <c r="S851" s="3"/>
      <c r="T851" s="281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221"/>
      <c r="L852" s="222"/>
      <c r="M852" s="221"/>
      <c r="O852" s="3"/>
      <c r="P852" s="3"/>
      <c r="Q852" s="3"/>
      <c r="R852" s="3"/>
      <c r="S852" s="3"/>
      <c r="T852" s="281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221"/>
      <c r="L853" s="222"/>
      <c r="M853" s="221"/>
      <c r="O853" s="3"/>
      <c r="P853" s="3"/>
      <c r="Q853" s="3"/>
      <c r="R853" s="3"/>
      <c r="S853" s="3"/>
      <c r="T853" s="281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221"/>
      <c r="L854" s="222"/>
      <c r="M854" s="221"/>
      <c r="O854" s="3"/>
      <c r="P854" s="3"/>
      <c r="Q854" s="3"/>
      <c r="R854" s="3"/>
      <c r="S854" s="3"/>
      <c r="T854" s="281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221"/>
      <c r="L855" s="222"/>
      <c r="M855" s="221"/>
      <c r="O855" s="3"/>
      <c r="P855" s="3"/>
      <c r="Q855" s="3"/>
      <c r="R855" s="3"/>
      <c r="S855" s="3"/>
      <c r="T855" s="281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221"/>
      <c r="L856" s="222"/>
      <c r="M856" s="221"/>
      <c r="O856" s="3"/>
      <c r="P856" s="3"/>
      <c r="Q856" s="3"/>
      <c r="R856" s="3"/>
      <c r="S856" s="3"/>
      <c r="T856" s="281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221"/>
      <c r="L857" s="222"/>
      <c r="M857" s="221"/>
      <c r="O857" s="3"/>
      <c r="P857" s="3"/>
      <c r="Q857" s="3"/>
      <c r="R857" s="3"/>
      <c r="S857" s="3"/>
      <c r="T857" s="281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221"/>
      <c r="L858" s="222"/>
      <c r="M858" s="221"/>
      <c r="O858" s="3"/>
      <c r="P858" s="3"/>
      <c r="Q858" s="3"/>
      <c r="R858" s="3"/>
      <c r="S858" s="3"/>
      <c r="T858" s="281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221"/>
      <c r="L859" s="222"/>
      <c r="M859" s="221"/>
      <c r="O859" s="3"/>
      <c r="P859" s="3"/>
      <c r="Q859" s="3"/>
      <c r="R859" s="3"/>
      <c r="S859" s="3"/>
      <c r="T859" s="281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221"/>
      <c r="L860" s="222"/>
      <c r="M860" s="221"/>
      <c r="O860" s="3"/>
      <c r="P860" s="3"/>
      <c r="Q860" s="3"/>
      <c r="R860" s="3"/>
      <c r="S860" s="3"/>
      <c r="T860" s="281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221"/>
      <c r="L861" s="222"/>
      <c r="M861" s="221"/>
      <c r="O861" s="3"/>
      <c r="P861" s="3"/>
      <c r="Q861" s="3"/>
      <c r="R861" s="3"/>
      <c r="S861" s="3"/>
      <c r="T861" s="281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221"/>
      <c r="L862" s="222"/>
      <c r="M862" s="221"/>
      <c r="O862" s="3"/>
      <c r="P862" s="3"/>
      <c r="Q862" s="3"/>
      <c r="R862" s="3"/>
      <c r="S862" s="3"/>
      <c r="T862" s="281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221"/>
      <c r="L863" s="222"/>
      <c r="M863" s="221"/>
      <c r="O863" s="3"/>
      <c r="P863" s="3"/>
      <c r="Q863" s="3"/>
      <c r="R863" s="3"/>
      <c r="S863" s="3"/>
      <c r="T863" s="281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221"/>
      <c r="L864" s="222"/>
      <c r="M864" s="221"/>
      <c r="O864" s="3"/>
      <c r="P864" s="3"/>
      <c r="Q864" s="3"/>
      <c r="R864" s="3"/>
      <c r="S864" s="3"/>
      <c r="T864" s="281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221"/>
      <c r="L865" s="222"/>
      <c r="M865" s="221"/>
      <c r="O865" s="3"/>
      <c r="P865" s="3"/>
      <c r="Q865" s="3"/>
      <c r="R865" s="3"/>
      <c r="S865" s="3"/>
      <c r="T865" s="281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221"/>
      <c r="L866" s="222"/>
      <c r="M866" s="221"/>
      <c r="O866" s="3"/>
      <c r="P866" s="3"/>
      <c r="Q866" s="3"/>
      <c r="R866" s="3"/>
      <c r="S866" s="3"/>
      <c r="T866" s="281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221"/>
      <c r="L867" s="222"/>
      <c r="M867" s="221"/>
      <c r="O867" s="3"/>
      <c r="P867" s="3"/>
      <c r="Q867" s="3"/>
      <c r="R867" s="3"/>
      <c r="S867" s="3"/>
      <c r="T867" s="281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221"/>
      <c r="L868" s="222"/>
      <c r="M868" s="221"/>
      <c r="O868" s="3"/>
      <c r="P868" s="3"/>
      <c r="Q868" s="3"/>
      <c r="R868" s="3"/>
      <c r="S868" s="3"/>
      <c r="T868" s="281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221"/>
      <c r="L869" s="222"/>
      <c r="M869" s="221"/>
      <c r="O869" s="3"/>
      <c r="P869" s="3"/>
      <c r="Q869" s="3"/>
      <c r="R869" s="3"/>
      <c r="S869" s="3"/>
      <c r="T869" s="281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221"/>
      <c r="L870" s="222"/>
      <c r="M870" s="221"/>
      <c r="O870" s="3"/>
      <c r="P870" s="3"/>
      <c r="Q870" s="3"/>
      <c r="R870" s="3"/>
      <c r="S870" s="3"/>
      <c r="T870" s="281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221"/>
      <c r="L871" s="222"/>
      <c r="M871" s="221"/>
      <c r="O871" s="3"/>
      <c r="P871" s="3"/>
      <c r="Q871" s="3"/>
      <c r="R871" s="3"/>
      <c r="S871" s="3"/>
      <c r="T871" s="281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221"/>
      <c r="L872" s="222"/>
      <c r="M872" s="221"/>
      <c r="O872" s="3"/>
      <c r="P872" s="3"/>
      <c r="Q872" s="3"/>
      <c r="R872" s="3"/>
      <c r="S872" s="3"/>
      <c r="T872" s="281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221"/>
      <c r="L873" s="222"/>
      <c r="M873" s="221"/>
      <c r="O873" s="3"/>
      <c r="P873" s="3"/>
      <c r="Q873" s="3"/>
      <c r="R873" s="3"/>
      <c r="S873" s="3"/>
      <c r="T873" s="281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221"/>
      <c r="L874" s="222"/>
      <c r="M874" s="221"/>
      <c r="O874" s="3"/>
      <c r="P874" s="3"/>
      <c r="Q874" s="3"/>
      <c r="R874" s="3"/>
      <c r="S874" s="3"/>
      <c r="T874" s="281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221"/>
      <c r="L875" s="222"/>
      <c r="M875" s="221"/>
      <c r="O875" s="3"/>
      <c r="P875" s="3"/>
      <c r="Q875" s="3"/>
      <c r="R875" s="3"/>
      <c r="S875" s="3"/>
      <c r="T875" s="281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221"/>
      <c r="L876" s="222"/>
      <c r="M876" s="221"/>
      <c r="O876" s="3"/>
      <c r="P876" s="3"/>
      <c r="Q876" s="3"/>
      <c r="R876" s="3"/>
      <c r="S876" s="3"/>
      <c r="T876" s="281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221"/>
      <c r="L877" s="222"/>
      <c r="M877" s="221"/>
      <c r="O877" s="3"/>
      <c r="P877" s="3"/>
      <c r="Q877" s="3"/>
      <c r="R877" s="3"/>
      <c r="S877" s="3"/>
      <c r="T877" s="281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221"/>
      <c r="L878" s="222"/>
      <c r="M878" s="221"/>
      <c r="O878" s="3"/>
      <c r="P878" s="3"/>
      <c r="Q878" s="3"/>
      <c r="R878" s="3"/>
      <c r="S878" s="3"/>
      <c r="T878" s="281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221"/>
      <c r="L879" s="222"/>
      <c r="M879" s="221"/>
      <c r="O879" s="3"/>
      <c r="P879" s="3"/>
      <c r="Q879" s="3"/>
      <c r="R879" s="3"/>
      <c r="S879" s="3"/>
      <c r="T879" s="281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221"/>
      <c r="L880" s="222"/>
      <c r="M880" s="221"/>
      <c r="O880" s="3"/>
      <c r="P880" s="3"/>
      <c r="Q880" s="3"/>
      <c r="R880" s="3"/>
      <c r="S880" s="3"/>
      <c r="T880" s="281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221"/>
      <c r="L881" s="222"/>
      <c r="M881" s="221"/>
      <c r="O881" s="3"/>
      <c r="P881" s="3"/>
      <c r="Q881" s="3"/>
      <c r="R881" s="3"/>
      <c r="S881" s="3"/>
      <c r="T881" s="281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221"/>
      <c r="L882" s="222"/>
      <c r="M882" s="221"/>
      <c r="O882" s="3"/>
      <c r="P882" s="3"/>
      <c r="Q882" s="3"/>
      <c r="R882" s="3"/>
      <c r="S882" s="3"/>
      <c r="T882" s="281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221"/>
      <c r="L883" s="222"/>
      <c r="M883" s="221"/>
      <c r="O883" s="3"/>
      <c r="P883" s="3"/>
      <c r="Q883" s="3"/>
      <c r="R883" s="3"/>
      <c r="S883" s="3"/>
      <c r="T883" s="281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221"/>
      <c r="L884" s="222"/>
      <c r="M884" s="221"/>
      <c r="O884" s="3"/>
      <c r="P884" s="3"/>
      <c r="Q884" s="3"/>
      <c r="R884" s="3"/>
      <c r="S884" s="3"/>
      <c r="T884" s="281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221"/>
      <c r="L885" s="222"/>
      <c r="M885" s="221"/>
      <c r="O885" s="3"/>
      <c r="P885" s="3"/>
      <c r="Q885" s="3"/>
      <c r="R885" s="3"/>
      <c r="S885" s="3"/>
      <c r="T885" s="281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221"/>
      <c r="L886" s="222"/>
      <c r="M886" s="221"/>
      <c r="O886" s="3"/>
      <c r="P886" s="3"/>
      <c r="Q886" s="3"/>
      <c r="R886" s="3"/>
      <c r="S886" s="3"/>
      <c r="T886" s="281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221"/>
      <c r="L887" s="222"/>
      <c r="M887" s="221"/>
      <c r="O887" s="3"/>
      <c r="P887" s="3"/>
      <c r="Q887" s="3"/>
      <c r="R887" s="3"/>
      <c r="S887" s="3"/>
      <c r="T887" s="281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221"/>
      <c r="L888" s="222"/>
      <c r="M888" s="221"/>
      <c r="O888" s="3"/>
      <c r="P888" s="3"/>
      <c r="Q888" s="3"/>
      <c r="R888" s="3"/>
      <c r="S888" s="3"/>
      <c r="T888" s="281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221"/>
      <c r="L889" s="222"/>
      <c r="M889" s="221"/>
      <c r="O889" s="3"/>
      <c r="P889" s="3"/>
      <c r="Q889" s="3"/>
      <c r="R889" s="3"/>
      <c r="S889" s="3"/>
      <c r="T889" s="281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221"/>
      <c r="L890" s="222"/>
      <c r="M890" s="221"/>
      <c r="O890" s="3"/>
      <c r="P890" s="3"/>
      <c r="Q890" s="3"/>
      <c r="R890" s="3"/>
      <c r="S890" s="3"/>
      <c r="T890" s="281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221"/>
      <c r="L891" s="222"/>
      <c r="M891" s="221"/>
      <c r="O891" s="3"/>
      <c r="P891" s="3"/>
      <c r="Q891" s="3"/>
      <c r="R891" s="3"/>
      <c r="S891" s="3"/>
      <c r="T891" s="281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221"/>
      <c r="L892" s="222"/>
      <c r="M892" s="221"/>
      <c r="O892" s="3"/>
      <c r="P892" s="3"/>
      <c r="Q892" s="3"/>
      <c r="R892" s="3"/>
      <c r="S892" s="3"/>
      <c r="T892" s="281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221"/>
      <c r="L893" s="222"/>
      <c r="M893" s="221"/>
      <c r="O893" s="3"/>
      <c r="P893" s="3"/>
      <c r="Q893" s="3"/>
      <c r="R893" s="3"/>
      <c r="S893" s="3"/>
      <c r="T893" s="281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221"/>
      <c r="L894" s="222"/>
      <c r="M894" s="221"/>
      <c r="O894" s="3"/>
      <c r="P894" s="3"/>
      <c r="Q894" s="3"/>
      <c r="R894" s="3"/>
      <c r="S894" s="3"/>
      <c r="T894" s="281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221"/>
      <c r="L895" s="222"/>
      <c r="M895" s="221"/>
      <c r="O895" s="3"/>
      <c r="P895" s="3"/>
      <c r="Q895" s="3"/>
      <c r="R895" s="3"/>
      <c r="S895" s="3"/>
      <c r="T895" s="281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221"/>
      <c r="L896" s="222"/>
      <c r="M896" s="221"/>
      <c r="O896" s="3"/>
      <c r="P896" s="3"/>
      <c r="Q896" s="3"/>
      <c r="R896" s="3"/>
      <c r="S896" s="3"/>
      <c r="T896" s="281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221"/>
      <c r="L897" s="222"/>
      <c r="M897" s="221"/>
      <c r="O897" s="3"/>
      <c r="P897" s="3"/>
      <c r="Q897" s="3"/>
      <c r="R897" s="3"/>
      <c r="S897" s="3"/>
      <c r="T897" s="281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221"/>
      <c r="L898" s="222"/>
      <c r="M898" s="221"/>
      <c r="O898" s="3"/>
      <c r="P898" s="3"/>
      <c r="Q898" s="3"/>
      <c r="R898" s="3"/>
      <c r="S898" s="3"/>
      <c r="T898" s="281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221"/>
      <c r="L899" s="222"/>
      <c r="M899" s="221"/>
      <c r="O899" s="3"/>
      <c r="P899" s="3"/>
      <c r="Q899" s="3"/>
      <c r="R899" s="3"/>
      <c r="S899" s="3"/>
      <c r="T899" s="281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221"/>
      <c r="L900" s="222"/>
      <c r="M900" s="221"/>
      <c r="O900" s="3"/>
      <c r="P900" s="3"/>
      <c r="Q900" s="3"/>
      <c r="R900" s="3"/>
      <c r="S900" s="3"/>
      <c r="T900" s="281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221"/>
      <c r="L901" s="222"/>
      <c r="M901" s="221"/>
      <c r="O901" s="3"/>
      <c r="P901" s="3"/>
      <c r="Q901" s="3"/>
      <c r="R901" s="3"/>
      <c r="S901" s="3"/>
      <c r="T901" s="281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221"/>
      <c r="L902" s="222"/>
      <c r="M902" s="221"/>
      <c r="O902" s="3"/>
      <c r="P902" s="3"/>
      <c r="Q902" s="3"/>
      <c r="R902" s="3"/>
      <c r="S902" s="3"/>
      <c r="T902" s="281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221"/>
      <c r="L903" s="222"/>
      <c r="M903" s="221"/>
      <c r="O903" s="3"/>
      <c r="P903" s="3"/>
      <c r="Q903" s="3"/>
      <c r="R903" s="3"/>
      <c r="S903" s="3"/>
      <c r="T903" s="281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221"/>
      <c r="L904" s="222"/>
      <c r="M904" s="221"/>
      <c r="O904" s="3"/>
      <c r="P904" s="3"/>
      <c r="Q904" s="3"/>
      <c r="R904" s="3"/>
      <c r="S904" s="3"/>
      <c r="T904" s="281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221"/>
      <c r="L905" s="222"/>
      <c r="M905" s="221"/>
      <c r="O905" s="3"/>
      <c r="P905" s="3"/>
      <c r="Q905" s="3"/>
      <c r="R905" s="3"/>
      <c r="S905" s="3"/>
      <c r="T905" s="281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221"/>
      <c r="L906" s="222"/>
      <c r="M906" s="221"/>
      <c r="O906" s="3"/>
      <c r="P906" s="3"/>
      <c r="Q906" s="3"/>
      <c r="R906" s="3"/>
      <c r="S906" s="3"/>
      <c r="T906" s="281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221"/>
      <c r="L907" s="222"/>
      <c r="M907" s="221"/>
      <c r="O907" s="3"/>
      <c r="P907" s="3"/>
      <c r="Q907" s="3"/>
      <c r="R907" s="3"/>
      <c r="S907" s="3"/>
      <c r="T907" s="281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221"/>
      <c r="L908" s="222"/>
      <c r="M908" s="221"/>
      <c r="O908" s="3"/>
      <c r="P908" s="3"/>
      <c r="Q908" s="3"/>
      <c r="R908" s="3"/>
      <c r="S908" s="3"/>
      <c r="T908" s="281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221"/>
      <c r="L909" s="222"/>
      <c r="M909" s="221"/>
      <c r="O909" s="3"/>
      <c r="P909" s="3"/>
      <c r="Q909" s="3"/>
      <c r="R909" s="3"/>
      <c r="S909" s="3"/>
      <c r="T909" s="281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221"/>
      <c r="L910" s="222"/>
      <c r="M910" s="221"/>
      <c r="O910" s="3"/>
      <c r="P910" s="3"/>
      <c r="Q910" s="3"/>
      <c r="R910" s="3"/>
      <c r="S910" s="3"/>
      <c r="T910" s="281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221"/>
      <c r="L911" s="222"/>
      <c r="M911" s="221"/>
      <c r="O911" s="3"/>
      <c r="P911" s="3"/>
      <c r="Q911" s="3"/>
      <c r="R911" s="3"/>
      <c r="S911" s="3"/>
      <c r="T911" s="281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221"/>
      <c r="L912" s="222"/>
      <c r="M912" s="221"/>
      <c r="O912" s="3"/>
      <c r="P912" s="3"/>
      <c r="Q912" s="3"/>
      <c r="R912" s="3"/>
      <c r="S912" s="3"/>
      <c r="T912" s="281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221"/>
      <c r="L913" s="222"/>
      <c r="M913" s="221"/>
      <c r="O913" s="3"/>
      <c r="P913" s="3"/>
      <c r="Q913" s="3"/>
      <c r="R913" s="3"/>
      <c r="S913" s="3"/>
      <c r="T913" s="281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221"/>
      <c r="L914" s="222"/>
      <c r="M914" s="221"/>
      <c r="O914" s="3"/>
      <c r="P914" s="3"/>
      <c r="Q914" s="3"/>
      <c r="R914" s="3"/>
      <c r="S914" s="3"/>
      <c r="T914" s="281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221"/>
      <c r="L915" s="222"/>
      <c r="M915" s="221"/>
      <c r="O915" s="3"/>
      <c r="P915" s="3"/>
      <c r="Q915" s="3"/>
      <c r="R915" s="3"/>
      <c r="S915" s="3"/>
      <c r="T915" s="281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221"/>
      <c r="L916" s="222"/>
      <c r="M916" s="221"/>
      <c r="O916" s="3"/>
      <c r="P916" s="3"/>
      <c r="Q916" s="3"/>
      <c r="R916" s="3"/>
      <c r="S916" s="3"/>
      <c r="T916" s="281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221"/>
      <c r="L917" s="222"/>
      <c r="M917" s="221"/>
      <c r="O917" s="3"/>
      <c r="P917" s="3"/>
      <c r="Q917" s="3"/>
      <c r="R917" s="3"/>
      <c r="S917" s="3"/>
      <c r="T917" s="281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221"/>
      <c r="L918" s="222"/>
      <c r="M918" s="221"/>
      <c r="O918" s="3"/>
      <c r="P918" s="3"/>
      <c r="Q918" s="3"/>
      <c r="R918" s="3"/>
      <c r="S918" s="3"/>
      <c r="T918" s="281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221"/>
      <c r="L919" s="222"/>
      <c r="M919" s="221"/>
      <c r="O919" s="3"/>
      <c r="P919" s="3"/>
      <c r="Q919" s="3"/>
      <c r="R919" s="3"/>
      <c r="S919" s="3"/>
      <c r="T919" s="281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221"/>
      <c r="L920" s="222"/>
      <c r="M920" s="221"/>
      <c r="O920" s="3"/>
      <c r="P920" s="3"/>
      <c r="Q920" s="3"/>
      <c r="R920" s="3"/>
      <c r="S920" s="3"/>
      <c r="T920" s="281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221"/>
      <c r="L921" s="222"/>
      <c r="M921" s="221"/>
      <c r="O921" s="3"/>
      <c r="P921" s="3"/>
      <c r="Q921" s="3"/>
      <c r="R921" s="3"/>
      <c r="S921" s="3"/>
      <c r="T921" s="281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221"/>
      <c r="L922" s="222"/>
      <c r="M922" s="221"/>
      <c r="O922" s="3"/>
      <c r="P922" s="3"/>
      <c r="Q922" s="3"/>
      <c r="R922" s="3"/>
      <c r="S922" s="3"/>
      <c r="T922" s="281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221"/>
      <c r="L923" s="222"/>
      <c r="M923" s="221"/>
      <c r="O923" s="3"/>
      <c r="P923" s="3"/>
      <c r="Q923" s="3"/>
      <c r="R923" s="3"/>
      <c r="S923" s="3"/>
      <c r="T923" s="281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221"/>
      <c r="L924" s="222"/>
      <c r="M924" s="221"/>
      <c r="O924" s="3"/>
      <c r="P924" s="3"/>
      <c r="Q924" s="3"/>
      <c r="R924" s="3"/>
      <c r="S924" s="3"/>
      <c r="T924" s="281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221"/>
      <c r="L925" s="222"/>
      <c r="M925" s="221"/>
      <c r="O925" s="3"/>
      <c r="P925" s="3"/>
      <c r="Q925" s="3"/>
      <c r="R925" s="3"/>
      <c r="S925" s="3"/>
      <c r="T925" s="281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221"/>
      <c r="L926" s="222"/>
      <c r="M926" s="221"/>
      <c r="O926" s="3"/>
      <c r="P926" s="3"/>
      <c r="Q926" s="3"/>
      <c r="R926" s="3"/>
      <c r="S926" s="3"/>
      <c r="T926" s="281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221"/>
      <c r="L927" s="222"/>
      <c r="M927" s="221"/>
      <c r="O927" s="3"/>
      <c r="P927" s="3"/>
      <c r="Q927" s="3"/>
      <c r="R927" s="3"/>
      <c r="S927" s="3"/>
      <c r="T927" s="281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221"/>
      <c r="L928" s="222"/>
      <c r="M928" s="221"/>
      <c r="O928" s="3"/>
      <c r="P928" s="3"/>
      <c r="Q928" s="3"/>
      <c r="R928" s="3"/>
      <c r="S928" s="3"/>
      <c r="T928" s="281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221"/>
      <c r="L929" s="222"/>
      <c r="M929" s="221"/>
      <c r="O929" s="3"/>
      <c r="P929" s="3"/>
      <c r="Q929" s="3"/>
      <c r="R929" s="3"/>
      <c r="S929" s="3"/>
      <c r="T929" s="281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221"/>
      <c r="L930" s="222"/>
      <c r="M930" s="221"/>
      <c r="O930" s="3"/>
      <c r="P930" s="3"/>
      <c r="Q930" s="3"/>
      <c r="R930" s="3"/>
      <c r="S930" s="3"/>
      <c r="T930" s="281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221"/>
      <c r="L931" s="222"/>
      <c r="M931" s="221"/>
      <c r="O931" s="3"/>
      <c r="P931" s="3"/>
      <c r="Q931" s="3"/>
      <c r="R931" s="3"/>
      <c r="S931" s="3"/>
      <c r="T931" s="281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221"/>
      <c r="L932" s="222"/>
      <c r="M932" s="221"/>
      <c r="O932" s="3"/>
      <c r="P932" s="3"/>
      <c r="Q932" s="3"/>
      <c r="R932" s="3"/>
      <c r="S932" s="3"/>
      <c r="T932" s="281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221"/>
      <c r="L933" s="222"/>
      <c r="M933" s="221"/>
      <c r="O933" s="3"/>
      <c r="P933" s="3"/>
      <c r="Q933" s="3"/>
      <c r="R933" s="3"/>
      <c r="S933" s="3"/>
      <c r="T933" s="281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221"/>
      <c r="L934" s="222"/>
      <c r="M934" s="221"/>
      <c r="O934" s="3"/>
      <c r="P934" s="3"/>
      <c r="Q934" s="3"/>
      <c r="R934" s="3"/>
      <c r="S934" s="3"/>
      <c r="T934" s="281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221"/>
      <c r="L935" s="222"/>
      <c r="M935" s="221"/>
      <c r="O935" s="3"/>
      <c r="P935" s="3"/>
      <c r="Q935" s="3"/>
      <c r="R935" s="3"/>
      <c r="S935" s="3"/>
      <c r="T935" s="281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221"/>
      <c r="L936" s="222"/>
      <c r="M936" s="221"/>
      <c r="O936" s="3"/>
      <c r="P936" s="3"/>
      <c r="Q936" s="3"/>
      <c r="R936" s="3"/>
      <c r="S936" s="3"/>
      <c r="T936" s="281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221"/>
      <c r="L937" s="222"/>
      <c r="M937" s="221"/>
      <c r="O937" s="3"/>
      <c r="P937" s="3"/>
      <c r="Q937" s="3"/>
      <c r="R937" s="3"/>
      <c r="S937" s="3"/>
      <c r="T937" s="281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221"/>
      <c r="L938" s="222"/>
      <c r="M938" s="221"/>
      <c r="O938" s="3"/>
      <c r="P938" s="3"/>
      <c r="Q938" s="3"/>
      <c r="R938" s="3"/>
      <c r="S938" s="3"/>
      <c r="T938" s="281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221"/>
      <c r="L939" s="222"/>
      <c r="M939" s="221"/>
      <c r="O939" s="3"/>
      <c r="P939" s="3"/>
      <c r="Q939" s="3"/>
      <c r="R939" s="3"/>
      <c r="S939" s="3"/>
      <c r="T939" s="281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221"/>
      <c r="L940" s="222"/>
      <c r="M940" s="221"/>
      <c r="O940" s="3"/>
      <c r="P940" s="3"/>
      <c r="Q940" s="3"/>
      <c r="R940" s="3"/>
      <c r="S940" s="3"/>
      <c r="T940" s="281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221"/>
      <c r="L941" s="222"/>
      <c r="M941" s="221"/>
      <c r="O941" s="3"/>
      <c r="P941" s="3"/>
      <c r="Q941" s="3"/>
      <c r="R941" s="3"/>
      <c r="S941" s="3"/>
      <c r="T941" s="281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221"/>
      <c r="L942" s="222"/>
      <c r="M942" s="221"/>
      <c r="O942" s="3"/>
      <c r="P942" s="3"/>
      <c r="Q942" s="3"/>
      <c r="R942" s="3"/>
      <c r="S942" s="3"/>
      <c r="T942" s="281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221"/>
      <c r="L943" s="222"/>
      <c r="M943" s="221"/>
      <c r="O943" s="3"/>
      <c r="P943" s="3"/>
      <c r="Q943" s="3"/>
      <c r="R943" s="3"/>
      <c r="S943" s="3"/>
      <c r="T943" s="281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221"/>
      <c r="L944" s="222"/>
      <c r="M944" s="221"/>
      <c r="O944" s="3"/>
      <c r="P944" s="3"/>
      <c r="Q944" s="3"/>
      <c r="R944" s="3"/>
      <c r="S944" s="3"/>
      <c r="T944" s="281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221"/>
      <c r="L945" s="222"/>
      <c r="M945" s="221"/>
      <c r="O945" s="3"/>
      <c r="P945" s="3"/>
      <c r="Q945" s="3"/>
      <c r="R945" s="3"/>
      <c r="S945" s="3"/>
      <c r="T945" s="281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221"/>
      <c r="L946" s="222"/>
      <c r="M946" s="221"/>
      <c r="O946" s="3"/>
      <c r="P946" s="3"/>
      <c r="Q946" s="3"/>
      <c r="R946" s="3"/>
      <c r="S946" s="3"/>
      <c r="T946" s="281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221"/>
      <c r="L947" s="222"/>
      <c r="M947" s="221"/>
      <c r="O947" s="3"/>
      <c r="P947" s="3"/>
      <c r="Q947" s="3"/>
      <c r="R947" s="3"/>
      <c r="S947" s="3"/>
      <c r="T947" s="281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221"/>
      <c r="L948" s="222"/>
      <c r="M948" s="221"/>
      <c r="O948" s="3"/>
      <c r="P948" s="3"/>
      <c r="Q948" s="3"/>
      <c r="R948" s="3"/>
      <c r="S948" s="3"/>
      <c r="T948" s="281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221"/>
      <c r="L949" s="222"/>
      <c r="M949" s="221"/>
      <c r="O949" s="3"/>
      <c r="P949" s="3"/>
      <c r="Q949" s="3"/>
      <c r="R949" s="3"/>
      <c r="S949" s="3"/>
      <c r="T949" s="281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221"/>
      <c r="L950" s="222"/>
      <c r="M950" s="221"/>
      <c r="O950" s="3"/>
      <c r="P950" s="3"/>
      <c r="Q950" s="3"/>
      <c r="R950" s="3"/>
      <c r="S950" s="3"/>
      <c r="T950" s="281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221"/>
      <c r="L951" s="222"/>
      <c r="M951" s="221"/>
      <c r="O951" s="3"/>
      <c r="P951" s="3"/>
      <c r="Q951" s="3"/>
      <c r="R951" s="3"/>
      <c r="S951" s="3"/>
      <c r="T951" s="281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221"/>
      <c r="L952" s="222"/>
      <c r="M952" s="221"/>
      <c r="O952" s="3"/>
      <c r="P952" s="3"/>
      <c r="Q952" s="3"/>
      <c r="R952" s="3"/>
      <c r="S952" s="3"/>
      <c r="T952" s="281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221"/>
      <c r="L953" s="222"/>
      <c r="M953" s="221"/>
      <c r="O953" s="3"/>
      <c r="P953" s="3"/>
      <c r="Q953" s="3"/>
      <c r="R953" s="3"/>
      <c r="S953" s="3"/>
      <c r="T953" s="281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221"/>
      <c r="L954" s="222"/>
      <c r="M954" s="221"/>
      <c r="O954" s="3"/>
      <c r="P954" s="3"/>
      <c r="Q954" s="3"/>
      <c r="R954" s="3"/>
      <c r="S954" s="3"/>
      <c r="T954" s="281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221"/>
      <c r="L955" s="222"/>
      <c r="M955" s="221"/>
      <c r="O955" s="3"/>
      <c r="P955" s="3"/>
      <c r="Q955" s="3"/>
      <c r="R955" s="3"/>
      <c r="S955" s="3"/>
      <c r="T955" s="281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221"/>
      <c r="L956" s="222"/>
      <c r="M956" s="221"/>
      <c r="O956" s="3"/>
      <c r="P956" s="3"/>
      <c r="Q956" s="3"/>
      <c r="R956" s="3"/>
      <c r="S956" s="3"/>
      <c r="T956" s="281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221"/>
      <c r="L957" s="222"/>
      <c r="M957" s="221"/>
      <c r="O957" s="3"/>
      <c r="P957" s="3"/>
      <c r="Q957" s="3"/>
      <c r="R957" s="3"/>
      <c r="S957" s="3"/>
      <c r="T957" s="281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221"/>
      <c r="L958" s="222"/>
      <c r="M958" s="221"/>
      <c r="O958" s="3"/>
      <c r="P958" s="3"/>
      <c r="Q958" s="3"/>
      <c r="R958" s="3"/>
      <c r="S958" s="3"/>
      <c r="T958" s="281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221"/>
      <c r="L959" s="222"/>
      <c r="M959" s="221"/>
      <c r="O959" s="3"/>
      <c r="P959" s="3"/>
      <c r="Q959" s="3"/>
      <c r="R959" s="3"/>
      <c r="S959" s="3"/>
      <c r="T959" s="281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221"/>
      <c r="L960" s="222"/>
      <c r="M960" s="221"/>
      <c r="O960" s="3"/>
      <c r="P960" s="3"/>
      <c r="Q960" s="3"/>
      <c r="R960" s="3"/>
      <c r="S960" s="3"/>
      <c r="T960" s="281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221"/>
      <c r="L961" s="222"/>
      <c r="M961" s="221"/>
      <c r="O961" s="3"/>
      <c r="P961" s="3"/>
      <c r="Q961" s="3"/>
      <c r="R961" s="3"/>
      <c r="S961" s="3"/>
      <c r="T961" s="281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221"/>
      <c r="L962" s="222"/>
      <c r="M962" s="221"/>
      <c r="O962" s="3"/>
      <c r="P962" s="3"/>
      <c r="Q962" s="3"/>
      <c r="R962" s="3"/>
      <c r="S962" s="3"/>
      <c r="T962" s="281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221"/>
      <c r="L963" s="222"/>
      <c r="M963" s="221"/>
      <c r="O963" s="3"/>
      <c r="P963" s="3"/>
      <c r="Q963" s="3"/>
      <c r="R963" s="3"/>
      <c r="S963" s="3"/>
      <c r="T963" s="281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221"/>
      <c r="L964" s="222"/>
      <c r="M964" s="221"/>
      <c r="O964" s="3"/>
      <c r="P964" s="3"/>
      <c r="Q964" s="3"/>
      <c r="R964" s="3"/>
      <c r="S964" s="3"/>
      <c r="T964" s="281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221"/>
      <c r="L965" s="222"/>
      <c r="M965" s="221"/>
      <c r="O965" s="3"/>
      <c r="P965" s="3"/>
      <c r="Q965" s="3"/>
      <c r="R965" s="3"/>
      <c r="S965" s="3"/>
      <c r="T965" s="281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221"/>
      <c r="L966" s="222"/>
      <c r="M966" s="221"/>
      <c r="O966" s="3"/>
      <c r="P966" s="3"/>
      <c r="Q966" s="3"/>
      <c r="R966" s="3"/>
      <c r="S966" s="3"/>
      <c r="T966" s="281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221"/>
      <c r="L967" s="222"/>
      <c r="M967" s="221"/>
      <c r="O967" s="3"/>
      <c r="P967" s="3"/>
      <c r="Q967" s="3"/>
      <c r="R967" s="3"/>
      <c r="S967" s="3"/>
      <c r="T967" s="281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221"/>
      <c r="L968" s="222"/>
      <c r="M968" s="221"/>
      <c r="O968" s="3"/>
      <c r="P968" s="3"/>
      <c r="Q968" s="3"/>
      <c r="R968" s="3"/>
      <c r="S968" s="3"/>
      <c r="T968" s="281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221"/>
      <c r="L969" s="222"/>
      <c r="M969" s="221"/>
      <c r="O969" s="3"/>
      <c r="P969" s="3"/>
      <c r="Q969" s="3"/>
      <c r="R969" s="3"/>
      <c r="S969" s="3"/>
      <c r="T969" s="281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221"/>
      <c r="L970" s="222"/>
      <c r="M970" s="221"/>
      <c r="O970" s="3"/>
      <c r="P970" s="3"/>
      <c r="Q970" s="3"/>
      <c r="R970" s="3"/>
      <c r="S970" s="3"/>
      <c r="T970" s="281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221"/>
      <c r="L971" s="222"/>
      <c r="M971" s="221"/>
      <c r="O971" s="3"/>
      <c r="P971" s="3"/>
      <c r="Q971" s="3"/>
      <c r="R971" s="3"/>
      <c r="S971" s="3"/>
      <c r="T971" s="281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221"/>
      <c r="L972" s="222"/>
      <c r="M972" s="221"/>
      <c r="O972" s="3"/>
      <c r="P972" s="3"/>
      <c r="Q972" s="3"/>
      <c r="R972" s="3"/>
      <c r="S972" s="3"/>
      <c r="T972" s="281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221"/>
      <c r="L973" s="222"/>
      <c r="M973" s="221"/>
      <c r="O973" s="3"/>
      <c r="P973" s="3"/>
      <c r="Q973" s="3"/>
      <c r="R973" s="3"/>
      <c r="S973" s="3"/>
      <c r="T973" s="281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221"/>
      <c r="L974" s="222"/>
      <c r="M974" s="221"/>
      <c r="O974" s="3"/>
      <c r="P974" s="3"/>
      <c r="Q974" s="3"/>
      <c r="R974" s="3"/>
      <c r="S974" s="3"/>
      <c r="T974" s="281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221"/>
      <c r="L975" s="222"/>
      <c r="M975" s="221"/>
      <c r="O975" s="3"/>
      <c r="P975" s="3"/>
      <c r="Q975" s="3"/>
      <c r="R975" s="3"/>
      <c r="S975" s="3"/>
      <c r="T975" s="281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221"/>
      <c r="L976" s="222"/>
      <c r="M976" s="221"/>
      <c r="O976" s="3"/>
      <c r="P976" s="3"/>
      <c r="Q976" s="3"/>
      <c r="R976" s="3"/>
      <c r="S976" s="3"/>
      <c r="T976" s="281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221"/>
      <c r="L977" s="222"/>
      <c r="M977" s="221"/>
      <c r="O977" s="3"/>
      <c r="P977" s="3"/>
      <c r="Q977" s="3"/>
      <c r="R977" s="3"/>
      <c r="S977" s="3"/>
      <c r="T977" s="281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221"/>
      <c r="L978" s="222"/>
      <c r="M978" s="221"/>
      <c r="O978" s="3"/>
      <c r="P978" s="3"/>
      <c r="Q978" s="3"/>
      <c r="R978" s="3"/>
      <c r="S978" s="3"/>
      <c r="T978" s="281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221"/>
      <c r="L979" s="222"/>
      <c r="M979" s="221"/>
      <c r="O979" s="3"/>
      <c r="P979" s="3"/>
      <c r="Q979" s="3"/>
      <c r="R979" s="3"/>
      <c r="S979" s="3"/>
      <c r="T979" s="281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221"/>
      <c r="L980" s="222"/>
      <c r="M980" s="221"/>
      <c r="O980" s="3"/>
      <c r="P980" s="3"/>
      <c r="Q980" s="3"/>
      <c r="R980" s="3"/>
      <c r="S980" s="3"/>
      <c r="T980" s="281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221"/>
      <c r="L981" s="222"/>
      <c r="M981" s="221"/>
      <c r="O981" s="3"/>
      <c r="P981" s="3"/>
      <c r="Q981" s="3"/>
      <c r="R981" s="3"/>
      <c r="S981" s="3"/>
      <c r="T981" s="281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221"/>
      <c r="L982" s="222"/>
      <c r="M982" s="221"/>
      <c r="O982" s="3"/>
      <c r="P982" s="3"/>
      <c r="Q982" s="3"/>
      <c r="R982" s="3"/>
      <c r="S982" s="3"/>
      <c r="T982" s="281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221"/>
      <c r="L983" s="222"/>
      <c r="M983" s="221"/>
      <c r="O983" s="3"/>
      <c r="P983" s="3"/>
      <c r="Q983" s="3"/>
      <c r="R983" s="3"/>
      <c r="S983" s="3"/>
      <c r="T983" s="281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221"/>
      <c r="L984" s="222"/>
      <c r="M984" s="221"/>
      <c r="O984" s="3"/>
      <c r="P984" s="3"/>
      <c r="Q984" s="3"/>
      <c r="R984" s="3"/>
      <c r="S984" s="3"/>
      <c r="T984" s="281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221"/>
      <c r="L985" s="222"/>
      <c r="M985" s="221"/>
      <c r="O985" s="3"/>
      <c r="P985" s="3"/>
      <c r="Q985" s="3"/>
      <c r="R985" s="3"/>
      <c r="S985" s="3"/>
      <c r="T985" s="281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221"/>
      <c r="L986" s="222"/>
      <c r="M986" s="221"/>
      <c r="O986" s="3"/>
      <c r="P986" s="3"/>
      <c r="Q986" s="3"/>
      <c r="R986" s="3"/>
      <c r="S986" s="3"/>
      <c r="T986" s="281"/>
    </row>
  </sheetData>
  <mergeCells count="3">
    <mergeCell ref="A1:G3"/>
    <mergeCell ref="H1:P3"/>
    <mergeCell ref="Q1:T3"/>
  </mergeCells>
  <dataValidations>
    <dataValidation type="list" allowBlank="1" showErrorMessage="1" sqref="N24:N34 N37 N56:N87 N122:N123 N130:N134 N170:N187 N189:N191 N195:N197">
      <formula1>"PROPOSTA ENVIADA,CONTRATO FECHADO,RECUSADO,FECHADO CRISTIANO"</formula1>
    </dataValidation>
    <dataValidation type="list" allowBlank="1" showErrorMessage="1" sqref="S5:S197">
      <formula1>"LUCAS,VITÓRIA,VINICIOS,VINICIUS,ALEXANDRE,MIKAELLE,CRISTIANO,GUSTAVO"</formula1>
    </dataValidation>
    <dataValidation type="list" allowBlank="1" showErrorMessage="1" sqref="R24:R34 R37 R56:R87 R122:R123 R130:R134 R170:R187 R189:R191 R195:R197">
      <formula1>"E-MAIL,KOMMO,TELEFONE FIXO,WHATSAPP,INDICAÇÃO,CONARH"</formula1>
    </dataValidation>
    <dataValidation type="list" allowBlank="1" showErrorMessage="1" sqref="O5:O197">
      <formula1>"NOVO,ANTIGO"</formula1>
    </dataValidation>
    <dataValidation type="list" allowBlank="1" showErrorMessage="1" sqref="R5:R23 R35:R36 R38:R55 R88:R121 R124:R129 R135:R169 R188 R192:R194">
      <formula1>"E-MAIL,KOMMO,TELEFONE FIXO,WHATSAPP,INDICAÇÃO,CONARH,PLANILHA LEAD"</formula1>
    </dataValidation>
    <dataValidation type="list" allowBlank="1" showErrorMessage="1" sqref="N5:N23 N35:N36 N38:N55 N88:N121 N124:N129 N135:N169 N188 N192:N194">
      <formula1>"PROPOSTA ENVIADA,CONTRATO FECHADO,RECUSADO"</formula1>
    </dataValidation>
    <dataValidation type="list" allowBlank="1" showErrorMessage="1" sqref="P5:P164 P166:P197">
      <formula1>"MINUTA ENVIADA,MINUTA ASSINADA"</formula1>
    </dataValidation>
  </dataValidations>
  <hyperlinks>
    <hyperlink r:id="rId1" ref="F15"/>
    <hyperlink r:id="rId2" ref="F28"/>
    <hyperlink r:id="rId3" ref="F29"/>
    <hyperlink r:id="rId4" ref="F34"/>
    <hyperlink r:id="rId5" ref="F49"/>
    <hyperlink r:id="rId6" ref="F52"/>
    <hyperlink r:id="rId7" ref="F55"/>
    <hyperlink r:id="rId8" ref="F62"/>
    <hyperlink r:id="rId9" ref="F63"/>
    <hyperlink r:id="rId10" ref="F69"/>
    <hyperlink r:id="rId11" ref="F72"/>
    <hyperlink r:id="rId12" ref="F73"/>
    <hyperlink r:id="rId13" ref="F74"/>
    <hyperlink r:id="rId14" ref="F75"/>
    <hyperlink r:id="rId15" ref="F76"/>
    <hyperlink r:id="rId16" ref="F77"/>
    <hyperlink r:id="rId17" ref="F81"/>
    <hyperlink r:id="rId18" ref="F82"/>
    <hyperlink r:id="rId19" ref="F83"/>
    <hyperlink r:id="rId20" ref="F84"/>
    <hyperlink r:id="rId21" ref="F86"/>
    <hyperlink r:id="rId22" ref="F87"/>
    <hyperlink r:id="rId23" ref="F130"/>
    <hyperlink r:id="rId24" ref="F134"/>
    <hyperlink r:id="rId25" ref="F146"/>
    <hyperlink r:id="rId26" ref="F148"/>
    <hyperlink r:id="rId27" ref="F153"/>
    <hyperlink r:id="rId28" ref="F155"/>
    <hyperlink r:id="rId29" ref="F165"/>
    <hyperlink r:id="rId30" ref="F166"/>
    <hyperlink r:id="rId31" ref="F171"/>
    <hyperlink r:id="rId32" ref="F175"/>
    <hyperlink r:id="rId33" ref="F186"/>
    <hyperlink r:id="rId34" ref="F188"/>
    <hyperlink r:id="rId35" ref="F191"/>
  </hyperlinks>
  <drawing r:id="rId3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75.13"/>
    <col customWidth="1" min="3" max="3" width="17.38"/>
    <col customWidth="1" min="4" max="4" width="32.75"/>
    <col customWidth="1" min="5" max="5" width="24.88"/>
    <col customWidth="1" min="6" max="6" width="42.63"/>
    <col customWidth="1" min="7" max="7" width="16.88"/>
    <col customWidth="1" min="8" max="8" width="25.38"/>
    <col customWidth="1" min="10" max="10" width="16.75"/>
    <col customWidth="1" min="11" max="11" width="16.0"/>
    <col customWidth="1" min="12" max="12" width="16.25"/>
    <col customWidth="1" min="13" max="13" width="14.88"/>
    <col customWidth="1" min="14" max="14" width="22.25"/>
    <col customWidth="1" min="15" max="15" width="17.63"/>
    <col customWidth="1" min="16" max="16" width="23.0"/>
    <col customWidth="1" min="17" max="17" width="11.38"/>
    <col customWidth="1" min="18" max="18" width="19.88"/>
    <col customWidth="1" min="19" max="19" width="16.88"/>
    <col customWidth="1" hidden="1" min="20" max="20" width="314.13"/>
    <col customWidth="1" min="21" max="21" width="78.13"/>
  </cols>
  <sheetData>
    <row r="1">
      <c r="A1" s="1" t="s">
        <v>0</v>
      </c>
      <c r="H1" s="2" t="s">
        <v>1</v>
      </c>
      <c r="Q1" s="2" t="s">
        <v>2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ht="24.75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7" t="s">
        <v>10</v>
      </c>
      <c r="I4" s="8" t="s">
        <v>11</v>
      </c>
      <c r="J4" s="8" t="s">
        <v>12</v>
      </c>
      <c r="K4" s="9" t="s">
        <v>13</v>
      </c>
      <c r="L4" s="8" t="s">
        <v>533</v>
      </c>
      <c r="M4" s="9" t="s">
        <v>14</v>
      </c>
      <c r="N4" s="8" t="s">
        <v>15</v>
      </c>
      <c r="O4" s="8" t="s">
        <v>10</v>
      </c>
      <c r="P4" s="8" t="s">
        <v>16</v>
      </c>
      <c r="Q4" s="8" t="s">
        <v>17</v>
      </c>
      <c r="R4" s="8" t="s">
        <v>18</v>
      </c>
      <c r="S4" s="10" t="s">
        <v>19</v>
      </c>
      <c r="T4" s="10" t="s">
        <v>20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>
      <c r="A5" s="12">
        <v>1.0</v>
      </c>
      <c r="B5" s="117" t="s">
        <v>431</v>
      </c>
      <c r="C5" s="119" t="s">
        <v>432</v>
      </c>
      <c r="D5" s="97" t="s">
        <v>433</v>
      </c>
      <c r="E5" s="103" t="s">
        <v>434</v>
      </c>
      <c r="F5" s="97" t="s">
        <v>435</v>
      </c>
      <c r="G5" s="97">
        <v>109.0</v>
      </c>
      <c r="H5" s="97" t="s">
        <v>65</v>
      </c>
      <c r="I5" s="100">
        <v>46049.0</v>
      </c>
      <c r="J5" s="101"/>
      <c r="K5" s="102">
        <v>1730.88</v>
      </c>
      <c r="L5" s="97">
        <v>12.0</v>
      </c>
      <c r="M5" s="111">
        <f>K5*L5</f>
        <v>20770.56</v>
      </c>
      <c r="N5" s="112" t="s">
        <v>28</v>
      </c>
      <c r="O5" s="112" t="s">
        <v>29</v>
      </c>
      <c r="P5" s="112" t="s">
        <v>40</v>
      </c>
      <c r="Q5" s="81"/>
      <c r="R5" s="112" t="s">
        <v>73</v>
      </c>
      <c r="S5" s="112" t="s">
        <v>148</v>
      </c>
      <c r="T5" s="282" t="s">
        <v>1864</v>
      </c>
      <c r="U5" s="8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</row>
    <row r="6">
      <c r="A6" s="12">
        <v>2.0</v>
      </c>
      <c r="B6" s="106" t="s">
        <v>460</v>
      </c>
      <c r="C6" s="106" t="s">
        <v>461</v>
      </c>
      <c r="D6" s="106" t="s">
        <v>462</v>
      </c>
      <c r="E6" s="106" t="s">
        <v>463</v>
      </c>
      <c r="F6" s="106" t="s">
        <v>464</v>
      </c>
      <c r="G6" s="106">
        <v>4.0</v>
      </c>
      <c r="H6" s="106" t="s">
        <v>65</v>
      </c>
      <c r="I6" s="87">
        <v>46049.0</v>
      </c>
      <c r="J6" s="88"/>
      <c r="K6" s="89">
        <v>118.5</v>
      </c>
      <c r="L6" s="254" t="s">
        <v>1178</v>
      </c>
      <c r="M6" s="89">
        <f t="shared" ref="M6:M9" si="1">K6*12</f>
        <v>1422</v>
      </c>
      <c r="N6" s="106" t="s">
        <v>28</v>
      </c>
      <c r="O6" s="106" t="s">
        <v>29</v>
      </c>
      <c r="P6" s="106" t="s">
        <v>40</v>
      </c>
      <c r="Q6" s="91"/>
      <c r="R6" s="106" t="s">
        <v>30</v>
      </c>
      <c r="S6" s="106" t="s">
        <v>110</v>
      </c>
      <c r="T6" s="106" t="s">
        <v>1865</v>
      </c>
      <c r="U6" s="178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>
      <c r="A7" s="12">
        <v>3.0</v>
      </c>
      <c r="B7" s="106" t="s">
        <v>788</v>
      </c>
      <c r="C7" s="106" t="s">
        <v>789</v>
      </c>
      <c r="D7" s="106" t="s">
        <v>790</v>
      </c>
      <c r="E7" s="106" t="s">
        <v>791</v>
      </c>
      <c r="F7" s="106" t="s">
        <v>792</v>
      </c>
      <c r="G7" s="106">
        <v>1.0</v>
      </c>
      <c r="H7" s="106" t="s">
        <v>39</v>
      </c>
      <c r="I7" s="108">
        <v>46064.0</v>
      </c>
      <c r="J7" s="109"/>
      <c r="K7" s="89">
        <v>115.5</v>
      </c>
      <c r="L7" s="254" t="s">
        <v>1178</v>
      </c>
      <c r="M7" s="89">
        <f t="shared" si="1"/>
        <v>1386</v>
      </c>
      <c r="N7" s="106" t="s">
        <v>28</v>
      </c>
      <c r="O7" s="106" t="s">
        <v>29</v>
      </c>
      <c r="P7" s="106" t="s">
        <v>40</v>
      </c>
      <c r="Q7" s="91"/>
      <c r="R7" s="106" t="s">
        <v>30</v>
      </c>
      <c r="S7" s="106" t="s">
        <v>110</v>
      </c>
      <c r="T7" s="106" t="s">
        <v>1866</v>
      </c>
      <c r="U7" s="178"/>
      <c r="V7" s="3"/>
      <c r="W7" s="3"/>
      <c r="X7" s="3"/>
      <c r="Y7" s="3"/>
      <c r="Z7" s="3"/>
      <c r="AA7" s="3"/>
      <c r="AB7" s="3"/>
      <c r="AC7" s="3"/>
      <c r="AD7" s="3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</row>
    <row r="8">
      <c r="A8" s="12">
        <v>4.0</v>
      </c>
      <c r="B8" s="283" t="s">
        <v>1099</v>
      </c>
      <c r="C8" s="284" t="s">
        <v>1100</v>
      </c>
      <c r="D8" s="285" t="s">
        <v>1101</v>
      </c>
      <c r="E8" s="286" t="s">
        <v>1102</v>
      </c>
      <c r="F8" s="287" t="s">
        <v>1103</v>
      </c>
      <c r="G8" s="286">
        <v>3.0</v>
      </c>
      <c r="H8" s="286" t="s">
        <v>39</v>
      </c>
      <c r="I8" s="288">
        <v>46134.0</v>
      </c>
      <c r="J8" s="289">
        <v>46135.0</v>
      </c>
      <c r="K8" s="128">
        <v>110.5</v>
      </c>
      <c r="L8" s="136">
        <v>12.0</v>
      </c>
      <c r="M8" s="290">
        <f t="shared" si="1"/>
        <v>1326</v>
      </c>
      <c r="N8" s="291" t="s">
        <v>71</v>
      </c>
      <c r="O8" s="292" t="s">
        <v>29</v>
      </c>
      <c r="P8" s="291" t="s">
        <v>72</v>
      </c>
      <c r="Q8" s="293">
        <v>2698.0</v>
      </c>
      <c r="R8" s="291" t="s">
        <v>73</v>
      </c>
      <c r="S8" s="292" t="s">
        <v>129</v>
      </c>
      <c r="T8" s="294"/>
      <c r="U8" s="295" t="s">
        <v>1867</v>
      </c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</row>
    <row r="9">
      <c r="A9" s="12">
        <v>5.0</v>
      </c>
      <c r="B9" s="106" t="s">
        <v>1030</v>
      </c>
      <c r="C9" s="106" t="s">
        <v>1031</v>
      </c>
      <c r="D9" s="106" t="s">
        <v>1032</v>
      </c>
      <c r="E9" s="106" t="s">
        <v>1185</v>
      </c>
      <c r="F9" s="106" t="s">
        <v>1033</v>
      </c>
      <c r="G9" s="106">
        <v>106.0</v>
      </c>
      <c r="H9" s="106" t="s">
        <v>1034</v>
      </c>
      <c r="I9" s="108">
        <v>46077.0</v>
      </c>
      <c r="J9" s="109"/>
      <c r="K9" s="89">
        <v>1151.16</v>
      </c>
      <c r="L9" s="254" t="s">
        <v>1178</v>
      </c>
      <c r="M9" s="89">
        <f t="shared" si="1"/>
        <v>13813.92</v>
      </c>
      <c r="N9" s="106" t="s">
        <v>28</v>
      </c>
      <c r="O9" s="106" t="s">
        <v>29</v>
      </c>
      <c r="P9" s="106" t="s">
        <v>40</v>
      </c>
      <c r="Q9" s="91"/>
      <c r="R9" s="106" t="s">
        <v>30</v>
      </c>
      <c r="S9" s="106" t="s">
        <v>110</v>
      </c>
      <c r="T9" s="106" t="s">
        <v>1865</v>
      </c>
      <c r="U9" s="178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>
      <c r="A10" s="12">
        <v>6.0</v>
      </c>
      <c r="B10" s="106" t="s">
        <v>1058</v>
      </c>
      <c r="C10" s="106" t="s">
        <v>1059</v>
      </c>
      <c r="D10" s="106" t="s">
        <v>1060</v>
      </c>
      <c r="E10" s="106" t="s">
        <v>1190</v>
      </c>
      <c r="F10" s="106" t="s">
        <v>1061</v>
      </c>
      <c r="G10" s="106">
        <v>20.0</v>
      </c>
      <c r="H10" s="106" t="s">
        <v>960</v>
      </c>
      <c r="I10" s="108">
        <v>46077.0</v>
      </c>
      <c r="J10" s="109"/>
      <c r="K10" s="89">
        <v>400.0</v>
      </c>
      <c r="L10" s="254" t="s">
        <v>1191</v>
      </c>
      <c r="M10" s="89">
        <f>K10*3</f>
        <v>1200</v>
      </c>
      <c r="N10" s="106" t="s">
        <v>28</v>
      </c>
      <c r="O10" s="106" t="s">
        <v>29</v>
      </c>
      <c r="P10" s="106" t="s">
        <v>40</v>
      </c>
      <c r="Q10" s="91"/>
      <c r="R10" s="106" t="s">
        <v>30</v>
      </c>
      <c r="S10" s="106" t="s">
        <v>110</v>
      </c>
      <c r="T10" s="106" t="s">
        <v>1868</v>
      </c>
      <c r="U10" s="178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>
      <c r="A11" s="12">
        <v>7.0</v>
      </c>
      <c r="B11" s="106" t="s">
        <v>1066</v>
      </c>
      <c r="C11" s="106" t="s">
        <v>1067</v>
      </c>
      <c r="D11" s="106" t="s">
        <v>1194</v>
      </c>
      <c r="E11" s="106" t="s">
        <v>1195</v>
      </c>
      <c r="F11" s="173" t="s">
        <v>1069</v>
      </c>
      <c r="G11" s="106">
        <v>1.0</v>
      </c>
      <c r="H11" s="106" t="s">
        <v>123</v>
      </c>
      <c r="I11" s="108">
        <v>46079.0</v>
      </c>
      <c r="J11" s="109"/>
      <c r="K11" s="89">
        <v>110.5</v>
      </c>
      <c r="L11" s="254" t="s">
        <v>1178</v>
      </c>
      <c r="M11" s="89">
        <f t="shared" ref="M11:M12" si="2">K11*12</f>
        <v>1326</v>
      </c>
      <c r="N11" s="106" t="s">
        <v>28</v>
      </c>
      <c r="O11" s="106" t="s">
        <v>29</v>
      </c>
      <c r="P11" s="106" t="s">
        <v>40</v>
      </c>
      <c r="Q11" s="91"/>
      <c r="R11" s="106" t="s">
        <v>30</v>
      </c>
      <c r="S11" s="106" t="s">
        <v>110</v>
      </c>
      <c r="T11" s="86" t="s">
        <v>1869</v>
      </c>
      <c r="U11" s="178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>
      <c r="A12" s="12">
        <v>8.0</v>
      </c>
      <c r="B12" s="117" t="s">
        <v>1089</v>
      </c>
      <c r="C12" s="117" t="s">
        <v>1090</v>
      </c>
      <c r="D12" s="97" t="s">
        <v>107</v>
      </c>
      <c r="E12" s="297" t="s">
        <v>1091</v>
      </c>
      <c r="F12" s="97" t="s">
        <v>1092</v>
      </c>
      <c r="G12" s="97">
        <v>14.0</v>
      </c>
      <c r="H12" s="97" t="s">
        <v>65</v>
      </c>
      <c r="I12" s="298">
        <v>46083.0</v>
      </c>
      <c r="J12" s="81"/>
      <c r="K12" s="102">
        <v>217.0</v>
      </c>
      <c r="L12" s="97">
        <v>12.0</v>
      </c>
      <c r="M12" s="111">
        <f t="shared" si="2"/>
        <v>2604</v>
      </c>
      <c r="N12" s="137" t="s">
        <v>28</v>
      </c>
      <c r="O12" s="172" t="s">
        <v>29</v>
      </c>
      <c r="P12" s="137" t="s">
        <v>40</v>
      </c>
      <c r="Q12" s="81"/>
      <c r="R12" s="137" t="s">
        <v>73</v>
      </c>
      <c r="S12" s="137" t="s">
        <v>148</v>
      </c>
      <c r="T12" s="115"/>
      <c r="U12" s="81"/>
      <c r="V12" s="31"/>
      <c r="W12" s="31"/>
      <c r="X12" s="31"/>
      <c r="Y12" s="31"/>
      <c r="Z12" s="31"/>
      <c r="AA12" s="31"/>
      <c r="AB12" s="31"/>
      <c r="AC12" s="31"/>
      <c r="AD12" s="31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>
      <c r="A13" s="12">
        <v>9.0</v>
      </c>
      <c r="B13" s="107" t="s">
        <v>1223</v>
      </c>
      <c r="C13" s="107" t="s">
        <v>1224</v>
      </c>
      <c r="D13" s="107" t="s">
        <v>1225</v>
      </c>
      <c r="E13" s="107" t="s">
        <v>1226</v>
      </c>
      <c r="F13" s="107" t="s">
        <v>1227</v>
      </c>
      <c r="G13" s="107" t="s">
        <v>26</v>
      </c>
      <c r="H13" s="107" t="s">
        <v>1228</v>
      </c>
      <c r="I13" s="247">
        <v>46090.0</v>
      </c>
      <c r="J13" s="247"/>
      <c r="K13" s="238" t="s">
        <v>57</v>
      </c>
      <c r="L13" s="97">
        <v>1.0</v>
      </c>
      <c r="M13" s="238">
        <v>4419.0</v>
      </c>
      <c r="N13" s="120" t="s">
        <v>28</v>
      </c>
      <c r="O13" s="120" t="s">
        <v>91</v>
      </c>
      <c r="P13" s="120" t="s">
        <v>40</v>
      </c>
      <c r="Q13" s="107"/>
      <c r="R13" s="120" t="s">
        <v>73</v>
      </c>
      <c r="S13" s="120" t="s">
        <v>148</v>
      </c>
      <c r="T13" s="299" t="s">
        <v>1870</v>
      </c>
      <c r="U13" s="178"/>
      <c r="V13" s="3"/>
      <c r="W13" s="219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>
      <c r="A14" s="12">
        <v>10.0</v>
      </c>
      <c r="B14" s="123" t="s">
        <v>1581</v>
      </c>
      <c r="C14" s="178"/>
      <c r="D14" s="123" t="s">
        <v>1582</v>
      </c>
      <c r="E14" s="178"/>
      <c r="F14" s="300"/>
      <c r="G14" s="123" t="s">
        <v>399</v>
      </c>
      <c r="H14" s="123" t="s">
        <v>1583</v>
      </c>
      <c r="I14" s="177">
        <v>46090.0</v>
      </c>
      <c r="J14" s="178"/>
      <c r="K14" s="179" t="s">
        <v>1268</v>
      </c>
      <c r="L14" s="123">
        <v>1.0</v>
      </c>
      <c r="M14" s="179">
        <v>14000.0</v>
      </c>
      <c r="N14" s="120" t="s">
        <v>58</v>
      </c>
      <c r="O14" s="185" t="s">
        <v>29</v>
      </c>
      <c r="P14" s="185" t="s">
        <v>40</v>
      </c>
      <c r="Q14" s="123"/>
      <c r="R14" s="185" t="s">
        <v>73</v>
      </c>
      <c r="S14" s="120" t="s">
        <v>129</v>
      </c>
      <c r="T14" s="188"/>
      <c r="U14" s="178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>
      <c r="A15" s="12">
        <v>11.0</v>
      </c>
      <c r="B15" s="106" t="s">
        <v>1288</v>
      </c>
      <c r="C15" s="106" t="s">
        <v>1289</v>
      </c>
      <c r="D15" s="106" t="s">
        <v>1290</v>
      </c>
      <c r="E15" s="106" t="s">
        <v>1291</v>
      </c>
      <c r="F15" s="173" t="s">
        <v>1292</v>
      </c>
      <c r="G15" s="106">
        <v>15.0</v>
      </c>
      <c r="H15" s="107" t="s">
        <v>123</v>
      </c>
      <c r="I15" s="108">
        <v>46091.0</v>
      </c>
      <c r="J15" s="109"/>
      <c r="K15" s="89">
        <v>225.0</v>
      </c>
      <c r="L15" s="254" t="s">
        <v>1178</v>
      </c>
      <c r="M15" s="89">
        <f>K15*12</f>
        <v>2700</v>
      </c>
      <c r="N15" s="106" t="s">
        <v>28</v>
      </c>
      <c r="O15" s="106" t="s">
        <v>29</v>
      </c>
      <c r="P15" s="106" t="s">
        <v>40</v>
      </c>
      <c r="Q15" s="91"/>
      <c r="R15" s="106" t="s">
        <v>233</v>
      </c>
      <c r="S15" s="106" t="s">
        <v>110</v>
      </c>
      <c r="T15" s="106" t="s">
        <v>1293</v>
      </c>
      <c r="U15" s="178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>
      <c r="A16" s="12">
        <v>12.0</v>
      </c>
      <c r="B16" s="205" t="s">
        <v>1418</v>
      </c>
      <c r="C16" s="205" t="s">
        <v>1419</v>
      </c>
      <c r="D16" s="106" t="s">
        <v>1420</v>
      </c>
      <c r="E16" s="106" t="s">
        <v>1421</v>
      </c>
      <c r="F16" s="301" t="s">
        <v>1871</v>
      </c>
      <c r="G16" s="106">
        <v>5.0</v>
      </c>
      <c r="H16" s="120" t="s">
        <v>1423</v>
      </c>
      <c r="I16" s="108">
        <v>46092.0</v>
      </c>
      <c r="J16" s="87"/>
      <c r="K16" s="179" t="s">
        <v>1268</v>
      </c>
      <c r="L16" s="268">
        <v>1.0</v>
      </c>
      <c r="M16" s="125">
        <v>10500.0</v>
      </c>
      <c r="N16" s="106" t="s">
        <v>58</v>
      </c>
      <c r="O16" s="106" t="s">
        <v>29</v>
      </c>
      <c r="P16" s="106" t="s">
        <v>40</v>
      </c>
      <c r="Q16" s="106"/>
      <c r="R16" s="106" t="s">
        <v>73</v>
      </c>
      <c r="S16" s="106" t="s">
        <v>31</v>
      </c>
      <c r="T16" s="129" t="s">
        <v>1872</v>
      </c>
      <c r="U16" s="106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</row>
    <row r="17">
      <c r="A17" s="12">
        <v>13.0</v>
      </c>
      <c r="B17" s="205" t="s">
        <v>1418</v>
      </c>
      <c r="C17" s="205" t="s">
        <v>1419</v>
      </c>
      <c r="D17" s="106" t="s">
        <v>1420</v>
      </c>
      <c r="E17" s="106" t="s">
        <v>1421</v>
      </c>
      <c r="F17" s="301" t="s">
        <v>1871</v>
      </c>
      <c r="G17" s="106">
        <v>5.0</v>
      </c>
      <c r="H17" s="106" t="s">
        <v>1359</v>
      </c>
      <c r="I17" s="108">
        <v>46092.0</v>
      </c>
      <c r="J17" s="87"/>
      <c r="K17" s="125">
        <v>304.49</v>
      </c>
      <c r="L17" s="302" t="s">
        <v>1178</v>
      </c>
      <c r="M17" s="89">
        <f t="shared" ref="M17:M18" si="3">K17*12</f>
        <v>3653.88</v>
      </c>
      <c r="N17" s="106" t="s">
        <v>58</v>
      </c>
      <c r="O17" s="106" t="s">
        <v>29</v>
      </c>
      <c r="P17" s="106" t="s">
        <v>40</v>
      </c>
      <c r="Q17" s="106"/>
      <c r="R17" s="106" t="s">
        <v>73</v>
      </c>
      <c r="S17" s="106" t="s">
        <v>31</v>
      </c>
      <c r="T17" s="129" t="s">
        <v>1873</v>
      </c>
      <c r="U17" s="106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</row>
    <row r="18">
      <c r="A18" s="12">
        <v>14.0</v>
      </c>
      <c r="B18" s="303" t="s">
        <v>1425</v>
      </c>
      <c r="C18" s="303" t="s">
        <v>1426</v>
      </c>
      <c r="D18" s="303" t="s">
        <v>1427</v>
      </c>
      <c r="E18" s="303" t="s">
        <v>63</v>
      </c>
      <c r="F18" s="303" t="s">
        <v>64</v>
      </c>
      <c r="G18" s="303">
        <v>2.0</v>
      </c>
      <c r="H18" s="304" t="s">
        <v>1874</v>
      </c>
      <c r="I18" s="305">
        <v>46093.0</v>
      </c>
      <c r="J18" s="306">
        <v>46127.0</v>
      </c>
      <c r="K18" s="132">
        <v>145.0</v>
      </c>
      <c r="L18" s="307">
        <v>12.0</v>
      </c>
      <c r="M18" s="308">
        <f t="shared" si="3"/>
        <v>1740</v>
      </c>
      <c r="N18" s="304" t="s">
        <v>71</v>
      </c>
      <c r="O18" s="303" t="s">
        <v>29</v>
      </c>
      <c r="P18" s="304" t="s">
        <v>72</v>
      </c>
      <c r="Q18" s="304">
        <v>2775.0</v>
      </c>
      <c r="R18" s="303" t="s">
        <v>73</v>
      </c>
      <c r="S18" s="303" t="s">
        <v>31</v>
      </c>
      <c r="T18" s="309" t="s">
        <v>1875</v>
      </c>
      <c r="U18" s="146" t="s">
        <v>1867</v>
      </c>
      <c r="V18" s="310"/>
      <c r="W18" s="310"/>
      <c r="X18" s="310"/>
      <c r="Y18" s="310"/>
      <c r="Z18" s="310"/>
      <c r="AA18" s="310"/>
      <c r="AB18" s="310"/>
      <c r="AC18" s="310"/>
      <c r="AD18" s="310"/>
      <c r="AE18" s="310"/>
      <c r="AF18" s="310"/>
      <c r="AG18" s="310"/>
      <c r="AH18" s="310"/>
      <c r="AI18" s="310"/>
      <c r="AJ18" s="310"/>
      <c r="AK18" s="310"/>
      <c r="AL18" s="310"/>
      <c r="AM18" s="310"/>
      <c r="AN18" s="310"/>
      <c r="AO18" s="310"/>
      <c r="AP18" s="310"/>
      <c r="AQ18" s="310"/>
      <c r="AR18" s="310"/>
      <c r="AS18" s="310"/>
      <c r="AT18" s="310"/>
      <c r="AU18" s="310"/>
      <c r="AV18" s="310"/>
    </row>
    <row r="19">
      <c r="A19" s="12">
        <v>15.0</v>
      </c>
      <c r="B19" s="106" t="s">
        <v>1429</v>
      </c>
      <c r="C19" s="106" t="s">
        <v>1430</v>
      </c>
      <c r="D19" s="106" t="s">
        <v>1431</v>
      </c>
      <c r="E19" s="106" t="s">
        <v>1432</v>
      </c>
      <c r="F19" s="106" t="s">
        <v>1433</v>
      </c>
      <c r="G19" s="106">
        <v>4.0</v>
      </c>
      <c r="H19" s="106" t="s">
        <v>1434</v>
      </c>
      <c r="I19" s="108">
        <v>46093.0</v>
      </c>
      <c r="J19" s="106"/>
      <c r="K19" s="89">
        <v>257.0</v>
      </c>
      <c r="L19" s="270">
        <v>12.0</v>
      </c>
      <c r="M19" s="89">
        <v>3084.0</v>
      </c>
      <c r="N19" s="120" t="s">
        <v>28</v>
      </c>
      <c r="O19" s="106" t="s">
        <v>29</v>
      </c>
      <c r="P19" s="106" t="s">
        <v>40</v>
      </c>
      <c r="Q19" s="106"/>
      <c r="R19" s="106" t="s">
        <v>73</v>
      </c>
      <c r="S19" s="106" t="s">
        <v>31</v>
      </c>
      <c r="T19" s="129" t="s">
        <v>1876</v>
      </c>
      <c r="U19" s="106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</row>
    <row r="20">
      <c r="A20" s="12">
        <v>16.0</v>
      </c>
      <c r="B20" s="106" t="s">
        <v>1337</v>
      </c>
      <c r="C20" s="106" t="s">
        <v>1338</v>
      </c>
      <c r="D20" s="106" t="s">
        <v>1339</v>
      </c>
      <c r="E20" s="106" t="s">
        <v>1340</v>
      </c>
      <c r="F20" s="106" t="s">
        <v>1341</v>
      </c>
      <c r="G20" s="106" t="s">
        <v>399</v>
      </c>
      <c r="H20" s="106" t="s">
        <v>499</v>
      </c>
      <c r="I20" s="108">
        <v>46093.0</v>
      </c>
      <c r="J20" s="109"/>
      <c r="K20" s="89" t="s">
        <v>399</v>
      </c>
      <c r="L20" s="254" t="s">
        <v>399</v>
      </c>
      <c r="M20" s="89" t="s">
        <v>399</v>
      </c>
      <c r="N20" s="106" t="s">
        <v>28</v>
      </c>
      <c r="O20" s="106" t="s">
        <v>29</v>
      </c>
      <c r="P20" s="106" t="s">
        <v>40</v>
      </c>
      <c r="Q20" s="91"/>
      <c r="R20" s="106" t="s">
        <v>233</v>
      </c>
      <c r="S20" s="106" t="s">
        <v>110</v>
      </c>
      <c r="T20" s="106" t="s">
        <v>1877</v>
      </c>
      <c r="U20" s="106"/>
      <c r="V20" s="24"/>
      <c r="W20" s="24"/>
      <c r="X20" s="24"/>
      <c r="Y20" s="24"/>
      <c r="Z20" s="24"/>
      <c r="AA20" s="24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>
      <c r="A21" s="12">
        <v>17.0</v>
      </c>
      <c r="B21" s="106" t="s">
        <v>1771</v>
      </c>
      <c r="C21" s="106" t="s">
        <v>1772</v>
      </c>
      <c r="D21" s="106" t="s">
        <v>1773</v>
      </c>
      <c r="E21" s="106" t="s">
        <v>1774</v>
      </c>
      <c r="F21" s="106" t="s">
        <v>1775</v>
      </c>
      <c r="G21" s="106">
        <v>2.0</v>
      </c>
      <c r="H21" s="107" t="s">
        <v>123</v>
      </c>
      <c r="I21" s="108">
        <v>46093.0</v>
      </c>
      <c r="J21" s="109"/>
      <c r="K21" s="89">
        <v>145.0</v>
      </c>
      <c r="L21" s="254" t="s">
        <v>1178</v>
      </c>
      <c r="M21" s="89">
        <f t="shared" ref="M21:M23" si="4">K21*12</f>
        <v>1740</v>
      </c>
      <c r="N21" s="106" t="s">
        <v>58</v>
      </c>
      <c r="O21" s="106" t="s">
        <v>29</v>
      </c>
      <c r="P21" s="106" t="s">
        <v>40</v>
      </c>
      <c r="Q21" s="91"/>
      <c r="R21" s="106" t="s">
        <v>233</v>
      </c>
      <c r="S21" s="106" t="s">
        <v>110</v>
      </c>
      <c r="T21" s="91"/>
      <c r="U21" s="178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>
      <c r="A22" s="12">
        <v>18.0</v>
      </c>
      <c r="B22" s="106" t="s">
        <v>1776</v>
      </c>
      <c r="C22" s="106" t="s">
        <v>1777</v>
      </c>
      <c r="D22" s="106" t="s">
        <v>1773</v>
      </c>
      <c r="E22" s="106" t="s">
        <v>1774</v>
      </c>
      <c r="F22" s="106" t="s">
        <v>1775</v>
      </c>
      <c r="G22" s="106">
        <v>2.0</v>
      </c>
      <c r="H22" s="107" t="s">
        <v>123</v>
      </c>
      <c r="I22" s="108">
        <v>46093.0</v>
      </c>
      <c r="J22" s="109"/>
      <c r="K22" s="89">
        <v>145.0</v>
      </c>
      <c r="L22" s="254" t="s">
        <v>1178</v>
      </c>
      <c r="M22" s="89">
        <f t="shared" si="4"/>
        <v>1740</v>
      </c>
      <c r="N22" s="106" t="s">
        <v>58</v>
      </c>
      <c r="O22" s="106" t="s">
        <v>29</v>
      </c>
      <c r="P22" s="106" t="s">
        <v>40</v>
      </c>
      <c r="Q22" s="91"/>
      <c r="R22" s="106" t="s">
        <v>233</v>
      </c>
      <c r="S22" s="106" t="s">
        <v>110</v>
      </c>
      <c r="T22" s="91"/>
      <c r="U22" s="178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>
      <c r="A23" s="12">
        <v>19.0</v>
      </c>
      <c r="B23" s="106" t="s">
        <v>1778</v>
      </c>
      <c r="C23" s="106" t="s">
        <v>1779</v>
      </c>
      <c r="D23" s="106" t="s">
        <v>1773</v>
      </c>
      <c r="E23" s="24" t="s">
        <v>1774</v>
      </c>
      <c r="F23" s="106" t="s">
        <v>1775</v>
      </c>
      <c r="G23" s="106">
        <v>7.0</v>
      </c>
      <c r="H23" s="107" t="s">
        <v>123</v>
      </c>
      <c r="I23" s="108">
        <v>46093.0</v>
      </c>
      <c r="J23" s="109"/>
      <c r="K23" s="89">
        <v>175.0</v>
      </c>
      <c r="L23" s="254" t="s">
        <v>1178</v>
      </c>
      <c r="M23" s="89">
        <f t="shared" si="4"/>
        <v>2100</v>
      </c>
      <c r="N23" s="106" t="s">
        <v>58</v>
      </c>
      <c r="O23" s="106" t="s">
        <v>29</v>
      </c>
      <c r="P23" s="106" t="s">
        <v>40</v>
      </c>
      <c r="Q23" s="91"/>
      <c r="R23" s="106" t="s">
        <v>233</v>
      </c>
      <c r="S23" s="106" t="s">
        <v>110</v>
      </c>
      <c r="T23" s="91"/>
      <c r="U23" s="178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>
      <c r="A24" s="12">
        <v>20.0</v>
      </c>
      <c r="B24" s="310" t="s">
        <v>1878</v>
      </c>
      <c r="C24" s="303" t="s">
        <v>1879</v>
      </c>
      <c r="D24" s="303" t="s">
        <v>1880</v>
      </c>
      <c r="E24" s="303" t="s">
        <v>1881</v>
      </c>
      <c r="F24" s="303" t="s">
        <v>1882</v>
      </c>
      <c r="G24" s="303">
        <v>27.0</v>
      </c>
      <c r="H24" s="103" t="s">
        <v>711</v>
      </c>
      <c r="I24" s="305">
        <v>46093.0</v>
      </c>
      <c r="J24" s="288">
        <v>46113.0</v>
      </c>
      <c r="K24" s="308">
        <v>350.0</v>
      </c>
      <c r="L24" s="311">
        <v>2.0</v>
      </c>
      <c r="M24" s="308">
        <f>K24*2</f>
        <v>700</v>
      </c>
      <c r="N24" s="304" t="s">
        <v>71</v>
      </c>
      <c r="O24" s="303" t="s">
        <v>91</v>
      </c>
      <c r="P24" s="304" t="s">
        <v>72</v>
      </c>
      <c r="Q24" s="312">
        <v>2700.0</v>
      </c>
      <c r="R24" s="303" t="s">
        <v>73</v>
      </c>
      <c r="S24" s="303" t="s">
        <v>129</v>
      </c>
      <c r="T24" s="313"/>
      <c r="U24" s="146" t="s">
        <v>1867</v>
      </c>
      <c r="V24" s="314"/>
      <c r="W24" s="314"/>
      <c r="X24" s="314"/>
      <c r="Y24" s="314"/>
      <c r="Z24" s="314"/>
      <c r="AA24" s="314"/>
      <c r="AB24" s="314"/>
      <c r="AC24" s="314"/>
      <c r="AD24" s="314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>
      <c r="A25" s="12">
        <v>21.0</v>
      </c>
      <c r="B25" s="123" t="s">
        <v>1462</v>
      </c>
      <c r="C25" s="123" t="s">
        <v>1463</v>
      </c>
      <c r="D25" s="123" t="s">
        <v>1464</v>
      </c>
      <c r="E25" s="123" t="s">
        <v>1465</v>
      </c>
      <c r="F25" s="123" t="s">
        <v>1466</v>
      </c>
      <c r="G25" s="123">
        <v>16.0</v>
      </c>
      <c r="H25" s="123" t="s">
        <v>65</v>
      </c>
      <c r="I25" s="177">
        <v>46094.0</v>
      </c>
      <c r="J25" s="178"/>
      <c r="K25" s="179">
        <v>264.64</v>
      </c>
      <c r="L25" s="123">
        <v>12.0</v>
      </c>
      <c r="M25" s="180">
        <f>K25*12</f>
        <v>3175.68</v>
      </c>
      <c r="N25" s="120" t="s">
        <v>28</v>
      </c>
      <c r="O25" s="120" t="s">
        <v>29</v>
      </c>
      <c r="P25" s="120" t="s">
        <v>40</v>
      </c>
      <c r="Q25" s="178"/>
      <c r="R25" s="120" t="s">
        <v>73</v>
      </c>
      <c r="S25" s="120" t="s">
        <v>148</v>
      </c>
      <c r="T25" s="188"/>
      <c r="U25" s="178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>
      <c r="A26" s="12">
        <v>22.0</v>
      </c>
      <c r="B26" s="106" t="s">
        <v>1795</v>
      </c>
      <c r="C26" s="106" t="s">
        <v>1796</v>
      </c>
      <c r="D26" s="106" t="s">
        <v>1797</v>
      </c>
      <c r="E26" s="106" t="s">
        <v>1798</v>
      </c>
      <c r="F26" s="106" t="s">
        <v>1799</v>
      </c>
      <c r="G26" s="254" t="s">
        <v>399</v>
      </c>
      <c r="H26" s="254" t="s">
        <v>499</v>
      </c>
      <c r="I26" s="108">
        <v>46094.0</v>
      </c>
      <c r="J26" s="109"/>
      <c r="K26" s="89" t="s">
        <v>399</v>
      </c>
      <c r="L26" s="254" t="s">
        <v>399</v>
      </c>
      <c r="M26" s="89" t="s">
        <v>399</v>
      </c>
      <c r="N26" s="106" t="s">
        <v>28</v>
      </c>
      <c r="O26" s="106" t="s">
        <v>29</v>
      </c>
      <c r="P26" s="106" t="s">
        <v>40</v>
      </c>
      <c r="Q26" s="91"/>
      <c r="R26" s="106" t="s">
        <v>73</v>
      </c>
      <c r="S26" s="106" t="s">
        <v>110</v>
      </c>
      <c r="T26" s="106" t="s">
        <v>1883</v>
      </c>
      <c r="U26" s="178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>
      <c r="A27" s="12">
        <v>23.0</v>
      </c>
      <c r="B27" s="123" t="s">
        <v>1441</v>
      </c>
      <c r="C27" s="123" t="s">
        <v>1442</v>
      </c>
      <c r="D27" s="123" t="s">
        <v>978</v>
      </c>
      <c r="E27" s="123" t="s">
        <v>1443</v>
      </c>
      <c r="F27" s="123" t="s">
        <v>1444</v>
      </c>
      <c r="G27" s="123">
        <v>20.0</v>
      </c>
      <c r="H27" s="123" t="s">
        <v>65</v>
      </c>
      <c r="I27" s="177">
        <v>46097.0</v>
      </c>
      <c r="J27" s="178"/>
      <c r="K27" s="179">
        <v>283.81</v>
      </c>
      <c r="L27" s="123">
        <v>12.0</v>
      </c>
      <c r="M27" s="180">
        <f t="shared" ref="M27:M38" si="5">K27*12</f>
        <v>3405.72</v>
      </c>
      <c r="N27" s="120" t="s">
        <v>28</v>
      </c>
      <c r="O27" s="106" t="s">
        <v>29</v>
      </c>
      <c r="P27" s="120" t="s">
        <v>40</v>
      </c>
      <c r="Q27" s="178"/>
      <c r="R27" s="106" t="s">
        <v>73</v>
      </c>
      <c r="S27" s="120" t="s">
        <v>148</v>
      </c>
      <c r="T27" s="188"/>
      <c r="U27" s="178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>
      <c r="A28" s="12">
        <v>24.0</v>
      </c>
      <c r="B28" s="123" t="s">
        <v>1445</v>
      </c>
      <c r="C28" s="123" t="s">
        <v>1446</v>
      </c>
      <c r="D28" s="123" t="s">
        <v>1715</v>
      </c>
      <c r="E28" s="123" t="s">
        <v>1448</v>
      </c>
      <c r="F28" s="123" t="s">
        <v>1449</v>
      </c>
      <c r="G28" s="123">
        <v>21.0</v>
      </c>
      <c r="H28" s="123" t="s">
        <v>65</v>
      </c>
      <c r="I28" s="177">
        <v>46097.0</v>
      </c>
      <c r="J28" s="178"/>
      <c r="K28" s="179">
        <v>314.0</v>
      </c>
      <c r="L28" s="123">
        <v>12.0</v>
      </c>
      <c r="M28" s="180">
        <f t="shared" si="5"/>
        <v>3768</v>
      </c>
      <c r="N28" s="120" t="s">
        <v>58</v>
      </c>
      <c r="O28" s="106" t="s">
        <v>29</v>
      </c>
      <c r="P28" s="120" t="s">
        <v>40</v>
      </c>
      <c r="Q28" s="178"/>
      <c r="R28" s="120" t="s">
        <v>41</v>
      </c>
      <c r="S28" s="120" t="s">
        <v>148</v>
      </c>
      <c r="T28" s="188"/>
      <c r="U28" s="123" t="s">
        <v>1884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>
      <c r="A29" s="12">
        <v>25.0</v>
      </c>
      <c r="B29" s="123" t="s">
        <v>1450</v>
      </c>
      <c r="C29" s="123" t="s">
        <v>1451</v>
      </c>
      <c r="D29" s="123" t="s">
        <v>1452</v>
      </c>
      <c r="E29" s="123" t="s">
        <v>1453</v>
      </c>
      <c r="F29" s="123" t="s">
        <v>1454</v>
      </c>
      <c r="G29" s="123">
        <v>11.0</v>
      </c>
      <c r="H29" s="123" t="s">
        <v>65</v>
      </c>
      <c r="I29" s="177">
        <v>46097.0</v>
      </c>
      <c r="J29" s="178"/>
      <c r="K29" s="179">
        <v>199.0</v>
      </c>
      <c r="L29" s="123">
        <v>12.0</v>
      </c>
      <c r="M29" s="180">
        <f t="shared" si="5"/>
        <v>2388</v>
      </c>
      <c r="N29" s="120" t="s">
        <v>28</v>
      </c>
      <c r="O29" s="106" t="s">
        <v>29</v>
      </c>
      <c r="P29" s="120" t="s">
        <v>40</v>
      </c>
      <c r="Q29" s="178"/>
      <c r="R29" s="106" t="s">
        <v>73</v>
      </c>
      <c r="S29" s="120" t="s">
        <v>148</v>
      </c>
      <c r="T29" s="315" t="s">
        <v>1885</v>
      </c>
      <c r="U29" s="178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>
      <c r="A30" s="12">
        <v>26.0</v>
      </c>
      <c r="B30" s="212" t="s">
        <v>1473</v>
      </c>
      <c r="C30" s="123" t="s">
        <v>1474</v>
      </c>
      <c r="D30" s="123" t="s">
        <v>1475</v>
      </c>
      <c r="E30" s="123" t="s">
        <v>1476</v>
      </c>
      <c r="F30" s="123" t="s">
        <v>1477</v>
      </c>
      <c r="G30" s="123">
        <v>12.0</v>
      </c>
      <c r="H30" s="123" t="s">
        <v>65</v>
      </c>
      <c r="I30" s="177">
        <v>46097.0</v>
      </c>
      <c r="J30" s="178"/>
      <c r="K30" s="179">
        <v>205.0</v>
      </c>
      <c r="L30" s="123">
        <v>12.0</v>
      </c>
      <c r="M30" s="180">
        <f t="shared" si="5"/>
        <v>2460</v>
      </c>
      <c r="N30" s="120" t="s">
        <v>28</v>
      </c>
      <c r="O30" s="120" t="s">
        <v>29</v>
      </c>
      <c r="P30" s="120" t="s">
        <v>40</v>
      </c>
      <c r="Q30" s="178"/>
      <c r="R30" s="120" t="s">
        <v>73</v>
      </c>
      <c r="S30" s="106" t="s">
        <v>31</v>
      </c>
      <c r="T30" s="315" t="s">
        <v>1886</v>
      </c>
      <c r="U30" s="178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>
      <c r="A31" s="12">
        <v>27.0</v>
      </c>
      <c r="B31" s="123" t="s">
        <v>1887</v>
      </c>
      <c r="C31" s="316" t="s">
        <v>1888</v>
      </c>
      <c r="D31" s="123" t="s">
        <v>1496</v>
      </c>
      <c r="E31" s="123" t="s">
        <v>1497</v>
      </c>
      <c r="F31" s="212" t="s">
        <v>1498</v>
      </c>
      <c r="G31" s="123">
        <v>40.0</v>
      </c>
      <c r="H31" s="103" t="s">
        <v>65</v>
      </c>
      <c r="I31" s="174">
        <v>46097.0</v>
      </c>
      <c r="J31" s="317">
        <v>46134.0</v>
      </c>
      <c r="K31" s="197">
        <v>740.0</v>
      </c>
      <c r="L31" s="103">
        <v>12.0</v>
      </c>
      <c r="M31" s="318">
        <f t="shared" si="5"/>
        <v>8880</v>
      </c>
      <c r="N31" s="120" t="s">
        <v>71</v>
      </c>
      <c r="O31" s="185" t="s">
        <v>29</v>
      </c>
      <c r="P31" s="185" t="s">
        <v>72</v>
      </c>
      <c r="Q31" s="123">
        <v>2803.0</v>
      </c>
      <c r="R31" s="185" t="s">
        <v>233</v>
      </c>
      <c r="S31" s="106" t="s">
        <v>31</v>
      </c>
      <c r="T31" s="123" t="s">
        <v>1889</v>
      </c>
      <c r="U31" s="123" t="s">
        <v>1867</v>
      </c>
      <c r="AE31" s="314"/>
      <c r="AF31" s="314"/>
      <c r="AG31" s="314"/>
      <c r="AH31" s="314"/>
      <c r="AI31" s="314"/>
      <c r="AJ31" s="314"/>
      <c r="AK31" s="314"/>
      <c r="AL31" s="314"/>
      <c r="AM31" s="314"/>
      <c r="AN31" s="314"/>
      <c r="AO31" s="314"/>
      <c r="AP31" s="314"/>
      <c r="AQ31" s="314"/>
      <c r="AR31" s="314"/>
      <c r="AS31" s="314"/>
      <c r="AT31" s="314"/>
      <c r="AU31" s="314"/>
      <c r="AV31" s="314"/>
    </row>
    <row r="32">
      <c r="A32" s="12">
        <v>28.0</v>
      </c>
      <c r="B32" s="123" t="s">
        <v>1494</v>
      </c>
      <c r="C32" s="212" t="s">
        <v>1495</v>
      </c>
      <c r="D32" s="123" t="s">
        <v>1496</v>
      </c>
      <c r="E32" s="123" t="s">
        <v>1497</v>
      </c>
      <c r="F32" s="212" t="s">
        <v>1498</v>
      </c>
      <c r="G32" s="123">
        <v>33.0</v>
      </c>
      <c r="H32" s="103" t="s">
        <v>65</v>
      </c>
      <c r="I32" s="174">
        <v>46098.0</v>
      </c>
      <c r="J32" s="178"/>
      <c r="K32" s="197">
        <v>431.0</v>
      </c>
      <c r="L32" s="103">
        <v>12.0</v>
      </c>
      <c r="M32" s="318">
        <f t="shared" si="5"/>
        <v>5172</v>
      </c>
      <c r="N32" s="120" t="s">
        <v>28</v>
      </c>
      <c r="O32" s="185" t="s">
        <v>29</v>
      </c>
      <c r="P32" s="185" t="s">
        <v>40</v>
      </c>
      <c r="Q32" s="178"/>
      <c r="R32" s="185" t="s">
        <v>233</v>
      </c>
      <c r="S32" s="106" t="s">
        <v>31</v>
      </c>
      <c r="T32" s="315" t="s">
        <v>1890</v>
      </c>
      <c r="U32" s="178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>
      <c r="A33" s="12">
        <v>29.0</v>
      </c>
      <c r="B33" s="123" t="s">
        <v>1634</v>
      </c>
      <c r="C33" s="123" t="s">
        <v>1635</v>
      </c>
      <c r="D33" s="212" t="s">
        <v>1636</v>
      </c>
      <c r="E33" s="212" t="s">
        <v>1637</v>
      </c>
      <c r="F33" s="319" t="s">
        <v>1638</v>
      </c>
      <c r="G33" s="123">
        <v>9.0</v>
      </c>
      <c r="H33" s="103" t="s">
        <v>65</v>
      </c>
      <c r="I33" s="177">
        <v>46101.0</v>
      </c>
      <c r="J33" s="178"/>
      <c r="K33" s="197">
        <v>181.0</v>
      </c>
      <c r="L33" s="123">
        <v>12.0</v>
      </c>
      <c r="M33" s="318">
        <f t="shared" si="5"/>
        <v>2172</v>
      </c>
      <c r="N33" s="120" t="s">
        <v>28</v>
      </c>
      <c r="O33" s="185" t="s">
        <v>29</v>
      </c>
      <c r="P33" s="185" t="s">
        <v>40</v>
      </c>
      <c r="Q33" s="178"/>
      <c r="R33" s="185" t="s">
        <v>73</v>
      </c>
      <c r="S33" s="106" t="s">
        <v>31</v>
      </c>
      <c r="T33" s="315" t="s">
        <v>1891</v>
      </c>
      <c r="U33" s="178"/>
      <c r="V33" s="3"/>
      <c r="W33" s="3"/>
      <c r="X33" s="3"/>
      <c r="Y33" s="3"/>
      <c r="Z33" s="3"/>
      <c r="AA33" s="3"/>
      <c r="AB33" s="3"/>
      <c r="AC33" s="3"/>
      <c r="AD33" s="3"/>
      <c r="AE33" s="314"/>
      <c r="AF33" s="314"/>
      <c r="AG33" s="314"/>
      <c r="AH33" s="314"/>
      <c r="AI33" s="314"/>
      <c r="AJ33" s="314"/>
      <c r="AK33" s="314"/>
      <c r="AL33" s="314"/>
      <c r="AM33" s="314"/>
      <c r="AN33" s="314"/>
      <c r="AO33" s="314"/>
      <c r="AP33" s="314"/>
      <c r="AQ33" s="314"/>
      <c r="AR33" s="314"/>
      <c r="AS33" s="314"/>
      <c r="AT33" s="314"/>
      <c r="AU33" s="314"/>
      <c r="AV33" s="314"/>
    </row>
    <row r="34">
      <c r="A34" s="12">
        <v>30.0</v>
      </c>
      <c r="B34" s="106" t="s">
        <v>1739</v>
      </c>
      <c r="C34" s="106" t="s">
        <v>1740</v>
      </c>
      <c r="D34" s="106" t="s">
        <v>1741</v>
      </c>
      <c r="E34" s="106" t="s">
        <v>1742</v>
      </c>
      <c r="F34" s="106" t="s">
        <v>1743</v>
      </c>
      <c r="G34" s="106">
        <v>229.0</v>
      </c>
      <c r="H34" s="107" t="s">
        <v>123</v>
      </c>
      <c r="I34" s="108">
        <v>46101.0</v>
      </c>
      <c r="J34" s="109"/>
      <c r="K34" s="89">
        <v>2150.75</v>
      </c>
      <c r="L34" s="254" t="s">
        <v>1178</v>
      </c>
      <c r="M34" s="89">
        <f t="shared" si="5"/>
        <v>25809</v>
      </c>
      <c r="N34" s="86" t="s">
        <v>58</v>
      </c>
      <c r="O34" s="106" t="s">
        <v>29</v>
      </c>
      <c r="P34" s="106" t="s">
        <v>40</v>
      </c>
      <c r="Q34" s="91"/>
      <c r="R34" s="106" t="s">
        <v>233</v>
      </c>
      <c r="S34" s="106" t="s">
        <v>110</v>
      </c>
      <c r="T34" s="106" t="s">
        <v>1744</v>
      </c>
      <c r="U34" s="178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>
      <c r="A35" s="12">
        <v>31.0</v>
      </c>
      <c r="B35" s="106" t="s">
        <v>1758</v>
      </c>
      <c r="C35" s="106" t="s">
        <v>1759</v>
      </c>
      <c r="D35" s="106" t="s">
        <v>1760</v>
      </c>
      <c r="E35" s="107" t="s">
        <v>1761</v>
      </c>
      <c r="F35" s="106" t="s">
        <v>1892</v>
      </c>
      <c r="G35" s="106">
        <v>3.0</v>
      </c>
      <c r="H35" s="107" t="s">
        <v>123</v>
      </c>
      <c r="I35" s="108">
        <v>46104.0</v>
      </c>
      <c r="J35" s="109"/>
      <c r="K35" s="89">
        <v>151.0</v>
      </c>
      <c r="L35" s="254" t="s">
        <v>1178</v>
      </c>
      <c r="M35" s="89">
        <f t="shared" si="5"/>
        <v>1812</v>
      </c>
      <c r="N35" s="106" t="s">
        <v>28</v>
      </c>
      <c r="O35" s="106" t="s">
        <v>29</v>
      </c>
      <c r="P35" s="106" t="s">
        <v>40</v>
      </c>
      <c r="Q35" s="91"/>
      <c r="R35" s="106" t="s">
        <v>233</v>
      </c>
      <c r="S35" s="106" t="s">
        <v>110</v>
      </c>
      <c r="T35" s="106" t="s">
        <v>1893</v>
      </c>
      <c r="U35" s="146" t="s">
        <v>1867</v>
      </c>
      <c r="V35" s="314"/>
      <c r="W35" s="314"/>
      <c r="X35" s="314"/>
      <c r="Y35" s="314"/>
      <c r="Z35" s="314"/>
      <c r="AA35" s="314"/>
      <c r="AB35" s="314"/>
      <c r="AC35" s="314"/>
      <c r="AD35" s="314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>
      <c r="A36" s="12">
        <v>32.0</v>
      </c>
      <c r="B36" s="106" t="s">
        <v>1816</v>
      </c>
      <c r="C36" s="106" t="s">
        <v>1817</v>
      </c>
      <c r="D36" s="106" t="s">
        <v>1818</v>
      </c>
      <c r="E36" s="106" t="s">
        <v>1819</v>
      </c>
      <c r="F36" s="106" t="s">
        <v>1820</v>
      </c>
      <c r="G36" s="106">
        <v>5.0</v>
      </c>
      <c r="H36" s="107" t="s">
        <v>1810</v>
      </c>
      <c r="I36" s="108">
        <v>46104.0</v>
      </c>
      <c r="J36" s="109"/>
      <c r="K36" s="89">
        <v>363.0</v>
      </c>
      <c r="L36" s="254" t="s">
        <v>1178</v>
      </c>
      <c r="M36" s="89">
        <f t="shared" si="5"/>
        <v>4356</v>
      </c>
      <c r="N36" s="106" t="s">
        <v>28</v>
      </c>
      <c r="O36" s="106" t="s">
        <v>29</v>
      </c>
      <c r="P36" s="106" t="s">
        <v>40</v>
      </c>
      <c r="Q36" s="91"/>
      <c r="R36" s="106" t="s">
        <v>73</v>
      </c>
      <c r="S36" s="106" t="s">
        <v>110</v>
      </c>
      <c r="T36" s="106" t="s">
        <v>705</v>
      </c>
      <c r="U36" s="146" t="s">
        <v>1867</v>
      </c>
      <c r="V36" s="314"/>
      <c r="W36" s="314"/>
      <c r="X36" s="314"/>
      <c r="Y36" s="314"/>
      <c r="Z36" s="314"/>
      <c r="AA36" s="314"/>
      <c r="AB36" s="314"/>
      <c r="AC36" s="314"/>
      <c r="AD36" s="314"/>
      <c r="AE36" s="314"/>
      <c r="AF36" s="314"/>
      <c r="AG36" s="314"/>
      <c r="AH36" s="314"/>
      <c r="AI36" s="314"/>
      <c r="AJ36" s="314"/>
      <c r="AK36" s="314"/>
      <c r="AL36" s="314"/>
      <c r="AM36" s="314"/>
      <c r="AN36" s="314"/>
      <c r="AO36" s="314"/>
      <c r="AP36" s="314"/>
      <c r="AQ36" s="314"/>
      <c r="AR36" s="314"/>
      <c r="AS36" s="314"/>
      <c r="AT36" s="314"/>
      <c r="AU36" s="314"/>
      <c r="AV36" s="314"/>
    </row>
    <row r="37">
      <c r="A37" s="12">
        <v>33.0</v>
      </c>
      <c r="B37" s="123" t="s">
        <v>1584</v>
      </c>
      <c r="C37" s="123" t="s">
        <v>1585</v>
      </c>
      <c r="D37" s="123" t="s">
        <v>1586</v>
      </c>
      <c r="E37" s="123" t="s">
        <v>1587</v>
      </c>
      <c r="F37" s="123" t="s">
        <v>1588</v>
      </c>
      <c r="G37" s="123">
        <v>5.0</v>
      </c>
      <c r="H37" s="123" t="s">
        <v>65</v>
      </c>
      <c r="I37" s="177">
        <v>46105.0</v>
      </c>
      <c r="J37" s="178"/>
      <c r="K37" s="179">
        <v>163.0</v>
      </c>
      <c r="L37" s="123">
        <v>12.0</v>
      </c>
      <c r="M37" s="180">
        <f t="shared" si="5"/>
        <v>1956</v>
      </c>
      <c r="N37" s="120" t="s">
        <v>28</v>
      </c>
      <c r="O37" s="185" t="s">
        <v>29</v>
      </c>
      <c r="P37" s="185" t="s">
        <v>40</v>
      </c>
      <c r="Q37" s="178"/>
      <c r="R37" s="185" t="s">
        <v>73</v>
      </c>
      <c r="S37" s="120" t="s">
        <v>148</v>
      </c>
      <c r="T37" s="315" t="s">
        <v>1894</v>
      </c>
      <c r="U37" s="178"/>
      <c r="V37" s="3"/>
      <c r="W37" s="3"/>
      <c r="X37" s="3"/>
      <c r="Y37" s="3"/>
      <c r="Z37" s="3"/>
      <c r="AA37" s="3"/>
      <c r="AB37" s="3"/>
      <c r="AC37" s="3"/>
      <c r="AD37" s="3"/>
      <c r="AE37" s="314"/>
      <c r="AF37" s="314"/>
      <c r="AG37" s="314"/>
      <c r="AH37" s="314"/>
      <c r="AI37" s="314"/>
      <c r="AJ37" s="314"/>
      <c r="AK37" s="314"/>
      <c r="AL37" s="314"/>
      <c r="AM37" s="314"/>
      <c r="AN37" s="314"/>
      <c r="AO37" s="314"/>
      <c r="AP37" s="314"/>
      <c r="AQ37" s="314"/>
      <c r="AR37" s="314"/>
      <c r="AS37" s="314"/>
      <c r="AT37" s="314"/>
      <c r="AU37" s="314"/>
      <c r="AV37" s="314"/>
    </row>
    <row r="38">
      <c r="A38" s="12">
        <v>34.0</v>
      </c>
      <c r="B38" s="123" t="s">
        <v>1589</v>
      </c>
      <c r="C38" s="123" t="s">
        <v>1590</v>
      </c>
      <c r="D38" s="123" t="s">
        <v>1586</v>
      </c>
      <c r="E38" s="123" t="s">
        <v>1587</v>
      </c>
      <c r="F38" s="123" t="s">
        <v>1588</v>
      </c>
      <c r="G38" s="123">
        <v>1.0</v>
      </c>
      <c r="H38" s="123" t="s">
        <v>65</v>
      </c>
      <c r="I38" s="177">
        <v>46105.0</v>
      </c>
      <c r="J38" s="178"/>
      <c r="K38" s="179">
        <v>139.0</v>
      </c>
      <c r="L38" s="123">
        <v>12.0</v>
      </c>
      <c r="M38" s="180">
        <f t="shared" si="5"/>
        <v>1668</v>
      </c>
      <c r="N38" s="120" t="s">
        <v>28</v>
      </c>
      <c r="O38" s="185" t="s">
        <v>29</v>
      </c>
      <c r="P38" s="185" t="s">
        <v>40</v>
      </c>
      <c r="Q38" s="178"/>
      <c r="R38" s="185" t="s">
        <v>73</v>
      </c>
      <c r="S38" s="120" t="s">
        <v>148</v>
      </c>
      <c r="T38" s="315" t="s">
        <v>1894</v>
      </c>
      <c r="U38" s="178"/>
      <c r="V38" s="3"/>
      <c r="W38" s="3"/>
      <c r="X38" s="3"/>
      <c r="Y38" s="3"/>
      <c r="Z38" s="3"/>
      <c r="AA38" s="3"/>
      <c r="AB38" s="3"/>
      <c r="AC38" s="3"/>
      <c r="AD38" s="3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</row>
    <row r="39">
      <c r="A39" s="12">
        <v>35.0</v>
      </c>
      <c r="B39" s="123" t="s">
        <v>1605</v>
      </c>
      <c r="C39" s="123" t="s">
        <v>1606</v>
      </c>
      <c r="D39" s="123" t="s">
        <v>1607</v>
      </c>
      <c r="E39" s="123" t="s">
        <v>1608</v>
      </c>
      <c r="F39" s="123" t="s">
        <v>1609</v>
      </c>
      <c r="G39" s="123" t="s">
        <v>26</v>
      </c>
      <c r="H39" s="123" t="s">
        <v>1610</v>
      </c>
      <c r="I39" s="177">
        <v>46105.0</v>
      </c>
      <c r="J39" s="178"/>
      <c r="K39" s="179" t="s">
        <v>57</v>
      </c>
      <c r="L39" s="123">
        <v>1.0</v>
      </c>
      <c r="M39" s="179">
        <v>800.0</v>
      </c>
      <c r="N39" s="120" t="s">
        <v>28</v>
      </c>
      <c r="O39" s="185" t="s">
        <v>29</v>
      </c>
      <c r="P39" s="185" t="s">
        <v>40</v>
      </c>
      <c r="Q39" s="178"/>
      <c r="R39" s="185" t="s">
        <v>41</v>
      </c>
      <c r="S39" s="120" t="s">
        <v>148</v>
      </c>
      <c r="T39" s="320"/>
      <c r="U39" s="178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>
      <c r="A40" s="12">
        <v>36.0</v>
      </c>
      <c r="B40" s="146" t="s">
        <v>1679</v>
      </c>
      <c r="C40" s="146" t="s">
        <v>1680</v>
      </c>
      <c r="D40" s="146" t="s">
        <v>1895</v>
      </c>
      <c r="E40" s="146" t="s">
        <v>1682</v>
      </c>
      <c r="F40" s="146" t="s">
        <v>1683</v>
      </c>
      <c r="G40" s="146">
        <v>11.0</v>
      </c>
      <c r="H40" s="103" t="s">
        <v>39</v>
      </c>
      <c r="I40" s="321">
        <v>46105.0</v>
      </c>
      <c r="J40" s="321">
        <v>46122.0</v>
      </c>
      <c r="K40" s="197">
        <v>199.0</v>
      </c>
      <c r="L40" s="146">
        <v>12.0</v>
      </c>
      <c r="M40" s="322">
        <f>K40*12</f>
        <v>2388</v>
      </c>
      <c r="N40" s="304" t="s">
        <v>71</v>
      </c>
      <c r="O40" s="185" t="s">
        <v>29</v>
      </c>
      <c r="P40" s="185" t="s">
        <v>72</v>
      </c>
      <c r="Q40" s="146">
        <v>2753.0</v>
      </c>
      <c r="R40" s="185" t="s">
        <v>73</v>
      </c>
      <c r="S40" s="303" t="s">
        <v>31</v>
      </c>
      <c r="T40" s="323" t="s">
        <v>1896</v>
      </c>
      <c r="U40" s="146" t="s">
        <v>1867</v>
      </c>
      <c r="V40" s="314"/>
      <c r="W40" s="314"/>
      <c r="X40" s="314"/>
      <c r="Y40" s="314"/>
      <c r="Z40" s="314"/>
      <c r="AA40" s="314"/>
      <c r="AB40" s="314"/>
      <c r="AC40" s="314"/>
      <c r="AD40" s="314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>
      <c r="A41" s="12">
        <v>37.0</v>
      </c>
      <c r="B41" s="106" t="s">
        <v>1801</v>
      </c>
      <c r="C41" s="106" t="s">
        <v>1802</v>
      </c>
      <c r="D41" s="106" t="s">
        <v>1803</v>
      </c>
      <c r="E41" s="106" t="s">
        <v>1804</v>
      </c>
      <c r="F41" s="106" t="s">
        <v>1805</v>
      </c>
      <c r="G41" s="106" t="s">
        <v>399</v>
      </c>
      <c r="H41" s="86" t="s">
        <v>499</v>
      </c>
      <c r="I41" s="108">
        <v>46105.0</v>
      </c>
      <c r="J41" s="109"/>
      <c r="K41" s="89" t="s">
        <v>399</v>
      </c>
      <c r="L41" s="254" t="s">
        <v>399</v>
      </c>
      <c r="M41" s="89" t="s">
        <v>399</v>
      </c>
      <c r="N41" s="106" t="s">
        <v>28</v>
      </c>
      <c r="O41" s="106" t="s">
        <v>29</v>
      </c>
      <c r="P41" s="106" t="s">
        <v>40</v>
      </c>
      <c r="Q41" s="91"/>
      <c r="R41" s="106" t="s">
        <v>73</v>
      </c>
      <c r="S41" s="106" t="s">
        <v>110</v>
      </c>
      <c r="T41" s="106" t="s">
        <v>1806</v>
      </c>
      <c r="U41" s="146" t="s">
        <v>1867</v>
      </c>
      <c r="V41" s="314"/>
      <c r="W41" s="314"/>
      <c r="X41" s="314"/>
      <c r="Y41" s="314"/>
      <c r="Z41" s="314"/>
      <c r="AA41" s="314"/>
      <c r="AB41" s="314"/>
      <c r="AC41" s="314"/>
      <c r="AD41" s="314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>
      <c r="A42" s="12">
        <v>38.0</v>
      </c>
      <c r="B42" s="106" t="s">
        <v>1811</v>
      </c>
      <c r="C42" s="106" t="s">
        <v>1812</v>
      </c>
      <c r="D42" s="106" t="s">
        <v>1813</v>
      </c>
      <c r="E42" s="106" t="s">
        <v>1814</v>
      </c>
      <c r="F42" s="173" t="s">
        <v>1815</v>
      </c>
      <c r="G42" s="106">
        <v>40.0</v>
      </c>
      <c r="H42" s="110" t="s">
        <v>123</v>
      </c>
      <c r="I42" s="108">
        <v>46105.0</v>
      </c>
      <c r="J42" s="109"/>
      <c r="K42" s="89">
        <v>420.0</v>
      </c>
      <c r="L42" s="254" t="s">
        <v>1178</v>
      </c>
      <c r="M42" s="89">
        <f>K42*12</f>
        <v>5040</v>
      </c>
      <c r="N42" s="106" t="s">
        <v>58</v>
      </c>
      <c r="O42" s="106" t="s">
        <v>29</v>
      </c>
      <c r="P42" s="106" t="s">
        <v>40</v>
      </c>
      <c r="Q42" s="91"/>
      <c r="R42" s="106" t="s">
        <v>73</v>
      </c>
      <c r="S42" s="106" t="s">
        <v>110</v>
      </c>
      <c r="T42" s="324" t="s">
        <v>1897</v>
      </c>
      <c r="U42" s="146" t="s">
        <v>1867</v>
      </c>
      <c r="V42" s="314"/>
      <c r="W42" s="314"/>
      <c r="X42" s="314"/>
      <c r="Y42" s="314"/>
      <c r="Z42" s="314"/>
      <c r="AA42" s="314"/>
      <c r="AB42" s="314"/>
      <c r="AC42" s="314"/>
      <c r="AD42" s="314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>
      <c r="A43" s="12">
        <v>39.0</v>
      </c>
      <c r="B43" s="123" t="s">
        <v>1611</v>
      </c>
      <c r="C43" s="120" t="s">
        <v>565</v>
      </c>
      <c r="D43" s="123" t="s">
        <v>1612</v>
      </c>
      <c r="E43" s="219" t="s">
        <v>1613</v>
      </c>
      <c r="F43" s="325" t="s">
        <v>1898</v>
      </c>
      <c r="G43" s="123" t="s">
        <v>26</v>
      </c>
      <c r="H43" s="123" t="s">
        <v>1615</v>
      </c>
      <c r="I43" s="177">
        <v>46106.0</v>
      </c>
      <c r="J43" s="178"/>
      <c r="K43" s="179" t="s">
        <v>57</v>
      </c>
      <c r="L43" s="123">
        <v>1.0</v>
      </c>
      <c r="M43" s="179">
        <v>9130.0</v>
      </c>
      <c r="N43" s="120" t="s">
        <v>58</v>
      </c>
      <c r="O43" s="185" t="s">
        <v>91</v>
      </c>
      <c r="P43" s="185" t="s">
        <v>40</v>
      </c>
      <c r="Q43" s="178"/>
      <c r="R43" s="185" t="s">
        <v>73</v>
      </c>
      <c r="S43" s="120" t="s">
        <v>148</v>
      </c>
      <c r="T43" s="315" t="s">
        <v>1899</v>
      </c>
      <c r="U43" s="123" t="s">
        <v>1900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>
      <c r="A44" s="12">
        <v>40.0</v>
      </c>
      <c r="B44" s="123" t="s">
        <v>1623</v>
      </c>
      <c r="C44" s="208" t="s">
        <v>1624</v>
      </c>
      <c r="D44" s="123" t="s">
        <v>1625</v>
      </c>
      <c r="E44" s="178"/>
      <c r="F44" s="326" t="s">
        <v>1901</v>
      </c>
      <c r="G44" s="123">
        <v>30.0</v>
      </c>
      <c r="H44" s="123" t="s">
        <v>1627</v>
      </c>
      <c r="I44" s="177">
        <v>46106.0</v>
      </c>
      <c r="J44" s="178"/>
      <c r="K44" s="179" t="s">
        <v>1268</v>
      </c>
      <c r="L44" s="123">
        <v>1.0</v>
      </c>
      <c r="M44" s="179">
        <v>2500.0</v>
      </c>
      <c r="N44" s="120" t="s">
        <v>28</v>
      </c>
      <c r="O44" s="185" t="s">
        <v>29</v>
      </c>
      <c r="P44" s="185" t="s">
        <v>40</v>
      </c>
      <c r="Q44" s="123"/>
      <c r="R44" s="185" t="s">
        <v>233</v>
      </c>
      <c r="S44" s="120" t="s">
        <v>129</v>
      </c>
      <c r="T44" s="315" t="s">
        <v>1902</v>
      </c>
      <c r="U44" s="178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>
      <c r="A45" s="12">
        <v>41.0</v>
      </c>
      <c r="B45" s="146" t="s">
        <v>1628</v>
      </c>
      <c r="C45" s="146" t="s">
        <v>1629</v>
      </c>
      <c r="D45" s="146" t="s">
        <v>1630</v>
      </c>
      <c r="E45" s="146" t="s">
        <v>1631</v>
      </c>
      <c r="F45" s="146" t="s">
        <v>1632</v>
      </c>
      <c r="G45" s="146">
        <v>15.0</v>
      </c>
      <c r="H45" s="103" t="s">
        <v>711</v>
      </c>
      <c r="I45" s="321">
        <v>46106.0</v>
      </c>
      <c r="J45" s="321">
        <v>46118.0</v>
      </c>
      <c r="K45" s="197" t="s">
        <v>57</v>
      </c>
      <c r="L45" s="146">
        <v>1.0</v>
      </c>
      <c r="M45" s="126">
        <v>1000.0</v>
      </c>
      <c r="N45" s="304" t="s">
        <v>71</v>
      </c>
      <c r="O45" s="185" t="s">
        <v>29</v>
      </c>
      <c r="P45" s="185" t="s">
        <v>72</v>
      </c>
      <c r="Q45" s="146">
        <v>2708.0</v>
      </c>
      <c r="R45" s="185" t="s">
        <v>73</v>
      </c>
      <c r="S45" s="303" t="s">
        <v>31</v>
      </c>
      <c r="T45" s="323" t="s">
        <v>1633</v>
      </c>
      <c r="U45" s="146" t="s">
        <v>1867</v>
      </c>
      <c r="V45" s="314"/>
      <c r="W45" s="314"/>
      <c r="X45" s="314"/>
      <c r="Y45" s="314"/>
      <c r="Z45" s="314"/>
      <c r="AA45" s="314"/>
      <c r="AB45" s="314"/>
      <c r="AC45" s="314"/>
      <c r="AD45" s="314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ht="14.25" customHeight="1">
      <c r="A46" s="12">
        <v>42.0</v>
      </c>
      <c r="B46" s="327" t="s">
        <v>1668</v>
      </c>
      <c r="C46" s="328" t="s">
        <v>1669</v>
      </c>
      <c r="D46" s="328" t="s">
        <v>1670</v>
      </c>
      <c r="E46" s="328" t="s">
        <v>1903</v>
      </c>
      <c r="F46" s="328" t="s">
        <v>1672</v>
      </c>
      <c r="G46" s="328" t="s">
        <v>26</v>
      </c>
      <c r="H46" s="328" t="s">
        <v>1228</v>
      </c>
      <c r="I46" s="329">
        <v>46106.0</v>
      </c>
      <c r="J46" s="329">
        <v>46113.0</v>
      </c>
      <c r="K46" s="330">
        <v>621.0</v>
      </c>
      <c r="L46" s="328">
        <v>5.0</v>
      </c>
      <c r="M46" s="330">
        <f>K46*5</f>
        <v>3105</v>
      </c>
      <c r="N46" s="331" t="s">
        <v>71</v>
      </c>
      <c r="O46" s="332" t="s">
        <v>91</v>
      </c>
      <c r="P46" s="332" t="s">
        <v>72</v>
      </c>
      <c r="Q46" s="328">
        <v>2696.0</v>
      </c>
      <c r="R46" s="332" t="s">
        <v>73</v>
      </c>
      <c r="S46" s="331" t="s">
        <v>148</v>
      </c>
      <c r="T46" s="333"/>
      <c r="U46" s="328" t="s">
        <v>1867</v>
      </c>
      <c r="V46" s="334"/>
      <c r="W46" s="334"/>
      <c r="X46" s="334"/>
      <c r="Y46" s="334"/>
      <c r="Z46" s="334"/>
      <c r="AA46" s="334"/>
      <c r="AB46" s="334"/>
      <c r="AC46" s="334"/>
      <c r="AD46" s="334"/>
      <c r="AE46" s="334"/>
      <c r="AF46" s="334"/>
      <c r="AG46" s="334"/>
      <c r="AH46" s="334"/>
      <c r="AI46" s="334"/>
      <c r="AJ46" s="334"/>
      <c r="AK46" s="334"/>
      <c r="AL46" s="334"/>
      <c r="AM46" s="334"/>
      <c r="AN46" s="334"/>
      <c r="AO46" s="334"/>
      <c r="AP46" s="334"/>
      <c r="AQ46" s="334"/>
      <c r="AR46" s="334"/>
      <c r="AS46" s="334"/>
      <c r="AT46" s="334"/>
      <c r="AU46" s="334"/>
      <c r="AV46" s="334"/>
    </row>
    <row r="47">
      <c r="A47" s="12">
        <v>43.0</v>
      </c>
      <c r="B47" s="106" t="s">
        <v>1785</v>
      </c>
      <c r="C47" s="106" t="s">
        <v>1786</v>
      </c>
      <c r="D47" s="106" t="s">
        <v>1787</v>
      </c>
      <c r="E47" s="106" t="s">
        <v>1788</v>
      </c>
      <c r="F47" s="106" t="s">
        <v>1904</v>
      </c>
      <c r="G47" s="106">
        <v>10.0</v>
      </c>
      <c r="H47" s="106" t="s">
        <v>1790</v>
      </c>
      <c r="I47" s="108">
        <v>46106.0</v>
      </c>
      <c r="J47" s="109"/>
      <c r="K47" s="89">
        <f t="shared" ref="K47:K48" si="6">M47/5</f>
        <v>360</v>
      </c>
      <c r="L47" s="254" t="s">
        <v>1791</v>
      </c>
      <c r="M47" s="89">
        <v>1800.0</v>
      </c>
      <c r="N47" s="106" t="s">
        <v>28</v>
      </c>
      <c r="O47" s="106" t="s">
        <v>29</v>
      </c>
      <c r="P47" s="106" t="s">
        <v>40</v>
      </c>
      <c r="Q47" s="91"/>
      <c r="R47" s="106" t="s">
        <v>73</v>
      </c>
      <c r="S47" s="106" t="s">
        <v>110</v>
      </c>
      <c r="T47" s="91"/>
      <c r="U47" s="146" t="s">
        <v>1867</v>
      </c>
      <c r="V47" s="314"/>
      <c r="W47" s="314"/>
      <c r="X47" s="314"/>
      <c r="Y47" s="314"/>
      <c r="Z47" s="314"/>
      <c r="AA47" s="314"/>
      <c r="AB47" s="314"/>
      <c r="AC47" s="314"/>
      <c r="AD47" s="314"/>
      <c r="AE47" s="314"/>
      <c r="AF47" s="314"/>
      <c r="AG47" s="314"/>
      <c r="AH47" s="314"/>
      <c r="AI47" s="314"/>
      <c r="AJ47" s="314"/>
      <c r="AK47" s="314"/>
      <c r="AL47" s="314"/>
      <c r="AM47" s="314"/>
      <c r="AN47" s="314"/>
      <c r="AO47" s="314"/>
      <c r="AP47" s="314"/>
      <c r="AQ47" s="314"/>
      <c r="AR47" s="314"/>
      <c r="AS47" s="314"/>
      <c r="AT47" s="314"/>
      <c r="AU47" s="314"/>
      <c r="AV47" s="314"/>
    </row>
    <row r="48">
      <c r="A48" s="12">
        <v>44.0</v>
      </c>
      <c r="B48" s="106" t="s">
        <v>1792</v>
      </c>
      <c r="C48" s="106" t="s">
        <v>1793</v>
      </c>
      <c r="D48" s="106" t="s">
        <v>1787</v>
      </c>
      <c r="E48" s="106" t="s">
        <v>1788</v>
      </c>
      <c r="F48" s="207" t="s">
        <v>1904</v>
      </c>
      <c r="G48" s="254" t="s">
        <v>1794</v>
      </c>
      <c r="H48" s="254" t="s">
        <v>1790</v>
      </c>
      <c r="I48" s="108">
        <v>46106.0</v>
      </c>
      <c r="J48" s="109"/>
      <c r="K48" s="89">
        <f t="shared" si="6"/>
        <v>440</v>
      </c>
      <c r="L48" s="254" t="s">
        <v>1791</v>
      </c>
      <c r="M48" s="89">
        <v>2200.0</v>
      </c>
      <c r="N48" s="86" t="s">
        <v>28</v>
      </c>
      <c r="O48" s="106" t="s">
        <v>29</v>
      </c>
      <c r="P48" s="86" t="s">
        <v>40</v>
      </c>
      <c r="Q48" s="90"/>
      <c r="R48" s="106" t="s">
        <v>73</v>
      </c>
      <c r="S48" s="106" t="s">
        <v>110</v>
      </c>
      <c r="T48" s="91"/>
      <c r="U48" s="146" t="s">
        <v>1867</v>
      </c>
      <c r="V48" s="314"/>
      <c r="W48" s="314"/>
      <c r="X48" s="314"/>
      <c r="Y48" s="314"/>
      <c r="Z48" s="314"/>
      <c r="AA48" s="314"/>
      <c r="AB48" s="314"/>
      <c r="AC48" s="314"/>
      <c r="AD48" s="314"/>
      <c r="AE48" s="314"/>
      <c r="AF48" s="314"/>
      <c r="AG48" s="314"/>
      <c r="AH48" s="314"/>
      <c r="AI48" s="314"/>
      <c r="AJ48" s="314"/>
      <c r="AK48" s="314"/>
      <c r="AL48" s="314"/>
      <c r="AM48" s="314"/>
      <c r="AN48" s="314"/>
      <c r="AO48" s="314"/>
      <c r="AP48" s="314"/>
      <c r="AQ48" s="314"/>
      <c r="AR48" s="314"/>
      <c r="AS48" s="314"/>
      <c r="AT48" s="314"/>
      <c r="AU48" s="314"/>
      <c r="AV48" s="314"/>
    </row>
    <row r="49">
      <c r="A49" s="12">
        <v>45.0</v>
      </c>
      <c r="B49" s="212" t="s">
        <v>1079</v>
      </c>
      <c r="C49" s="212" t="s">
        <v>1080</v>
      </c>
      <c r="D49" s="123" t="s">
        <v>99</v>
      </c>
      <c r="E49" s="212" t="s">
        <v>1081</v>
      </c>
      <c r="F49" s="335" t="s">
        <v>1905</v>
      </c>
      <c r="G49" s="123">
        <v>1.0</v>
      </c>
      <c r="H49" s="123" t="s">
        <v>1083</v>
      </c>
      <c r="I49" s="336">
        <v>46108.0</v>
      </c>
      <c r="J49" s="178"/>
      <c r="K49" s="179" t="s">
        <v>57</v>
      </c>
      <c r="L49" s="97">
        <v>1.0</v>
      </c>
      <c r="M49" s="179">
        <v>919.0</v>
      </c>
      <c r="N49" s="137" t="s">
        <v>28</v>
      </c>
      <c r="O49" s="172" t="s">
        <v>29</v>
      </c>
      <c r="P49" s="137" t="s">
        <v>40</v>
      </c>
      <c r="Q49" s="178"/>
      <c r="R49" s="137" t="s">
        <v>41</v>
      </c>
      <c r="S49" s="137" t="s">
        <v>148</v>
      </c>
      <c r="T49" s="315" t="s">
        <v>1906</v>
      </c>
      <c r="U49" s="178"/>
      <c r="V49" s="3"/>
      <c r="W49" s="3"/>
      <c r="X49" s="3"/>
      <c r="Y49" s="3"/>
      <c r="Z49" s="3"/>
      <c r="AA49" s="3"/>
      <c r="AB49" s="3"/>
      <c r="AC49" s="3"/>
      <c r="AD49" s="3"/>
      <c r="AE49" s="314"/>
      <c r="AF49" s="314"/>
      <c r="AG49" s="314"/>
      <c r="AH49" s="314"/>
      <c r="AI49" s="314"/>
      <c r="AJ49" s="314"/>
      <c r="AK49" s="314"/>
      <c r="AL49" s="314"/>
      <c r="AM49" s="314"/>
      <c r="AN49" s="314"/>
      <c r="AO49" s="314"/>
      <c r="AP49" s="314"/>
      <c r="AQ49" s="314"/>
      <c r="AR49" s="314"/>
      <c r="AS49" s="314"/>
      <c r="AT49" s="314"/>
      <c r="AU49" s="314"/>
      <c r="AV49" s="314"/>
    </row>
    <row r="50">
      <c r="A50" s="12">
        <v>46.0</v>
      </c>
      <c r="B50" s="123" t="s">
        <v>1713</v>
      </c>
      <c r="C50" s="123" t="s">
        <v>1714</v>
      </c>
      <c r="D50" s="123" t="s">
        <v>1715</v>
      </c>
      <c r="E50" s="123" t="s">
        <v>1716</v>
      </c>
      <c r="F50" s="337" t="s">
        <v>1717</v>
      </c>
      <c r="G50" s="123" t="s">
        <v>26</v>
      </c>
      <c r="H50" s="123" t="s">
        <v>1718</v>
      </c>
      <c r="I50" s="298">
        <v>46111.0</v>
      </c>
      <c r="J50" s="81"/>
      <c r="K50" s="102" t="s">
        <v>57</v>
      </c>
      <c r="L50" s="97">
        <v>1.0</v>
      </c>
      <c r="M50" s="102">
        <v>800.0</v>
      </c>
      <c r="N50" s="112" t="s">
        <v>58</v>
      </c>
      <c r="O50" s="137" t="s">
        <v>29</v>
      </c>
      <c r="P50" s="185" t="s">
        <v>40</v>
      </c>
      <c r="Q50" s="81"/>
      <c r="R50" s="137" t="s">
        <v>41</v>
      </c>
      <c r="S50" s="112" t="s">
        <v>148</v>
      </c>
      <c r="T50" s="115"/>
      <c r="U50" s="97" t="s">
        <v>1907</v>
      </c>
      <c r="V50" s="31"/>
      <c r="W50" s="31"/>
      <c r="X50" s="31"/>
      <c r="Y50" s="31"/>
      <c r="Z50" s="31"/>
      <c r="AA50" s="31"/>
      <c r="AB50" s="31"/>
      <c r="AC50" s="31"/>
      <c r="AD50" s="31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>
      <c r="A51" s="12">
        <v>47.0</v>
      </c>
      <c r="B51" s="123" t="s">
        <v>1723</v>
      </c>
      <c r="C51" s="212" t="s">
        <v>1724</v>
      </c>
      <c r="D51" s="212" t="s">
        <v>1725</v>
      </c>
      <c r="E51" s="212" t="s">
        <v>1726</v>
      </c>
      <c r="F51" s="212" t="s">
        <v>1727</v>
      </c>
      <c r="G51" s="123">
        <v>1.0</v>
      </c>
      <c r="H51" s="123" t="s">
        <v>1728</v>
      </c>
      <c r="I51" s="177">
        <v>46111.0</v>
      </c>
      <c r="J51" s="178"/>
      <c r="K51" s="197">
        <v>1978.0</v>
      </c>
      <c r="L51" s="123">
        <v>1.0</v>
      </c>
      <c r="M51" s="125">
        <f>K51*1</f>
        <v>1978</v>
      </c>
      <c r="N51" s="120" t="s">
        <v>28</v>
      </c>
      <c r="O51" s="185" t="s">
        <v>29</v>
      </c>
      <c r="P51" s="185" t="s">
        <v>40</v>
      </c>
      <c r="Q51" s="178"/>
      <c r="R51" s="185" t="s">
        <v>233</v>
      </c>
      <c r="S51" s="106" t="s">
        <v>31</v>
      </c>
      <c r="T51" s="315" t="s">
        <v>1908</v>
      </c>
      <c r="U51" s="178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>
      <c r="A52" s="12">
        <v>48.0</v>
      </c>
      <c r="B52" s="146" t="s">
        <v>1909</v>
      </c>
      <c r="C52" s="167" t="s">
        <v>1910</v>
      </c>
      <c r="D52" s="146" t="s">
        <v>1086</v>
      </c>
      <c r="E52" s="146" t="s">
        <v>1911</v>
      </c>
      <c r="F52" s="146" t="s">
        <v>1912</v>
      </c>
      <c r="G52" s="146">
        <v>110.0</v>
      </c>
      <c r="H52" s="295" t="s">
        <v>1913</v>
      </c>
      <c r="I52" s="321">
        <v>46111.0</v>
      </c>
      <c r="J52" s="321">
        <v>46113.0</v>
      </c>
      <c r="K52" s="197">
        <v>583.33</v>
      </c>
      <c r="L52" s="146">
        <v>3.0</v>
      </c>
      <c r="M52" s="126">
        <f>K52*3</f>
        <v>1749.99</v>
      </c>
      <c r="N52" s="304" t="s">
        <v>71</v>
      </c>
      <c r="O52" s="185" t="s">
        <v>91</v>
      </c>
      <c r="P52" s="185" t="s">
        <v>72</v>
      </c>
      <c r="Q52" s="146" t="s">
        <v>1914</v>
      </c>
      <c r="R52" s="185" t="s">
        <v>233</v>
      </c>
      <c r="S52" s="304" t="s">
        <v>129</v>
      </c>
      <c r="T52" s="313"/>
      <c r="U52" s="146" t="s">
        <v>1867</v>
      </c>
      <c r="V52" s="314"/>
      <c r="W52" s="314"/>
      <c r="X52" s="314"/>
      <c r="Y52" s="314"/>
      <c r="Z52" s="314"/>
      <c r="AA52" s="314"/>
      <c r="AB52" s="314"/>
      <c r="AC52" s="314"/>
      <c r="AD52" s="314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>
      <c r="A53" s="12">
        <v>49.0</v>
      </c>
      <c r="B53" s="106" t="s">
        <v>1837</v>
      </c>
      <c r="C53" s="106" t="s">
        <v>1838</v>
      </c>
      <c r="D53" s="106" t="s">
        <v>1839</v>
      </c>
      <c r="E53" s="106" t="s">
        <v>1840</v>
      </c>
      <c r="F53" s="106" t="s">
        <v>1841</v>
      </c>
      <c r="G53" s="106">
        <v>2.0</v>
      </c>
      <c r="H53" s="106" t="s">
        <v>65</v>
      </c>
      <c r="I53" s="108">
        <v>46112.0</v>
      </c>
      <c r="J53" s="317">
        <v>46132.0</v>
      </c>
      <c r="K53" s="89">
        <v>145.0</v>
      </c>
      <c r="L53" s="254">
        <v>12.0</v>
      </c>
      <c r="M53" s="89">
        <f>K53*12</f>
        <v>1740</v>
      </c>
      <c r="N53" s="120" t="s">
        <v>71</v>
      </c>
      <c r="O53" s="106" t="s">
        <v>29</v>
      </c>
      <c r="P53" s="120" t="s">
        <v>72</v>
      </c>
      <c r="Q53" s="120">
        <v>2790.0</v>
      </c>
      <c r="R53" s="106" t="s">
        <v>233</v>
      </c>
      <c r="S53" s="106" t="s">
        <v>31</v>
      </c>
      <c r="T53" s="129" t="s">
        <v>1915</v>
      </c>
      <c r="U53" s="123" t="s">
        <v>1867</v>
      </c>
      <c r="V53" s="3"/>
      <c r="W53" s="3"/>
      <c r="X53" s="3"/>
      <c r="Y53" s="3"/>
      <c r="Z53" s="3"/>
      <c r="AA53" s="3"/>
      <c r="AB53" s="3"/>
      <c r="AC53" s="3"/>
      <c r="AD53" s="3"/>
      <c r="AE53" s="314"/>
      <c r="AF53" s="314"/>
      <c r="AG53" s="314"/>
      <c r="AH53" s="314"/>
      <c r="AI53" s="314"/>
      <c r="AJ53" s="314"/>
      <c r="AK53" s="314"/>
      <c r="AL53" s="314"/>
      <c r="AM53" s="314"/>
      <c r="AN53" s="314"/>
      <c r="AO53" s="314"/>
      <c r="AP53" s="314"/>
      <c r="AQ53" s="314"/>
      <c r="AR53" s="314"/>
      <c r="AS53" s="314"/>
      <c r="AT53" s="314"/>
      <c r="AU53" s="314"/>
      <c r="AV53" s="314"/>
    </row>
    <row r="54">
      <c r="A54" s="12">
        <v>50.0</v>
      </c>
      <c r="B54" s="106" t="s">
        <v>1842</v>
      </c>
      <c r="C54" s="106" t="s">
        <v>1843</v>
      </c>
      <c r="D54" s="106" t="s">
        <v>1844</v>
      </c>
      <c r="E54" s="106" t="s">
        <v>1845</v>
      </c>
      <c r="F54" s="106" t="s">
        <v>1846</v>
      </c>
      <c r="G54" s="106">
        <v>1.0</v>
      </c>
      <c r="H54" s="106" t="s">
        <v>65</v>
      </c>
      <c r="I54" s="108">
        <v>46112.0</v>
      </c>
      <c r="J54" s="106"/>
      <c r="K54" s="89">
        <v>1898.88</v>
      </c>
      <c r="L54" s="254">
        <v>1.0</v>
      </c>
      <c r="M54" s="89">
        <f t="shared" ref="M54:M55" si="7">K54*1</f>
        <v>1898.88</v>
      </c>
      <c r="N54" s="120" t="s">
        <v>28</v>
      </c>
      <c r="O54" s="106" t="s">
        <v>29</v>
      </c>
      <c r="P54" s="106" t="s">
        <v>40</v>
      </c>
      <c r="Q54" s="106"/>
      <c r="R54" s="106" t="s">
        <v>233</v>
      </c>
      <c r="S54" s="106" t="s">
        <v>31</v>
      </c>
      <c r="T54" s="129" t="s">
        <v>1916</v>
      </c>
      <c r="U54" s="178"/>
      <c r="V54" s="3"/>
      <c r="W54" s="3"/>
      <c r="X54" s="3"/>
      <c r="Y54" s="3"/>
      <c r="Z54" s="3"/>
      <c r="AA54" s="3"/>
      <c r="AB54" s="3"/>
      <c r="AC54" s="3"/>
      <c r="AD54" s="3"/>
      <c r="AE54" s="314"/>
      <c r="AF54" s="314"/>
      <c r="AG54" s="314"/>
      <c r="AH54" s="314"/>
      <c r="AI54" s="314"/>
      <c r="AJ54" s="314"/>
      <c r="AK54" s="314"/>
      <c r="AL54" s="314"/>
      <c r="AM54" s="314"/>
      <c r="AN54" s="314"/>
      <c r="AO54" s="314"/>
      <c r="AP54" s="314"/>
      <c r="AQ54" s="314"/>
      <c r="AR54" s="314"/>
      <c r="AS54" s="314"/>
      <c r="AT54" s="314"/>
      <c r="AU54" s="314"/>
      <c r="AV54" s="314"/>
    </row>
    <row r="55">
      <c r="A55" s="12">
        <v>51.0</v>
      </c>
      <c r="B55" s="106" t="s">
        <v>1847</v>
      </c>
      <c r="C55" s="106" t="s">
        <v>1848</v>
      </c>
      <c r="D55" s="106" t="s">
        <v>1849</v>
      </c>
      <c r="E55" s="106" t="s">
        <v>1850</v>
      </c>
      <c r="F55" s="106" t="s">
        <v>1851</v>
      </c>
      <c r="G55" s="106">
        <v>1.0</v>
      </c>
      <c r="H55" s="106" t="s">
        <v>1852</v>
      </c>
      <c r="I55" s="108">
        <v>46112.0</v>
      </c>
      <c r="J55" s="106"/>
      <c r="K55" s="89">
        <v>5600.0</v>
      </c>
      <c r="L55" s="254">
        <v>1.0</v>
      </c>
      <c r="M55" s="89">
        <f t="shared" si="7"/>
        <v>5600</v>
      </c>
      <c r="N55" s="120" t="s">
        <v>28</v>
      </c>
      <c r="O55" s="106" t="s">
        <v>29</v>
      </c>
      <c r="P55" s="106" t="s">
        <v>40</v>
      </c>
      <c r="Q55" s="106"/>
      <c r="R55" s="106" t="s">
        <v>233</v>
      </c>
      <c r="S55" s="106" t="s">
        <v>31</v>
      </c>
      <c r="T55" s="129" t="s">
        <v>1917</v>
      </c>
      <c r="U55" s="178"/>
      <c r="V55" s="3"/>
      <c r="W55" s="3"/>
      <c r="X55" s="3"/>
      <c r="Y55" s="3"/>
      <c r="Z55" s="3"/>
      <c r="AA55" s="3"/>
      <c r="AB55" s="3"/>
      <c r="AC55" s="3"/>
      <c r="AD55" s="3"/>
      <c r="AE55" s="314"/>
      <c r="AF55" s="314"/>
      <c r="AG55" s="314"/>
      <c r="AH55" s="314"/>
      <c r="AI55" s="314"/>
      <c r="AJ55" s="314"/>
      <c r="AK55" s="314"/>
      <c r="AL55" s="314"/>
      <c r="AM55" s="314"/>
      <c r="AN55" s="314"/>
      <c r="AO55" s="314"/>
      <c r="AP55" s="314"/>
      <c r="AQ55" s="314"/>
      <c r="AR55" s="314"/>
      <c r="AS55" s="314"/>
      <c r="AT55" s="314"/>
      <c r="AU55" s="314"/>
      <c r="AV55" s="314"/>
    </row>
    <row r="56">
      <c r="A56" s="12">
        <v>52.0</v>
      </c>
      <c r="B56" s="303" t="s">
        <v>1918</v>
      </c>
      <c r="C56" s="303" t="s">
        <v>1919</v>
      </c>
      <c r="D56" s="303" t="s">
        <v>1920</v>
      </c>
      <c r="E56" s="106" t="s">
        <v>1921</v>
      </c>
      <c r="F56" s="303" t="s">
        <v>1922</v>
      </c>
      <c r="G56" s="303">
        <v>5.0</v>
      </c>
      <c r="H56" s="284" t="s">
        <v>123</v>
      </c>
      <c r="I56" s="305">
        <v>46112.0</v>
      </c>
      <c r="J56" s="338">
        <v>46114.0</v>
      </c>
      <c r="K56" s="132">
        <v>164.0</v>
      </c>
      <c r="L56" s="339">
        <v>12.0</v>
      </c>
      <c r="M56" s="132">
        <f t="shared" ref="M56:M59" si="8">K56*12</f>
        <v>1968</v>
      </c>
      <c r="N56" s="304" t="s">
        <v>71</v>
      </c>
      <c r="O56" s="304" t="s">
        <v>91</v>
      </c>
      <c r="P56" s="304" t="s">
        <v>72</v>
      </c>
      <c r="Q56" s="304">
        <v>2693.0</v>
      </c>
      <c r="R56" s="303" t="s">
        <v>73</v>
      </c>
      <c r="S56" s="303" t="s">
        <v>31</v>
      </c>
      <c r="T56" s="340"/>
      <c r="U56" s="341" t="s">
        <v>1923</v>
      </c>
      <c r="V56" s="314"/>
      <c r="W56" s="314"/>
      <c r="X56" s="314"/>
      <c r="Y56" s="314"/>
      <c r="Z56" s="314"/>
      <c r="AA56" s="314"/>
      <c r="AB56" s="314"/>
      <c r="AC56" s="314"/>
      <c r="AD56" s="314"/>
      <c r="AE56" s="314"/>
      <c r="AF56" s="314"/>
      <c r="AG56" s="314"/>
      <c r="AH56" s="314"/>
      <c r="AI56" s="314"/>
      <c r="AJ56" s="314"/>
      <c r="AK56" s="314"/>
      <c r="AL56" s="314"/>
      <c r="AM56" s="314"/>
      <c r="AN56" s="314"/>
      <c r="AO56" s="314"/>
      <c r="AP56" s="314"/>
      <c r="AQ56" s="314"/>
      <c r="AR56" s="314"/>
      <c r="AS56" s="314"/>
      <c r="AT56" s="314"/>
      <c r="AU56" s="314"/>
      <c r="AV56" s="314"/>
    </row>
    <row r="57">
      <c r="A57" s="12">
        <v>53.0</v>
      </c>
      <c r="B57" s="103" t="s">
        <v>1924</v>
      </c>
      <c r="C57" s="103" t="s">
        <v>1925</v>
      </c>
      <c r="D57" s="185" t="s">
        <v>1926</v>
      </c>
      <c r="E57" s="342" t="s">
        <v>1927</v>
      </c>
      <c r="F57" s="185" t="s">
        <v>1928</v>
      </c>
      <c r="G57" s="185">
        <v>4.0</v>
      </c>
      <c r="H57" s="185" t="s">
        <v>65</v>
      </c>
      <c r="I57" s="174">
        <v>46112.0</v>
      </c>
      <c r="J57" s="104"/>
      <c r="K57" s="197">
        <v>157.0</v>
      </c>
      <c r="L57" s="103">
        <v>12.0</v>
      </c>
      <c r="M57" s="175">
        <f t="shared" si="8"/>
        <v>1884</v>
      </c>
      <c r="N57" s="185" t="s">
        <v>58</v>
      </c>
      <c r="O57" s="185" t="s">
        <v>29</v>
      </c>
      <c r="P57" s="185" t="s">
        <v>40</v>
      </c>
      <c r="Q57" s="104"/>
      <c r="R57" s="185" t="s">
        <v>73</v>
      </c>
      <c r="S57" s="185" t="s">
        <v>148</v>
      </c>
      <c r="T57" s="343" t="s">
        <v>1929</v>
      </c>
      <c r="U57" s="343" t="s">
        <v>1930</v>
      </c>
      <c r="V57" s="54"/>
      <c r="W57" s="54"/>
      <c r="X57" s="54"/>
      <c r="Y57" s="54"/>
      <c r="Z57" s="54"/>
      <c r="AA57" s="54"/>
      <c r="AB57" s="54"/>
      <c r="AC57" s="54"/>
      <c r="AD57" s="54"/>
      <c r="AE57" s="344"/>
      <c r="AF57" s="344"/>
      <c r="AG57" s="344"/>
      <c r="AH57" s="344"/>
      <c r="AI57" s="344"/>
      <c r="AJ57" s="344"/>
      <c r="AK57" s="344"/>
      <c r="AL57" s="344"/>
      <c r="AM57" s="344"/>
      <c r="AN57" s="344"/>
      <c r="AO57" s="344"/>
      <c r="AP57" s="344"/>
      <c r="AQ57" s="344"/>
      <c r="AR57" s="344"/>
      <c r="AS57" s="344"/>
      <c r="AT57" s="344"/>
      <c r="AU57" s="344"/>
      <c r="AV57" s="344"/>
    </row>
    <row r="58">
      <c r="A58" s="12">
        <v>54.0</v>
      </c>
      <c r="B58" s="103" t="s">
        <v>1931</v>
      </c>
      <c r="C58" s="103" t="s">
        <v>1932</v>
      </c>
      <c r="D58" s="103" t="s">
        <v>1926</v>
      </c>
      <c r="E58" s="342" t="s">
        <v>1927</v>
      </c>
      <c r="F58" s="185" t="s">
        <v>1928</v>
      </c>
      <c r="G58" s="103">
        <v>23.0</v>
      </c>
      <c r="H58" s="103" t="s">
        <v>65</v>
      </c>
      <c r="I58" s="174">
        <v>46112.0</v>
      </c>
      <c r="J58" s="104"/>
      <c r="K58" s="197">
        <v>322.0</v>
      </c>
      <c r="L58" s="103">
        <v>12.0</v>
      </c>
      <c r="M58" s="175">
        <f t="shared" si="8"/>
        <v>3864</v>
      </c>
      <c r="N58" s="185" t="s">
        <v>58</v>
      </c>
      <c r="O58" s="185" t="s">
        <v>29</v>
      </c>
      <c r="P58" s="185" t="s">
        <v>40</v>
      </c>
      <c r="Q58" s="104"/>
      <c r="R58" s="185" t="s">
        <v>73</v>
      </c>
      <c r="S58" s="185" t="s">
        <v>148</v>
      </c>
      <c r="T58" s="343" t="s">
        <v>1929</v>
      </c>
      <c r="U58" s="343" t="s">
        <v>1930</v>
      </c>
      <c r="V58" s="54"/>
      <c r="W58" s="54"/>
      <c r="X58" s="54"/>
      <c r="Y58" s="54"/>
      <c r="Z58" s="54"/>
      <c r="AA58" s="54"/>
      <c r="AB58" s="54"/>
      <c r="AC58" s="54"/>
      <c r="AD58" s="54"/>
      <c r="AE58" s="314"/>
      <c r="AF58" s="314"/>
      <c r="AG58" s="314"/>
      <c r="AH58" s="314"/>
      <c r="AI58" s="314"/>
      <c r="AJ58" s="314"/>
      <c r="AK58" s="314"/>
      <c r="AL58" s="314"/>
      <c r="AM58" s="314"/>
      <c r="AN58" s="314"/>
      <c r="AO58" s="314"/>
      <c r="AP58" s="314"/>
      <c r="AQ58" s="314"/>
      <c r="AR58" s="314"/>
      <c r="AS58" s="314"/>
      <c r="AT58" s="314"/>
      <c r="AU58" s="314"/>
      <c r="AV58" s="314"/>
    </row>
    <row r="59">
      <c r="A59" s="12">
        <v>55.0</v>
      </c>
      <c r="B59" s="103" t="s">
        <v>1933</v>
      </c>
      <c r="C59" s="103" t="s">
        <v>1934</v>
      </c>
      <c r="D59" s="103" t="s">
        <v>1926</v>
      </c>
      <c r="E59" s="342" t="s">
        <v>1927</v>
      </c>
      <c r="F59" s="185" t="s">
        <v>1928</v>
      </c>
      <c r="G59" s="103">
        <v>9.0</v>
      </c>
      <c r="H59" s="103" t="s">
        <v>65</v>
      </c>
      <c r="I59" s="174">
        <v>46112.0</v>
      </c>
      <c r="J59" s="104"/>
      <c r="K59" s="197">
        <v>187.0</v>
      </c>
      <c r="L59" s="103">
        <v>12.0</v>
      </c>
      <c r="M59" s="175">
        <f t="shared" si="8"/>
        <v>2244</v>
      </c>
      <c r="N59" s="185" t="s">
        <v>58</v>
      </c>
      <c r="O59" s="185" t="s">
        <v>29</v>
      </c>
      <c r="P59" s="185" t="s">
        <v>40</v>
      </c>
      <c r="Q59" s="104"/>
      <c r="R59" s="185" t="s">
        <v>73</v>
      </c>
      <c r="S59" s="185" t="s">
        <v>148</v>
      </c>
      <c r="T59" s="343" t="s">
        <v>1929</v>
      </c>
      <c r="U59" s="343" t="s">
        <v>1930</v>
      </c>
      <c r="V59" s="54"/>
      <c r="W59" s="54"/>
      <c r="X59" s="54"/>
      <c r="Y59" s="54"/>
      <c r="Z59" s="54"/>
      <c r="AA59" s="54"/>
      <c r="AB59" s="54"/>
      <c r="AC59" s="54"/>
      <c r="AD59" s="54"/>
      <c r="AE59" s="314"/>
      <c r="AF59" s="314"/>
      <c r="AG59" s="314"/>
      <c r="AH59" s="314"/>
      <c r="AI59" s="314"/>
      <c r="AJ59" s="314"/>
      <c r="AK59" s="314"/>
      <c r="AL59" s="314"/>
      <c r="AM59" s="314"/>
      <c r="AN59" s="314"/>
      <c r="AO59" s="314"/>
      <c r="AP59" s="314"/>
      <c r="AQ59" s="314"/>
      <c r="AR59" s="314"/>
      <c r="AS59" s="314"/>
      <c r="AT59" s="314"/>
      <c r="AU59" s="314"/>
      <c r="AV59" s="314"/>
    </row>
    <row r="60">
      <c r="A60" s="12">
        <v>56.0</v>
      </c>
      <c r="B60" s="123" t="s">
        <v>1935</v>
      </c>
      <c r="C60" s="123" t="s">
        <v>1936</v>
      </c>
      <c r="D60" s="123" t="s">
        <v>502</v>
      </c>
      <c r="E60" s="123" t="s">
        <v>1937</v>
      </c>
      <c r="F60" s="337" t="s">
        <v>1938</v>
      </c>
      <c r="G60" s="123" t="s">
        <v>26</v>
      </c>
      <c r="H60" s="123" t="s">
        <v>711</v>
      </c>
      <c r="I60" s="177">
        <v>46112.0</v>
      </c>
      <c r="J60" s="178"/>
      <c r="K60" s="179" t="s">
        <v>57</v>
      </c>
      <c r="L60" s="123">
        <v>1.0</v>
      </c>
      <c r="M60" s="179">
        <v>800.0</v>
      </c>
      <c r="N60" s="185" t="s">
        <v>58</v>
      </c>
      <c r="O60" s="185" t="s">
        <v>29</v>
      </c>
      <c r="P60" s="185" t="s">
        <v>40</v>
      </c>
      <c r="Q60" s="178"/>
      <c r="R60" s="185" t="s">
        <v>73</v>
      </c>
      <c r="S60" s="185" t="s">
        <v>148</v>
      </c>
      <c r="T60" s="188"/>
      <c r="U60" s="123" t="s">
        <v>1900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>
      <c r="A61" s="12">
        <v>57.0</v>
      </c>
      <c r="B61" s="123" t="s">
        <v>1611</v>
      </c>
      <c r="C61" s="123" t="s">
        <v>565</v>
      </c>
      <c r="D61" s="123" t="s">
        <v>1612</v>
      </c>
      <c r="E61" s="123" t="s">
        <v>1939</v>
      </c>
      <c r="F61" s="337" t="s">
        <v>1940</v>
      </c>
      <c r="G61" s="123">
        <v>6.0</v>
      </c>
      <c r="H61" s="123" t="s">
        <v>1610</v>
      </c>
      <c r="I61" s="177">
        <v>46112.0</v>
      </c>
      <c r="J61" s="178"/>
      <c r="K61" s="179" t="s">
        <v>57</v>
      </c>
      <c r="L61" s="123">
        <v>1.0</v>
      </c>
      <c r="M61" s="179">
        <v>1800.0</v>
      </c>
      <c r="N61" s="185" t="s">
        <v>58</v>
      </c>
      <c r="O61" s="185" t="s">
        <v>29</v>
      </c>
      <c r="P61" s="185" t="s">
        <v>40</v>
      </c>
      <c r="Q61" s="178"/>
      <c r="R61" s="185" t="s">
        <v>73</v>
      </c>
      <c r="S61" s="185" t="s">
        <v>148</v>
      </c>
      <c r="T61" s="315" t="s">
        <v>1941</v>
      </c>
      <c r="U61" s="123" t="s">
        <v>1900</v>
      </c>
      <c r="V61" s="3"/>
      <c r="W61" s="3"/>
      <c r="X61" s="3"/>
      <c r="Y61" s="3"/>
      <c r="Z61" s="3"/>
      <c r="AA61" s="3"/>
      <c r="AB61" s="3"/>
      <c r="AC61" s="3"/>
      <c r="AD61" s="3"/>
      <c r="AE61" s="314"/>
      <c r="AF61" s="314"/>
      <c r="AG61" s="314"/>
      <c r="AH61" s="314"/>
      <c r="AI61" s="314"/>
      <c r="AJ61" s="314"/>
      <c r="AK61" s="314"/>
      <c r="AL61" s="314"/>
      <c r="AM61" s="314"/>
      <c r="AN61" s="314"/>
      <c r="AO61" s="314"/>
      <c r="AP61" s="314"/>
      <c r="AQ61" s="314"/>
      <c r="AR61" s="314"/>
      <c r="AS61" s="314"/>
      <c r="AT61" s="314"/>
      <c r="AU61" s="314"/>
      <c r="AV61" s="314"/>
    </row>
    <row r="62">
      <c r="A62" s="12">
        <v>58.0</v>
      </c>
      <c r="B62" s="295" t="s">
        <v>1942</v>
      </c>
      <c r="C62" s="345" t="s">
        <v>1943</v>
      </c>
      <c r="D62" s="146" t="s">
        <v>1944</v>
      </c>
      <c r="E62" s="106" t="s">
        <v>1945</v>
      </c>
      <c r="F62" s="146" t="s">
        <v>1946</v>
      </c>
      <c r="G62" s="146">
        <v>5.0</v>
      </c>
      <c r="H62" s="284" t="s">
        <v>123</v>
      </c>
      <c r="I62" s="321">
        <v>46112.0</v>
      </c>
      <c r="J62" s="321">
        <v>46113.0</v>
      </c>
      <c r="K62" s="126" t="s">
        <v>1268</v>
      </c>
      <c r="L62" s="146">
        <v>1.0</v>
      </c>
      <c r="M62" s="126">
        <v>1250.0</v>
      </c>
      <c r="N62" s="346" t="s">
        <v>71</v>
      </c>
      <c r="O62" s="346" t="s">
        <v>29</v>
      </c>
      <c r="P62" s="346" t="s">
        <v>72</v>
      </c>
      <c r="Q62" s="146">
        <v>2688.0</v>
      </c>
      <c r="R62" s="346" t="s">
        <v>73</v>
      </c>
      <c r="S62" s="346" t="s">
        <v>129</v>
      </c>
      <c r="T62" s="347"/>
      <c r="U62" s="146" t="s">
        <v>1867</v>
      </c>
      <c r="V62" s="348"/>
      <c r="W62" s="348"/>
      <c r="X62" s="348"/>
      <c r="Y62" s="348"/>
      <c r="Z62" s="348"/>
      <c r="AA62" s="348"/>
      <c r="AB62" s="348"/>
      <c r="AC62" s="348"/>
      <c r="AD62" s="348"/>
      <c r="AE62" s="314"/>
      <c r="AF62" s="314"/>
      <c r="AG62" s="314"/>
      <c r="AH62" s="314"/>
      <c r="AI62" s="314"/>
      <c r="AJ62" s="314"/>
      <c r="AK62" s="314"/>
      <c r="AL62" s="314"/>
      <c r="AM62" s="314"/>
      <c r="AN62" s="314"/>
      <c r="AO62" s="314"/>
      <c r="AP62" s="314"/>
      <c r="AQ62" s="314"/>
      <c r="AR62" s="314"/>
      <c r="AS62" s="314"/>
      <c r="AT62" s="314"/>
      <c r="AU62" s="314"/>
      <c r="AV62" s="314"/>
    </row>
    <row r="63">
      <c r="A63" s="12">
        <v>59.0</v>
      </c>
      <c r="B63" s="284" t="s">
        <v>1947</v>
      </c>
      <c r="C63" s="303" t="s">
        <v>1437</v>
      </c>
      <c r="D63" s="303" t="s">
        <v>1438</v>
      </c>
      <c r="E63" s="106" t="s">
        <v>1948</v>
      </c>
      <c r="F63" s="349" t="s">
        <v>1949</v>
      </c>
      <c r="G63" s="303">
        <v>1.0</v>
      </c>
      <c r="H63" s="304" t="s">
        <v>1950</v>
      </c>
      <c r="I63" s="305">
        <v>46113.0</v>
      </c>
      <c r="J63" s="338">
        <v>46114.0</v>
      </c>
      <c r="K63" s="132" t="s">
        <v>1268</v>
      </c>
      <c r="L63" s="339">
        <v>1.0</v>
      </c>
      <c r="M63" s="132">
        <v>440.0</v>
      </c>
      <c r="N63" s="304" t="s">
        <v>71</v>
      </c>
      <c r="O63" s="304" t="s">
        <v>91</v>
      </c>
      <c r="P63" s="304" t="s">
        <v>72</v>
      </c>
      <c r="Q63" s="304">
        <v>2699.0</v>
      </c>
      <c r="R63" s="303" t="s">
        <v>73</v>
      </c>
      <c r="S63" s="304" t="s">
        <v>148</v>
      </c>
      <c r="T63" s="340"/>
      <c r="U63" s="146" t="s">
        <v>1867</v>
      </c>
      <c r="V63" s="314"/>
      <c r="W63" s="314"/>
      <c r="X63" s="314"/>
      <c r="Y63" s="314"/>
      <c r="Z63" s="314"/>
      <c r="AA63" s="314"/>
      <c r="AB63" s="314"/>
      <c r="AC63" s="314"/>
      <c r="AD63" s="31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</row>
    <row r="64">
      <c r="A64" s="12">
        <v>60.0</v>
      </c>
      <c r="B64" s="350" t="s">
        <v>1951</v>
      </c>
      <c r="C64" s="351" t="s">
        <v>1952</v>
      </c>
      <c r="D64" s="350" t="s">
        <v>1953</v>
      </c>
      <c r="E64" s="106" t="s">
        <v>1954</v>
      </c>
      <c r="F64" s="350" t="s">
        <v>1955</v>
      </c>
      <c r="G64" s="350">
        <v>25.0</v>
      </c>
      <c r="H64" s="284" t="s">
        <v>123</v>
      </c>
      <c r="I64" s="336">
        <v>46113.0</v>
      </c>
      <c r="J64" s="336">
        <v>46135.0</v>
      </c>
      <c r="K64" s="215">
        <v>307.5</v>
      </c>
      <c r="L64" s="350">
        <v>12.0</v>
      </c>
      <c r="M64" s="352">
        <f>K64*12</f>
        <v>3690</v>
      </c>
      <c r="N64" s="353" t="s">
        <v>71</v>
      </c>
      <c r="O64" s="353" t="s">
        <v>29</v>
      </c>
      <c r="P64" s="353" t="s">
        <v>72</v>
      </c>
      <c r="Q64" s="295">
        <v>2815.0</v>
      </c>
      <c r="R64" s="353" t="s">
        <v>233</v>
      </c>
      <c r="S64" s="353" t="s">
        <v>129</v>
      </c>
      <c r="T64" s="354"/>
      <c r="U64" s="295" t="s">
        <v>1867</v>
      </c>
      <c r="V64" s="355"/>
      <c r="W64" s="355"/>
      <c r="X64" s="355"/>
      <c r="Y64" s="355"/>
      <c r="Z64" s="355"/>
      <c r="AA64" s="355"/>
      <c r="AB64" s="355"/>
      <c r="AC64" s="355"/>
      <c r="AD64" s="355"/>
      <c r="AE64" s="356"/>
      <c r="AF64" s="356"/>
      <c r="AG64" s="356"/>
      <c r="AH64" s="356"/>
      <c r="AI64" s="356"/>
      <c r="AJ64" s="356"/>
      <c r="AK64" s="356"/>
      <c r="AL64" s="356"/>
      <c r="AM64" s="356"/>
      <c r="AN64" s="356"/>
      <c r="AO64" s="356"/>
      <c r="AP64" s="356"/>
      <c r="AQ64" s="356"/>
      <c r="AR64" s="356"/>
      <c r="AS64" s="356"/>
      <c r="AT64" s="356"/>
      <c r="AU64" s="356"/>
      <c r="AV64" s="356"/>
    </row>
    <row r="65">
      <c r="A65" s="12">
        <v>61.0</v>
      </c>
      <c r="B65" s="106" t="s">
        <v>1956</v>
      </c>
      <c r="C65" s="106" t="s">
        <v>1957</v>
      </c>
      <c r="D65" s="106" t="s">
        <v>1958</v>
      </c>
      <c r="E65" s="106" t="s">
        <v>1959</v>
      </c>
      <c r="F65" s="106" t="s">
        <v>1960</v>
      </c>
      <c r="G65" s="106" t="s">
        <v>399</v>
      </c>
      <c r="H65" s="106" t="s">
        <v>1961</v>
      </c>
      <c r="I65" s="108">
        <v>46113.0</v>
      </c>
      <c r="J65" s="109"/>
      <c r="K65" s="89">
        <v>2200.0</v>
      </c>
      <c r="L65" s="254" t="s">
        <v>1191</v>
      </c>
      <c r="M65" s="89">
        <f>K65*3</f>
        <v>6600</v>
      </c>
      <c r="N65" s="106" t="s">
        <v>28</v>
      </c>
      <c r="O65" s="106" t="s">
        <v>29</v>
      </c>
      <c r="P65" s="106" t="s">
        <v>40</v>
      </c>
      <c r="Q65" s="91"/>
      <c r="R65" s="106" t="s">
        <v>73</v>
      </c>
      <c r="S65" s="106" t="s">
        <v>110</v>
      </c>
      <c r="T65" s="106" t="s">
        <v>1962</v>
      </c>
      <c r="U65" s="178"/>
      <c r="V65" s="3"/>
      <c r="W65" s="3"/>
      <c r="X65" s="3"/>
      <c r="Y65" s="3"/>
      <c r="Z65" s="3"/>
      <c r="AA65" s="3"/>
      <c r="AB65" s="3"/>
      <c r="AC65" s="3"/>
      <c r="AD65" s="3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</row>
    <row r="66">
      <c r="A66" s="12">
        <v>62.0</v>
      </c>
      <c r="B66" s="357" t="s">
        <v>1963</v>
      </c>
      <c r="C66" s="358" t="s">
        <v>1964</v>
      </c>
      <c r="D66" s="304" t="s">
        <v>1965</v>
      </c>
      <c r="E66" s="106" t="s">
        <v>1966</v>
      </c>
      <c r="F66" s="304" t="s">
        <v>1967</v>
      </c>
      <c r="G66" s="304">
        <v>3.0</v>
      </c>
      <c r="H66" s="284" t="s">
        <v>123</v>
      </c>
      <c r="I66" s="338">
        <v>46114.0</v>
      </c>
      <c r="J66" s="338">
        <v>46114.0</v>
      </c>
      <c r="K66" s="128">
        <v>151.0</v>
      </c>
      <c r="L66" s="339">
        <v>12.0</v>
      </c>
      <c r="M66" s="132">
        <f t="shared" ref="M66:M68" si="9">K66*12</f>
        <v>1812</v>
      </c>
      <c r="N66" s="304" t="s">
        <v>71</v>
      </c>
      <c r="O66" s="304" t="s">
        <v>29</v>
      </c>
      <c r="P66" s="304" t="s">
        <v>72</v>
      </c>
      <c r="Q66" s="304">
        <v>2695.0</v>
      </c>
      <c r="R66" s="304" t="s">
        <v>233</v>
      </c>
      <c r="S66" s="304" t="s">
        <v>31</v>
      </c>
      <c r="T66" s="340"/>
      <c r="U66" s="146" t="s">
        <v>1867</v>
      </c>
      <c r="V66" s="344"/>
      <c r="W66" s="344"/>
      <c r="X66" s="344"/>
      <c r="Y66" s="344"/>
      <c r="Z66" s="344"/>
      <c r="AA66" s="344"/>
      <c r="AB66" s="344"/>
      <c r="AC66" s="344"/>
      <c r="AD66" s="34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</row>
    <row r="67">
      <c r="A67" s="12">
        <v>63.0</v>
      </c>
      <c r="B67" s="359" t="s">
        <v>1968</v>
      </c>
      <c r="C67" s="359" t="s">
        <v>1969</v>
      </c>
      <c r="D67" s="185" t="s">
        <v>1970</v>
      </c>
      <c r="E67" s="360" t="s">
        <v>1971</v>
      </c>
      <c r="F67" s="196" t="s">
        <v>1972</v>
      </c>
      <c r="G67" s="185">
        <v>50.0</v>
      </c>
      <c r="H67" s="185" t="s">
        <v>65</v>
      </c>
      <c r="I67" s="174">
        <v>46114.0</v>
      </c>
      <c r="J67" s="104"/>
      <c r="K67" s="197">
        <v>665.0</v>
      </c>
      <c r="L67" s="103">
        <v>12.0</v>
      </c>
      <c r="M67" s="175">
        <f t="shared" si="9"/>
        <v>7980</v>
      </c>
      <c r="N67" s="185" t="s">
        <v>58</v>
      </c>
      <c r="O67" s="185" t="s">
        <v>29</v>
      </c>
      <c r="P67" s="185" t="s">
        <v>40</v>
      </c>
      <c r="Q67" s="104"/>
      <c r="R67" s="185" t="s">
        <v>73</v>
      </c>
      <c r="S67" s="185" t="s">
        <v>148</v>
      </c>
      <c r="T67" s="343" t="s">
        <v>1973</v>
      </c>
      <c r="U67" s="123" t="s">
        <v>1900</v>
      </c>
      <c r="V67" s="54"/>
      <c r="W67" s="54"/>
      <c r="X67" s="54"/>
      <c r="Y67" s="54"/>
      <c r="Z67" s="54"/>
      <c r="AA67" s="54"/>
      <c r="AB67" s="54"/>
      <c r="AC67" s="54"/>
      <c r="AD67" s="54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>
      <c r="A68" s="12">
        <v>64.0</v>
      </c>
      <c r="B68" s="123" t="s">
        <v>1974</v>
      </c>
      <c r="C68" s="123" t="s">
        <v>1975</v>
      </c>
      <c r="D68" s="123" t="s">
        <v>1976</v>
      </c>
      <c r="E68" s="123" t="s">
        <v>1977</v>
      </c>
      <c r="F68" s="337" t="s">
        <v>1978</v>
      </c>
      <c r="G68" s="123">
        <v>10.0</v>
      </c>
      <c r="H68" s="123" t="s">
        <v>65</v>
      </c>
      <c r="I68" s="177">
        <v>46114.0</v>
      </c>
      <c r="J68" s="178"/>
      <c r="K68" s="179">
        <v>166.18</v>
      </c>
      <c r="L68" s="123">
        <v>12.0</v>
      </c>
      <c r="M68" s="180">
        <f t="shared" si="9"/>
        <v>1994.16</v>
      </c>
      <c r="N68" s="185" t="s">
        <v>28</v>
      </c>
      <c r="O68" s="185" t="s">
        <v>29</v>
      </c>
      <c r="P68" s="185" t="s">
        <v>40</v>
      </c>
      <c r="Q68" s="178"/>
      <c r="R68" s="185" t="s">
        <v>1979</v>
      </c>
      <c r="S68" s="185" t="s">
        <v>148</v>
      </c>
      <c r="T68" s="315" t="s">
        <v>1980</v>
      </c>
      <c r="U68" s="178"/>
      <c r="V68" s="3"/>
      <c r="W68" s="3"/>
      <c r="X68" s="3"/>
      <c r="Y68" s="3"/>
      <c r="Z68" s="3"/>
      <c r="AA68" s="3"/>
      <c r="AB68" s="3"/>
      <c r="AC68" s="3"/>
      <c r="AD68" s="3"/>
      <c r="AE68" s="314"/>
      <c r="AF68" s="314"/>
      <c r="AG68" s="314"/>
      <c r="AH68" s="314"/>
      <c r="AI68" s="314"/>
      <c r="AJ68" s="314"/>
      <c r="AK68" s="314"/>
      <c r="AL68" s="314"/>
      <c r="AM68" s="314"/>
      <c r="AN68" s="314"/>
      <c r="AO68" s="314"/>
      <c r="AP68" s="314"/>
      <c r="AQ68" s="314"/>
      <c r="AR68" s="314"/>
      <c r="AS68" s="314"/>
      <c r="AT68" s="314"/>
      <c r="AU68" s="314"/>
      <c r="AV68" s="314"/>
    </row>
    <row r="69">
      <c r="A69" s="12">
        <v>65.0</v>
      </c>
      <c r="B69" s="123" t="s">
        <v>1981</v>
      </c>
      <c r="C69" s="123" t="s">
        <v>1982</v>
      </c>
      <c r="D69" s="123" t="s">
        <v>1983</v>
      </c>
      <c r="E69" s="123" t="s">
        <v>1984</v>
      </c>
      <c r="F69" s="123" t="s">
        <v>1985</v>
      </c>
      <c r="G69" s="123">
        <v>1.0</v>
      </c>
      <c r="H69" s="123" t="s">
        <v>1986</v>
      </c>
      <c r="I69" s="177">
        <v>46114.0</v>
      </c>
      <c r="J69" s="178"/>
      <c r="K69" s="179">
        <v>3800.0</v>
      </c>
      <c r="L69" s="123">
        <v>1.0</v>
      </c>
      <c r="M69" s="125">
        <f>K69*1</f>
        <v>3800</v>
      </c>
      <c r="N69" s="185" t="s">
        <v>28</v>
      </c>
      <c r="O69" s="185" t="s">
        <v>91</v>
      </c>
      <c r="P69" s="185" t="s">
        <v>40</v>
      </c>
      <c r="Q69" s="178"/>
      <c r="R69" s="185" t="s">
        <v>73</v>
      </c>
      <c r="S69" s="185" t="s">
        <v>31</v>
      </c>
      <c r="T69" s="315" t="s">
        <v>1987</v>
      </c>
      <c r="U69" s="178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>
      <c r="A70" s="12">
        <v>66.0</v>
      </c>
      <c r="B70" s="361" t="s">
        <v>1988</v>
      </c>
      <c r="C70" s="106" t="s">
        <v>1989</v>
      </c>
      <c r="D70" s="106" t="s">
        <v>1990</v>
      </c>
      <c r="E70" s="106" t="s">
        <v>1991</v>
      </c>
      <c r="F70" s="106" t="s">
        <v>1992</v>
      </c>
      <c r="G70" s="106">
        <v>5.0</v>
      </c>
      <c r="H70" s="107" t="s">
        <v>123</v>
      </c>
      <c r="I70" s="108">
        <v>46114.0</v>
      </c>
      <c r="J70" s="108">
        <v>46114.0</v>
      </c>
      <c r="K70" s="89">
        <v>163.0</v>
      </c>
      <c r="L70" s="254" t="s">
        <v>1178</v>
      </c>
      <c r="M70" s="89">
        <f t="shared" ref="M70:M74" si="10">K70*12</f>
        <v>1956</v>
      </c>
      <c r="N70" s="106" t="s">
        <v>71</v>
      </c>
      <c r="O70" s="106" t="s">
        <v>29</v>
      </c>
      <c r="P70" s="106" t="s">
        <v>72</v>
      </c>
      <c r="Q70" s="86">
        <v>2694.0</v>
      </c>
      <c r="R70" s="106" t="s">
        <v>41</v>
      </c>
      <c r="S70" s="106" t="s">
        <v>110</v>
      </c>
      <c r="T70" s="91"/>
      <c r="U70" s="146" t="s">
        <v>1867</v>
      </c>
      <c r="V70" s="362"/>
      <c r="W70" s="362"/>
      <c r="X70" s="362"/>
      <c r="Y70" s="362"/>
      <c r="Z70" s="362"/>
      <c r="AA70" s="362"/>
      <c r="AB70" s="362"/>
      <c r="AC70" s="362"/>
      <c r="AD70" s="362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>
      <c r="A71" s="12">
        <v>67.0</v>
      </c>
      <c r="B71" s="361" t="s">
        <v>1993</v>
      </c>
      <c r="C71" s="106" t="s">
        <v>1994</v>
      </c>
      <c r="D71" s="106" t="s">
        <v>1990</v>
      </c>
      <c r="E71" s="106" t="s">
        <v>1991</v>
      </c>
      <c r="F71" s="106" t="s">
        <v>1992</v>
      </c>
      <c r="G71" s="106">
        <v>7.0</v>
      </c>
      <c r="H71" s="107" t="s">
        <v>123</v>
      </c>
      <c r="I71" s="108">
        <v>46114.0</v>
      </c>
      <c r="J71" s="108">
        <v>46118.0</v>
      </c>
      <c r="K71" s="89">
        <v>175.0</v>
      </c>
      <c r="L71" s="254" t="s">
        <v>1178</v>
      </c>
      <c r="M71" s="89">
        <f t="shared" si="10"/>
        <v>2100</v>
      </c>
      <c r="N71" s="86" t="s">
        <v>71</v>
      </c>
      <c r="O71" s="106" t="s">
        <v>29</v>
      </c>
      <c r="P71" s="86" t="s">
        <v>72</v>
      </c>
      <c r="Q71" s="106">
        <v>2697.0</v>
      </c>
      <c r="R71" s="106" t="s">
        <v>41</v>
      </c>
      <c r="S71" s="106" t="s">
        <v>110</v>
      </c>
      <c r="T71" s="91"/>
      <c r="U71" s="146" t="s">
        <v>1867</v>
      </c>
      <c r="V71" s="362"/>
      <c r="W71" s="362"/>
      <c r="X71" s="362"/>
      <c r="Y71" s="362"/>
      <c r="Z71" s="362"/>
      <c r="AA71" s="362"/>
      <c r="AB71" s="362"/>
      <c r="AC71" s="362"/>
      <c r="AD71" s="362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>
      <c r="A72" s="12">
        <v>68.0</v>
      </c>
      <c r="B72" s="123" t="s">
        <v>1995</v>
      </c>
      <c r="C72" s="123" t="s">
        <v>1996</v>
      </c>
      <c r="D72" s="123" t="s">
        <v>1997</v>
      </c>
      <c r="E72" s="123" t="s">
        <v>1998</v>
      </c>
      <c r="F72" s="123" t="s">
        <v>1999</v>
      </c>
      <c r="G72" s="123">
        <v>5.0</v>
      </c>
      <c r="H72" s="123" t="s">
        <v>65</v>
      </c>
      <c r="I72" s="177">
        <v>46114.0</v>
      </c>
      <c r="J72" s="178"/>
      <c r="K72" s="179">
        <v>170.0</v>
      </c>
      <c r="L72" s="123">
        <v>12.0</v>
      </c>
      <c r="M72" s="180">
        <f t="shared" si="10"/>
        <v>2040</v>
      </c>
      <c r="N72" s="185" t="s">
        <v>28</v>
      </c>
      <c r="O72" s="185" t="s">
        <v>29</v>
      </c>
      <c r="P72" s="185" t="s">
        <v>40</v>
      </c>
      <c r="Q72" s="178"/>
      <c r="R72" s="185" t="s">
        <v>233</v>
      </c>
      <c r="S72" s="185" t="s">
        <v>31</v>
      </c>
      <c r="T72" s="315" t="s">
        <v>2000</v>
      </c>
      <c r="U72" s="178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>
      <c r="A73" s="12">
        <v>69.0</v>
      </c>
      <c r="B73" s="106" t="s">
        <v>2001</v>
      </c>
      <c r="C73" s="193" t="s">
        <v>2002</v>
      </c>
      <c r="D73" s="120" t="s">
        <v>1990</v>
      </c>
      <c r="E73" s="106" t="s">
        <v>2003</v>
      </c>
      <c r="F73" s="207" t="s">
        <v>2004</v>
      </c>
      <c r="G73" s="106">
        <v>5.0</v>
      </c>
      <c r="H73" s="106" t="s">
        <v>123</v>
      </c>
      <c r="I73" s="177">
        <v>46118.0</v>
      </c>
      <c r="J73" s="336">
        <v>46135.0</v>
      </c>
      <c r="K73" s="179">
        <v>188.0</v>
      </c>
      <c r="L73" s="123">
        <v>12.0</v>
      </c>
      <c r="M73" s="180">
        <f t="shared" si="10"/>
        <v>2256</v>
      </c>
      <c r="N73" s="120" t="s">
        <v>71</v>
      </c>
      <c r="O73" s="185" t="s">
        <v>29</v>
      </c>
      <c r="P73" s="185" t="s">
        <v>72</v>
      </c>
      <c r="Q73" s="146">
        <v>2800.0</v>
      </c>
      <c r="R73" s="185" t="s">
        <v>233</v>
      </c>
      <c r="S73" s="120" t="s">
        <v>129</v>
      </c>
      <c r="T73" s="315" t="s">
        <v>2005</v>
      </c>
      <c r="U73" s="123" t="s">
        <v>1867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>
      <c r="A74" s="12">
        <v>70.0</v>
      </c>
      <c r="B74" s="146" t="s">
        <v>2006</v>
      </c>
      <c r="C74" s="363" t="s">
        <v>2007</v>
      </c>
      <c r="D74" s="304" t="s">
        <v>1990</v>
      </c>
      <c r="E74" s="106" t="s">
        <v>2003</v>
      </c>
      <c r="F74" s="364" t="s">
        <v>2008</v>
      </c>
      <c r="G74" s="303">
        <v>143.0</v>
      </c>
      <c r="H74" s="303" t="s">
        <v>123</v>
      </c>
      <c r="I74" s="321">
        <v>46118.0</v>
      </c>
      <c r="J74" s="321">
        <v>46122.0</v>
      </c>
      <c r="K74" s="126">
        <v>1247.43</v>
      </c>
      <c r="L74" s="146">
        <v>12.0</v>
      </c>
      <c r="M74" s="209">
        <f t="shared" si="10"/>
        <v>14969.16</v>
      </c>
      <c r="N74" s="304" t="s">
        <v>71</v>
      </c>
      <c r="O74" s="185" t="s">
        <v>29</v>
      </c>
      <c r="P74" s="185" t="s">
        <v>72</v>
      </c>
      <c r="Q74" s="146">
        <v>2729.0</v>
      </c>
      <c r="R74" s="185" t="s">
        <v>233</v>
      </c>
      <c r="S74" s="304" t="s">
        <v>129</v>
      </c>
      <c r="T74" s="313"/>
      <c r="U74" s="146" t="s">
        <v>1867</v>
      </c>
      <c r="V74" s="314"/>
      <c r="W74" s="314"/>
      <c r="X74" s="314"/>
      <c r="Y74" s="314"/>
      <c r="Z74" s="314"/>
      <c r="AA74" s="314"/>
      <c r="AB74" s="314"/>
      <c r="AC74" s="314"/>
      <c r="AD74" s="314"/>
      <c r="AE74" s="314"/>
      <c r="AF74" s="314"/>
      <c r="AG74" s="314"/>
      <c r="AH74" s="314"/>
      <c r="AI74" s="314"/>
      <c r="AJ74" s="314"/>
      <c r="AK74" s="314"/>
      <c r="AL74" s="314"/>
      <c r="AM74" s="314"/>
      <c r="AN74" s="314"/>
      <c r="AO74" s="314"/>
      <c r="AP74" s="314"/>
      <c r="AQ74" s="314"/>
      <c r="AR74" s="314"/>
      <c r="AS74" s="314"/>
      <c r="AT74" s="314"/>
      <c r="AU74" s="314"/>
      <c r="AV74" s="314"/>
    </row>
    <row r="75">
      <c r="A75" s="12">
        <v>71.0</v>
      </c>
      <c r="B75" s="146" t="s">
        <v>2009</v>
      </c>
      <c r="C75" s="351" t="s">
        <v>1213</v>
      </c>
      <c r="D75" s="304" t="s">
        <v>2010</v>
      </c>
      <c r="E75" s="106" t="s">
        <v>1215</v>
      </c>
      <c r="F75" s="365" t="s">
        <v>2011</v>
      </c>
      <c r="G75" s="304">
        <v>16.0</v>
      </c>
      <c r="H75" s="304" t="s">
        <v>1217</v>
      </c>
      <c r="I75" s="321">
        <v>46118.0</v>
      </c>
      <c r="J75" s="321">
        <v>46119.0</v>
      </c>
      <c r="K75" s="126" t="s">
        <v>1268</v>
      </c>
      <c r="L75" s="146">
        <v>1.0</v>
      </c>
      <c r="M75" s="126">
        <v>2500.0</v>
      </c>
      <c r="N75" s="304" t="s">
        <v>71</v>
      </c>
      <c r="O75" s="185" t="s">
        <v>29</v>
      </c>
      <c r="P75" s="185" t="s">
        <v>72</v>
      </c>
      <c r="Q75" s="146">
        <v>2711.0</v>
      </c>
      <c r="R75" s="185" t="s">
        <v>233</v>
      </c>
      <c r="S75" s="304" t="s">
        <v>129</v>
      </c>
      <c r="T75" s="313"/>
      <c r="U75" s="146" t="s">
        <v>1867</v>
      </c>
      <c r="V75" s="314"/>
      <c r="W75" s="314"/>
      <c r="X75" s="314"/>
      <c r="Y75" s="314"/>
      <c r="Z75" s="314"/>
      <c r="AA75" s="314"/>
      <c r="AB75" s="314"/>
      <c r="AC75" s="314"/>
      <c r="AD75" s="314"/>
      <c r="AE75" s="366"/>
      <c r="AF75" s="366"/>
      <c r="AG75" s="366"/>
      <c r="AH75" s="366"/>
      <c r="AI75" s="366"/>
      <c r="AJ75" s="366"/>
      <c r="AK75" s="366"/>
      <c r="AL75" s="366"/>
      <c r="AM75" s="366"/>
      <c r="AN75" s="366"/>
      <c r="AO75" s="366"/>
      <c r="AP75" s="366"/>
      <c r="AQ75" s="366"/>
      <c r="AR75" s="366"/>
      <c r="AS75" s="366"/>
      <c r="AT75" s="366"/>
      <c r="AU75" s="366"/>
      <c r="AV75" s="366"/>
    </row>
    <row r="76">
      <c r="A76" s="12">
        <v>72.0</v>
      </c>
      <c r="B76" s="123" t="s">
        <v>2012</v>
      </c>
      <c r="C76" s="123" t="s">
        <v>2013</v>
      </c>
      <c r="D76" s="123" t="s">
        <v>2014</v>
      </c>
      <c r="E76" s="123" t="s">
        <v>2015</v>
      </c>
      <c r="F76" s="123" t="s">
        <v>2016</v>
      </c>
      <c r="G76" s="123">
        <v>1.0</v>
      </c>
      <c r="H76" s="123" t="s">
        <v>65</v>
      </c>
      <c r="I76" s="177">
        <v>46118.0</v>
      </c>
      <c r="J76" s="178"/>
      <c r="K76" s="179">
        <v>139.0</v>
      </c>
      <c r="L76" s="123">
        <v>12.0</v>
      </c>
      <c r="M76" s="180">
        <f t="shared" ref="M76:M77" si="11">K76*12</f>
        <v>1668</v>
      </c>
      <c r="N76" s="185" t="s">
        <v>58</v>
      </c>
      <c r="O76" s="185" t="s">
        <v>29</v>
      </c>
      <c r="P76" s="185" t="s">
        <v>40</v>
      </c>
      <c r="Q76" s="178"/>
      <c r="R76" s="185" t="s">
        <v>1979</v>
      </c>
      <c r="S76" s="185" t="s">
        <v>148</v>
      </c>
      <c r="T76" s="188"/>
      <c r="U76" s="178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>
      <c r="A77" s="12">
        <v>73.0</v>
      </c>
      <c r="B77" s="146" t="s">
        <v>2017</v>
      </c>
      <c r="C77" s="146" t="s">
        <v>2018</v>
      </c>
      <c r="D77" s="146" t="s">
        <v>321</v>
      </c>
      <c r="E77" s="106" t="s">
        <v>2019</v>
      </c>
      <c r="F77" s="367" t="s">
        <v>2020</v>
      </c>
      <c r="G77" s="146">
        <v>1.0</v>
      </c>
      <c r="H77" s="284" t="s">
        <v>123</v>
      </c>
      <c r="I77" s="321">
        <v>46118.0</v>
      </c>
      <c r="J77" s="368">
        <v>46121.0</v>
      </c>
      <c r="K77" s="126">
        <v>139.0</v>
      </c>
      <c r="L77" s="146">
        <v>12.0</v>
      </c>
      <c r="M77" s="209">
        <f t="shared" si="11"/>
        <v>1668</v>
      </c>
      <c r="N77" s="185" t="s">
        <v>71</v>
      </c>
      <c r="O77" s="185" t="s">
        <v>29</v>
      </c>
      <c r="P77" s="185" t="s">
        <v>72</v>
      </c>
      <c r="Q77" s="146">
        <v>2734.0</v>
      </c>
      <c r="R77" s="185" t="s">
        <v>73</v>
      </c>
      <c r="S77" s="185" t="s">
        <v>148</v>
      </c>
      <c r="T77" s="313"/>
      <c r="U77" s="146" t="s">
        <v>1867</v>
      </c>
      <c r="V77" s="314"/>
      <c r="W77" s="314"/>
      <c r="X77" s="314"/>
      <c r="Y77" s="314"/>
      <c r="Z77" s="314"/>
      <c r="AA77" s="314"/>
      <c r="AB77" s="314"/>
      <c r="AC77" s="314"/>
      <c r="AD77" s="314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</row>
    <row r="78">
      <c r="A78" s="12">
        <v>74.0</v>
      </c>
      <c r="B78" s="176" t="s">
        <v>2021</v>
      </c>
      <c r="C78" s="270" t="s">
        <v>2022</v>
      </c>
      <c r="D78" s="86" t="s">
        <v>2023</v>
      </c>
      <c r="E78" s="106" t="s">
        <v>2024</v>
      </c>
      <c r="F78" s="86" t="s">
        <v>2025</v>
      </c>
      <c r="G78" s="86">
        <v>30.0</v>
      </c>
      <c r="H78" s="86" t="s">
        <v>254</v>
      </c>
      <c r="I78" s="108">
        <v>46118.0</v>
      </c>
      <c r="J78" s="108">
        <v>46118.0</v>
      </c>
      <c r="K78" s="89">
        <v>375.0</v>
      </c>
      <c r="L78" s="254" t="s">
        <v>1278</v>
      </c>
      <c r="M78" s="89">
        <f t="shared" ref="M78:M79" si="12">K78*4</f>
        <v>1500</v>
      </c>
      <c r="N78" s="86" t="s">
        <v>71</v>
      </c>
      <c r="O78" s="86" t="s">
        <v>29</v>
      </c>
      <c r="P78" s="86" t="s">
        <v>72</v>
      </c>
      <c r="Q78" s="106">
        <v>2712.0</v>
      </c>
      <c r="R78" s="86" t="s">
        <v>233</v>
      </c>
      <c r="S78" s="86" t="s">
        <v>110</v>
      </c>
      <c r="T78" s="90"/>
      <c r="U78" s="123" t="s">
        <v>1867</v>
      </c>
      <c r="V78" s="3"/>
      <c r="W78" s="3"/>
      <c r="X78" s="3"/>
      <c r="Y78" s="3"/>
      <c r="Z78" s="3"/>
      <c r="AA78" s="3"/>
      <c r="AB78" s="3"/>
      <c r="AC78" s="3"/>
      <c r="AD78" s="3"/>
      <c r="AE78" s="348"/>
      <c r="AF78" s="348"/>
      <c r="AG78" s="348"/>
      <c r="AH78" s="348"/>
      <c r="AI78" s="348"/>
      <c r="AJ78" s="348"/>
      <c r="AK78" s="348"/>
      <c r="AL78" s="348"/>
      <c r="AM78" s="348"/>
      <c r="AN78" s="348"/>
      <c r="AO78" s="348"/>
      <c r="AP78" s="348"/>
      <c r="AQ78" s="348"/>
      <c r="AR78" s="348"/>
      <c r="AS78" s="348"/>
      <c r="AT78" s="348"/>
      <c r="AU78" s="348"/>
      <c r="AV78" s="348"/>
    </row>
    <row r="79">
      <c r="A79" s="12">
        <v>75.0</v>
      </c>
      <c r="B79" s="106" t="s">
        <v>2026</v>
      </c>
      <c r="C79" s="106" t="s">
        <v>2027</v>
      </c>
      <c r="D79" s="86" t="s">
        <v>2028</v>
      </c>
      <c r="E79" s="86" t="s">
        <v>2024</v>
      </c>
      <c r="F79" s="106" t="s">
        <v>2029</v>
      </c>
      <c r="G79" s="106">
        <v>10.0</v>
      </c>
      <c r="H79" s="106" t="s">
        <v>254</v>
      </c>
      <c r="I79" s="108">
        <v>46118.0</v>
      </c>
      <c r="J79" s="108">
        <v>46119.0</v>
      </c>
      <c r="K79" s="89">
        <v>212.5</v>
      </c>
      <c r="L79" s="254" t="s">
        <v>1278</v>
      </c>
      <c r="M79" s="89">
        <f t="shared" si="12"/>
        <v>850</v>
      </c>
      <c r="N79" s="86" t="s">
        <v>71</v>
      </c>
      <c r="O79" s="106" t="s">
        <v>29</v>
      </c>
      <c r="P79" s="86" t="s">
        <v>72</v>
      </c>
      <c r="Q79" s="106">
        <v>2711.0</v>
      </c>
      <c r="R79" s="106" t="s">
        <v>233</v>
      </c>
      <c r="S79" s="106" t="s">
        <v>110</v>
      </c>
      <c r="T79" s="91"/>
      <c r="U79" s="146" t="s">
        <v>1867</v>
      </c>
      <c r="V79" s="362"/>
      <c r="W79" s="362"/>
      <c r="X79" s="362"/>
      <c r="Y79" s="362"/>
      <c r="Z79" s="362"/>
      <c r="AA79" s="362"/>
      <c r="AB79" s="362"/>
      <c r="AC79" s="362"/>
      <c r="AD79" s="362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>
      <c r="A80" s="12">
        <v>76.0</v>
      </c>
      <c r="B80" s="106" t="s">
        <v>2030</v>
      </c>
      <c r="C80" s="106" t="s">
        <v>2031</v>
      </c>
      <c r="D80" s="86" t="s">
        <v>2032</v>
      </c>
      <c r="E80" s="86" t="s">
        <v>2033</v>
      </c>
      <c r="F80" s="106" t="s">
        <v>2034</v>
      </c>
      <c r="G80" s="254">
        <v>15.0</v>
      </c>
      <c r="H80" s="257" t="s">
        <v>123</v>
      </c>
      <c r="I80" s="108">
        <v>46120.0</v>
      </c>
      <c r="J80" s="108">
        <v>46120.0</v>
      </c>
      <c r="K80" s="89">
        <v>223.05</v>
      </c>
      <c r="L80" s="254" t="s">
        <v>1178</v>
      </c>
      <c r="M80" s="89">
        <f>K80*12</f>
        <v>2676.6</v>
      </c>
      <c r="N80" s="86" t="s">
        <v>71</v>
      </c>
      <c r="O80" s="106" t="s">
        <v>29</v>
      </c>
      <c r="P80" s="86" t="s">
        <v>72</v>
      </c>
      <c r="Q80" s="106">
        <v>2715.0</v>
      </c>
      <c r="R80" s="106" t="s">
        <v>233</v>
      </c>
      <c r="S80" s="106" t="s">
        <v>110</v>
      </c>
      <c r="T80" s="91"/>
      <c r="U80" s="146" t="s">
        <v>1867</v>
      </c>
      <c r="V80" s="369"/>
      <c r="W80" s="369"/>
      <c r="X80" s="369"/>
      <c r="Y80" s="369"/>
      <c r="Z80" s="369"/>
      <c r="AA80" s="369"/>
      <c r="AB80" s="369"/>
      <c r="AC80" s="362"/>
      <c r="AD80" s="362"/>
      <c r="AE80" s="314"/>
      <c r="AF80" s="314"/>
      <c r="AG80" s="314"/>
      <c r="AH80" s="314"/>
      <c r="AI80" s="314"/>
      <c r="AJ80" s="314"/>
      <c r="AK80" s="314"/>
      <c r="AL80" s="314"/>
      <c r="AM80" s="314"/>
      <c r="AN80" s="314"/>
      <c r="AO80" s="314"/>
      <c r="AP80" s="314"/>
      <c r="AQ80" s="314"/>
      <c r="AR80" s="314"/>
      <c r="AS80" s="314"/>
      <c r="AT80" s="314"/>
      <c r="AU80" s="314"/>
      <c r="AV80" s="314"/>
    </row>
    <row r="81">
      <c r="A81" s="12">
        <v>77.0</v>
      </c>
      <c r="B81" s="106" t="s">
        <v>2035</v>
      </c>
      <c r="C81" s="205" t="s">
        <v>2036</v>
      </c>
      <c r="D81" s="106" t="s">
        <v>2037</v>
      </c>
      <c r="E81" s="106" t="s">
        <v>2038</v>
      </c>
      <c r="F81" s="207" t="s">
        <v>2039</v>
      </c>
      <c r="G81" s="106">
        <v>11.0</v>
      </c>
      <c r="H81" s="106" t="s">
        <v>254</v>
      </c>
      <c r="I81" s="108">
        <v>46120.0</v>
      </c>
      <c r="J81" s="108">
        <v>46121.0</v>
      </c>
      <c r="K81" s="89">
        <v>80.0</v>
      </c>
      <c r="L81" s="254" t="s">
        <v>1261</v>
      </c>
      <c r="M81" s="89">
        <v>800.0</v>
      </c>
      <c r="N81" s="106" t="s">
        <v>71</v>
      </c>
      <c r="O81" s="106" t="s">
        <v>29</v>
      </c>
      <c r="P81" s="106" t="s">
        <v>72</v>
      </c>
      <c r="Q81" s="106">
        <v>2723.0</v>
      </c>
      <c r="R81" s="106" t="s">
        <v>233</v>
      </c>
      <c r="S81" s="106" t="s">
        <v>110</v>
      </c>
      <c r="T81" s="91"/>
      <c r="U81" s="123" t="s">
        <v>1867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>
      <c r="A82" s="12">
        <v>78.0</v>
      </c>
      <c r="B82" s="106" t="s">
        <v>2040</v>
      </c>
      <c r="C82" s="106" t="s">
        <v>2041</v>
      </c>
      <c r="D82" s="106" t="s">
        <v>2042</v>
      </c>
      <c r="E82" s="106" t="s">
        <v>2043</v>
      </c>
      <c r="F82" s="106" t="s">
        <v>2044</v>
      </c>
      <c r="G82" s="106">
        <v>4.0</v>
      </c>
      <c r="H82" s="106" t="s">
        <v>2045</v>
      </c>
      <c r="I82" s="108">
        <v>46120.0</v>
      </c>
      <c r="J82" s="108">
        <v>46121.0</v>
      </c>
      <c r="K82" s="89" t="s">
        <v>399</v>
      </c>
      <c r="L82" s="254" t="s">
        <v>1218</v>
      </c>
      <c r="M82" s="89">
        <v>7160.0</v>
      </c>
      <c r="N82" s="106" t="s">
        <v>71</v>
      </c>
      <c r="O82" s="106" t="s">
        <v>29</v>
      </c>
      <c r="P82" s="106" t="s">
        <v>72</v>
      </c>
      <c r="Q82" s="106">
        <v>2722.0</v>
      </c>
      <c r="R82" s="106" t="s">
        <v>233</v>
      </c>
      <c r="S82" s="106" t="s">
        <v>110</v>
      </c>
      <c r="T82" s="91"/>
      <c r="U82" s="123" t="s">
        <v>1867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>
      <c r="A83" s="12">
        <v>79.0</v>
      </c>
      <c r="B83" s="106" t="s">
        <v>2046</v>
      </c>
      <c r="C83" s="106" t="s">
        <v>2047</v>
      </c>
      <c r="D83" s="106" t="s">
        <v>2048</v>
      </c>
      <c r="E83" s="106" t="s">
        <v>2049</v>
      </c>
      <c r="F83" s="106" t="s">
        <v>2050</v>
      </c>
      <c r="G83" s="106">
        <v>1.0</v>
      </c>
      <c r="H83" s="107" t="s">
        <v>123</v>
      </c>
      <c r="I83" s="108">
        <v>46119.0</v>
      </c>
      <c r="J83" s="109"/>
      <c r="K83" s="89">
        <v>139.0</v>
      </c>
      <c r="L83" s="254" t="s">
        <v>1178</v>
      </c>
      <c r="M83" s="89">
        <f t="shared" ref="M83:M84" si="13">K83*12</f>
        <v>1668</v>
      </c>
      <c r="N83" s="106" t="s">
        <v>28</v>
      </c>
      <c r="O83" s="106" t="s">
        <v>29</v>
      </c>
      <c r="P83" s="106" t="s">
        <v>40</v>
      </c>
      <c r="Q83" s="90"/>
      <c r="R83" s="106" t="s">
        <v>73</v>
      </c>
      <c r="S83" s="106" t="s">
        <v>110</v>
      </c>
      <c r="T83" s="370" t="s">
        <v>2051</v>
      </c>
      <c r="U83" s="123" t="s">
        <v>1867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>
      <c r="A84" s="12">
        <v>80.0</v>
      </c>
      <c r="B84" s="146" t="s">
        <v>2052</v>
      </c>
      <c r="C84" s="371" t="s">
        <v>2053</v>
      </c>
      <c r="D84" s="146" t="s">
        <v>2054</v>
      </c>
      <c r="E84" s="365" t="s">
        <v>2055</v>
      </c>
      <c r="F84" s="146" t="s">
        <v>2056</v>
      </c>
      <c r="G84" s="146">
        <v>9.0</v>
      </c>
      <c r="H84" s="303" t="s">
        <v>123</v>
      </c>
      <c r="I84" s="321">
        <v>46119.0</v>
      </c>
      <c r="J84" s="338">
        <v>46121.0</v>
      </c>
      <c r="K84" s="126">
        <v>200.0</v>
      </c>
      <c r="L84" s="146">
        <v>12.0</v>
      </c>
      <c r="M84" s="209">
        <f t="shared" si="13"/>
        <v>2400</v>
      </c>
      <c r="N84" s="185" t="s">
        <v>71</v>
      </c>
      <c r="O84" s="185" t="s">
        <v>29</v>
      </c>
      <c r="P84" s="185" t="s">
        <v>72</v>
      </c>
      <c r="Q84" s="146">
        <v>2725.0</v>
      </c>
      <c r="R84" s="185" t="s">
        <v>73</v>
      </c>
      <c r="S84" s="185" t="s">
        <v>31</v>
      </c>
      <c r="T84" s="323" t="s">
        <v>2057</v>
      </c>
      <c r="U84" s="146" t="s">
        <v>1867</v>
      </c>
      <c r="V84" s="314"/>
      <c r="W84" s="314"/>
      <c r="X84" s="314"/>
      <c r="Y84" s="314"/>
      <c r="Z84" s="314"/>
      <c r="AA84" s="314"/>
      <c r="AB84" s="314"/>
      <c r="AC84" s="314"/>
      <c r="AD84" s="314"/>
      <c r="AE84" s="362"/>
      <c r="AF84" s="362"/>
      <c r="AG84" s="362"/>
      <c r="AH84" s="362"/>
      <c r="AI84" s="362"/>
      <c r="AJ84" s="362"/>
      <c r="AK84" s="362"/>
      <c r="AL84" s="362"/>
      <c r="AM84" s="362"/>
      <c r="AN84" s="362"/>
      <c r="AO84" s="362"/>
      <c r="AP84" s="362"/>
      <c r="AQ84" s="362"/>
      <c r="AR84" s="362"/>
      <c r="AS84" s="362"/>
      <c r="AT84" s="362"/>
      <c r="AU84" s="362"/>
      <c r="AV84" s="362"/>
    </row>
    <row r="85">
      <c r="A85" s="12">
        <v>81.0</v>
      </c>
      <c r="B85" s="146" t="s">
        <v>2058</v>
      </c>
      <c r="C85" s="146" t="s">
        <v>2059</v>
      </c>
      <c r="D85" s="146" t="s">
        <v>2060</v>
      </c>
      <c r="E85" s="146" t="s">
        <v>2061</v>
      </c>
      <c r="F85" s="146" t="s">
        <v>2062</v>
      </c>
      <c r="G85" s="146">
        <v>3.0</v>
      </c>
      <c r="H85" s="284" t="s">
        <v>123</v>
      </c>
      <c r="I85" s="321">
        <v>46119.0</v>
      </c>
      <c r="J85" s="321">
        <v>46120.0</v>
      </c>
      <c r="K85" s="126" t="s">
        <v>57</v>
      </c>
      <c r="L85" s="146">
        <v>1.0</v>
      </c>
      <c r="M85" s="372">
        <v>1757.64</v>
      </c>
      <c r="N85" s="185" t="s">
        <v>71</v>
      </c>
      <c r="O85" s="185" t="s">
        <v>29</v>
      </c>
      <c r="P85" s="185" t="s">
        <v>72</v>
      </c>
      <c r="Q85" s="146">
        <v>2717.0</v>
      </c>
      <c r="R85" s="185" t="s">
        <v>98</v>
      </c>
      <c r="S85" s="185" t="s">
        <v>148</v>
      </c>
      <c r="T85" s="313"/>
      <c r="U85" s="146" t="s">
        <v>1867</v>
      </c>
      <c r="V85" s="314"/>
      <c r="W85" s="314"/>
      <c r="X85" s="314"/>
      <c r="Y85" s="314"/>
      <c r="Z85" s="314"/>
      <c r="AA85" s="314"/>
      <c r="AB85" s="314"/>
      <c r="AC85" s="314"/>
      <c r="AD85" s="314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>
      <c r="A86" s="12">
        <v>82.0</v>
      </c>
      <c r="B86" s="123" t="s">
        <v>2063</v>
      </c>
      <c r="C86" s="123" t="s">
        <v>2064</v>
      </c>
      <c r="D86" s="123" t="s">
        <v>687</v>
      </c>
      <c r="E86" s="123" t="s">
        <v>2065</v>
      </c>
      <c r="F86" s="123" t="s">
        <v>2066</v>
      </c>
      <c r="G86" s="123">
        <v>136.0</v>
      </c>
      <c r="H86" s="123" t="s">
        <v>65</v>
      </c>
      <c r="I86" s="177">
        <v>46119.0</v>
      </c>
      <c r="J86" s="178"/>
      <c r="K86" s="179">
        <v>2475.0</v>
      </c>
      <c r="L86" s="123">
        <v>12.0</v>
      </c>
      <c r="M86" s="180">
        <f t="shared" ref="M86:M91" si="14">K86*12</f>
        <v>29700</v>
      </c>
      <c r="N86" s="185" t="s">
        <v>28</v>
      </c>
      <c r="O86" s="185" t="s">
        <v>29</v>
      </c>
      <c r="P86" s="185" t="s">
        <v>40</v>
      </c>
      <c r="Q86" s="178"/>
      <c r="R86" s="185" t="s">
        <v>1979</v>
      </c>
      <c r="S86" s="185" t="s">
        <v>148</v>
      </c>
      <c r="T86" s="315" t="s">
        <v>2067</v>
      </c>
      <c r="U86" s="178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>
      <c r="A87" s="12">
        <v>83.0</v>
      </c>
      <c r="B87" s="86" t="s">
        <v>2068</v>
      </c>
      <c r="C87" s="24" t="s">
        <v>2069</v>
      </c>
      <c r="D87" s="106" t="s">
        <v>2070</v>
      </c>
      <c r="E87" s="106" t="s">
        <v>2071</v>
      </c>
      <c r="F87" s="106" t="s">
        <v>2072</v>
      </c>
      <c r="G87" s="106">
        <v>1.0</v>
      </c>
      <c r="H87" s="107" t="s">
        <v>123</v>
      </c>
      <c r="I87" s="108">
        <v>46119.0</v>
      </c>
      <c r="J87" s="109"/>
      <c r="K87" s="89">
        <v>139.0</v>
      </c>
      <c r="L87" s="254" t="s">
        <v>1178</v>
      </c>
      <c r="M87" s="89">
        <f t="shared" si="14"/>
        <v>1668</v>
      </c>
      <c r="N87" s="106" t="s">
        <v>28</v>
      </c>
      <c r="O87" s="106" t="s">
        <v>29</v>
      </c>
      <c r="P87" s="106" t="s">
        <v>40</v>
      </c>
      <c r="Q87" s="91"/>
      <c r="R87" s="106" t="s">
        <v>233</v>
      </c>
      <c r="S87" s="106" t="s">
        <v>110</v>
      </c>
      <c r="T87" s="106" t="s">
        <v>2073</v>
      </c>
      <c r="U87" s="295" t="s">
        <v>1867</v>
      </c>
      <c r="V87" s="348"/>
      <c r="W87" s="348"/>
      <c r="X87" s="348"/>
      <c r="Y87" s="348"/>
      <c r="Z87" s="348"/>
      <c r="AA87" s="348"/>
      <c r="AB87" s="348"/>
      <c r="AC87" s="348"/>
      <c r="AD87" s="348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>
      <c r="A88" s="12">
        <v>84.0</v>
      </c>
      <c r="B88" s="324" t="s">
        <v>2074</v>
      </c>
      <c r="C88" s="106" t="s">
        <v>2075</v>
      </c>
      <c r="D88" s="106" t="s">
        <v>2076</v>
      </c>
      <c r="E88" s="24" t="s">
        <v>2077</v>
      </c>
      <c r="F88" s="106" t="s">
        <v>2078</v>
      </c>
      <c r="G88" s="106">
        <v>2.0</v>
      </c>
      <c r="H88" s="107" t="s">
        <v>123</v>
      </c>
      <c r="I88" s="108">
        <v>46121.0</v>
      </c>
      <c r="J88" s="109"/>
      <c r="K88" s="89">
        <v>145.0</v>
      </c>
      <c r="L88" s="254">
        <v>12.0</v>
      </c>
      <c r="M88" s="89">
        <f t="shared" si="14"/>
        <v>1740</v>
      </c>
      <c r="N88" s="106" t="s">
        <v>58</v>
      </c>
      <c r="O88" s="106" t="s">
        <v>29</v>
      </c>
      <c r="P88" s="106" t="s">
        <v>40</v>
      </c>
      <c r="Q88" s="91"/>
      <c r="R88" s="106" t="s">
        <v>233</v>
      </c>
      <c r="S88" s="106" t="s">
        <v>110</v>
      </c>
      <c r="T88" s="106" t="s">
        <v>2079</v>
      </c>
      <c r="U88" s="123" t="s">
        <v>1867</v>
      </c>
      <c r="V88" s="3"/>
      <c r="W88" s="3"/>
      <c r="X88" s="3"/>
      <c r="Y88" s="3"/>
      <c r="Z88" s="3"/>
      <c r="AA88" s="3"/>
      <c r="AB88" s="3"/>
      <c r="AC88" s="3"/>
      <c r="AD88" s="3"/>
      <c r="AE88" s="362"/>
      <c r="AF88" s="362"/>
      <c r="AG88" s="362"/>
      <c r="AH88" s="362"/>
      <c r="AI88" s="362"/>
      <c r="AJ88" s="362"/>
      <c r="AK88" s="362"/>
      <c r="AL88" s="362"/>
      <c r="AM88" s="362"/>
      <c r="AN88" s="362"/>
      <c r="AO88" s="362"/>
      <c r="AP88" s="362"/>
      <c r="AQ88" s="362"/>
      <c r="AR88" s="362"/>
      <c r="AS88" s="362"/>
      <c r="AT88" s="362"/>
      <c r="AU88" s="362"/>
      <c r="AV88" s="362"/>
    </row>
    <row r="89">
      <c r="A89" s="12">
        <v>85.0</v>
      </c>
      <c r="B89" s="324" t="s">
        <v>2080</v>
      </c>
      <c r="C89" s="106" t="s">
        <v>2081</v>
      </c>
      <c r="D89" s="106" t="s">
        <v>2076</v>
      </c>
      <c r="E89" s="106" t="s">
        <v>2077</v>
      </c>
      <c r="F89" s="24" t="s">
        <v>2078</v>
      </c>
      <c r="G89" s="106">
        <v>1.0</v>
      </c>
      <c r="H89" s="107" t="s">
        <v>123</v>
      </c>
      <c r="I89" s="108">
        <v>46121.0</v>
      </c>
      <c r="J89" s="109"/>
      <c r="K89" s="89">
        <v>139.0</v>
      </c>
      <c r="L89" s="254">
        <v>12.0</v>
      </c>
      <c r="M89" s="89">
        <f t="shared" si="14"/>
        <v>1668</v>
      </c>
      <c r="N89" s="106" t="s">
        <v>58</v>
      </c>
      <c r="O89" s="106" t="s">
        <v>29</v>
      </c>
      <c r="P89" s="106" t="s">
        <v>40</v>
      </c>
      <c r="Q89" s="91"/>
      <c r="R89" s="106" t="s">
        <v>233</v>
      </c>
      <c r="S89" s="106" t="s">
        <v>110</v>
      </c>
      <c r="T89" s="106" t="s">
        <v>2079</v>
      </c>
      <c r="U89" s="350" t="s">
        <v>1867</v>
      </c>
      <c r="V89" s="355"/>
      <c r="W89" s="355"/>
      <c r="X89" s="355"/>
      <c r="Y89" s="355"/>
      <c r="Z89" s="355"/>
      <c r="AA89" s="355"/>
      <c r="AB89" s="355"/>
      <c r="AC89" s="355"/>
      <c r="AD89" s="355"/>
      <c r="AE89" s="355"/>
      <c r="AF89" s="355"/>
      <c r="AG89" s="355"/>
      <c r="AH89" s="355"/>
      <c r="AI89" s="355"/>
      <c r="AJ89" s="355"/>
      <c r="AK89" s="355"/>
      <c r="AL89" s="355"/>
      <c r="AM89" s="355"/>
      <c r="AN89" s="355"/>
      <c r="AO89" s="355"/>
      <c r="AP89" s="355"/>
      <c r="AQ89" s="355"/>
      <c r="AR89" s="355"/>
      <c r="AS89" s="355"/>
      <c r="AT89" s="355"/>
      <c r="AU89" s="355"/>
      <c r="AV89" s="355"/>
    </row>
    <row r="90" ht="18.0" customHeight="1">
      <c r="A90" s="12">
        <v>86.0</v>
      </c>
      <c r="B90" s="324" t="s">
        <v>2082</v>
      </c>
      <c r="C90" s="106" t="s">
        <v>2083</v>
      </c>
      <c r="D90" s="106" t="s">
        <v>2076</v>
      </c>
      <c r="E90" s="106" t="s">
        <v>2077</v>
      </c>
      <c r="F90" s="106" t="s">
        <v>2078</v>
      </c>
      <c r="G90" s="106">
        <v>10.0</v>
      </c>
      <c r="H90" s="107" t="s">
        <v>123</v>
      </c>
      <c r="I90" s="108">
        <v>46121.0</v>
      </c>
      <c r="J90" s="109"/>
      <c r="K90" s="89">
        <v>193.0</v>
      </c>
      <c r="L90" s="254">
        <v>12.0</v>
      </c>
      <c r="M90" s="89">
        <f t="shared" si="14"/>
        <v>2316</v>
      </c>
      <c r="N90" s="106" t="s">
        <v>58</v>
      </c>
      <c r="O90" s="106" t="s">
        <v>29</v>
      </c>
      <c r="P90" s="106" t="s">
        <v>40</v>
      </c>
      <c r="Q90" s="91"/>
      <c r="R90" s="106" t="s">
        <v>233</v>
      </c>
      <c r="S90" s="106" t="s">
        <v>110</v>
      </c>
      <c r="T90" s="106" t="s">
        <v>2079</v>
      </c>
      <c r="U90" s="350" t="s">
        <v>1867</v>
      </c>
      <c r="V90" s="355"/>
      <c r="W90" s="355"/>
      <c r="X90" s="355"/>
      <c r="Y90" s="355"/>
      <c r="Z90" s="355"/>
      <c r="AA90" s="355"/>
      <c r="AB90" s="355"/>
      <c r="AC90" s="355"/>
      <c r="AD90" s="355"/>
      <c r="AE90" s="355"/>
      <c r="AF90" s="355"/>
      <c r="AG90" s="355"/>
      <c r="AH90" s="355"/>
      <c r="AI90" s="355"/>
      <c r="AJ90" s="355"/>
      <c r="AK90" s="355"/>
      <c r="AL90" s="355"/>
      <c r="AM90" s="355"/>
      <c r="AN90" s="355"/>
      <c r="AO90" s="355"/>
      <c r="AP90" s="355"/>
      <c r="AQ90" s="355"/>
      <c r="AR90" s="355"/>
      <c r="AS90" s="355"/>
      <c r="AT90" s="355"/>
      <c r="AU90" s="355"/>
      <c r="AV90" s="355"/>
    </row>
    <row r="91">
      <c r="A91" s="12">
        <v>87.0</v>
      </c>
      <c r="B91" s="106" t="s">
        <v>2084</v>
      </c>
      <c r="C91" s="107" t="s">
        <v>2085</v>
      </c>
      <c r="D91" s="373" t="s">
        <v>2086</v>
      </c>
      <c r="E91" s="106" t="s">
        <v>2087</v>
      </c>
      <c r="F91" s="106" t="s">
        <v>2088</v>
      </c>
      <c r="G91" s="106">
        <v>6.0</v>
      </c>
      <c r="H91" s="107" t="s">
        <v>123</v>
      </c>
      <c r="I91" s="108">
        <v>46118.0</v>
      </c>
      <c r="J91" s="108">
        <v>46125.0</v>
      </c>
      <c r="K91" s="89">
        <v>169.0</v>
      </c>
      <c r="L91" s="254" t="s">
        <v>1178</v>
      </c>
      <c r="M91" s="89">
        <f t="shared" si="14"/>
        <v>2028</v>
      </c>
      <c r="N91" s="106" t="s">
        <v>71</v>
      </c>
      <c r="O91" s="106" t="s">
        <v>29</v>
      </c>
      <c r="P91" s="106" t="s">
        <v>72</v>
      </c>
      <c r="Q91" s="106">
        <v>2742.0</v>
      </c>
      <c r="R91" s="106" t="s">
        <v>233</v>
      </c>
      <c r="S91" s="106" t="s">
        <v>110</v>
      </c>
      <c r="T91" s="91"/>
      <c r="U91" s="350" t="s">
        <v>1867</v>
      </c>
      <c r="V91" s="355"/>
      <c r="W91" s="355"/>
      <c r="X91" s="355"/>
      <c r="Y91" s="355"/>
      <c r="Z91" s="355"/>
      <c r="AA91" s="355"/>
      <c r="AB91" s="355"/>
      <c r="AC91" s="355"/>
      <c r="AD91" s="355"/>
      <c r="AE91" s="374"/>
      <c r="AF91" s="374"/>
      <c r="AG91" s="374"/>
      <c r="AH91" s="374"/>
      <c r="AI91" s="374"/>
      <c r="AJ91" s="374"/>
      <c r="AK91" s="374"/>
      <c r="AL91" s="374"/>
      <c r="AM91" s="374"/>
      <c r="AN91" s="374"/>
      <c r="AO91" s="374"/>
      <c r="AP91" s="374"/>
      <c r="AQ91" s="374"/>
      <c r="AR91" s="374"/>
      <c r="AS91" s="374"/>
      <c r="AT91" s="374"/>
      <c r="AU91" s="374"/>
      <c r="AV91" s="374"/>
    </row>
    <row r="92">
      <c r="A92" s="12">
        <v>88.0</v>
      </c>
      <c r="B92" s="375" t="s">
        <v>2089</v>
      </c>
      <c r="C92" s="376" t="s">
        <v>2090</v>
      </c>
      <c r="D92" s="377" t="s">
        <v>2091</v>
      </c>
      <c r="E92" s="377" t="s">
        <v>2092</v>
      </c>
      <c r="F92" s="377" t="s">
        <v>2093</v>
      </c>
      <c r="G92" s="377" t="s">
        <v>26</v>
      </c>
      <c r="H92" s="378" t="s">
        <v>711</v>
      </c>
      <c r="I92" s="379">
        <v>46120.0</v>
      </c>
      <c r="J92" s="380">
        <v>46127.0</v>
      </c>
      <c r="K92" s="381" t="s">
        <v>57</v>
      </c>
      <c r="L92" s="377">
        <v>1.0</v>
      </c>
      <c r="M92" s="382">
        <v>800.0</v>
      </c>
      <c r="N92" s="383" t="s">
        <v>71</v>
      </c>
      <c r="O92" s="383" t="s">
        <v>29</v>
      </c>
      <c r="P92" s="383" t="s">
        <v>72</v>
      </c>
      <c r="Q92" s="377">
        <v>2773.0</v>
      </c>
      <c r="R92" s="383" t="s">
        <v>73</v>
      </c>
      <c r="S92" s="383" t="s">
        <v>31</v>
      </c>
      <c r="T92" s="384" t="s">
        <v>2094</v>
      </c>
      <c r="U92" s="377" t="s">
        <v>1867</v>
      </c>
      <c r="V92" s="366"/>
      <c r="W92" s="366"/>
      <c r="X92" s="366"/>
      <c r="Y92" s="366"/>
      <c r="Z92" s="366"/>
      <c r="AA92" s="366"/>
      <c r="AB92" s="366"/>
      <c r="AC92" s="366"/>
      <c r="AD92" s="366"/>
      <c r="AE92" s="362"/>
      <c r="AF92" s="362"/>
      <c r="AG92" s="362"/>
      <c r="AH92" s="362"/>
      <c r="AI92" s="362"/>
      <c r="AJ92" s="362"/>
      <c r="AK92" s="362"/>
      <c r="AL92" s="362"/>
      <c r="AM92" s="362"/>
      <c r="AN92" s="362"/>
      <c r="AO92" s="362"/>
      <c r="AP92" s="362"/>
      <c r="AQ92" s="362"/>
      <c r="AR92" s="362"/>
      <c r="AS92" s="362"/>
      <c r="AT92" s="362"/>
      <c r="AU92" s="362"/>
      <c r="AV92" s="362"/>
    </row>
    <row r="93">
      <c r="A93" s="12">
        <v>89.0</v>
      </c>
      <c r="B93" s="123" t="s">
        <v>2095</v>
      </c>
      <c r="C93" s="123" t="s">
        <v>2096</v>
      </c>
      <c r="D93" s="123" t="s">
        <v>2097</v>
      </c>
      <c r="E93" s="123" t="s">
        <v>2098</v>
      </c>
      <c r="F93" s="326" t="s">
        <v>2099</v>
      </c>
      <c r="G93" s="123">
        <v>4.0</v>
      </c>
      <c r="H93" s="123" t="s">
        <v>2100</v>
      </c>
      <c r="I93" s="177">
        <v>46120.0</v>
      </c>
      <c r="J93" s="178"/>
      <c r="K93" s="179">
        <v>163.0</v>
      </c>
      <c r="L93" s="123">
        <v>12.0</v>
      </c>
      <c r="M93" s="179">
        <f>L93*K93</f>
        <v>1956</v>
      </c>
      <c r="N93" s="185" t="s">
        <v>58</v>
      </c>
      <c r="O93" s="185" t="s">
        <v>91</v>
      </c>
      <c r="P93" s="185" t="s">
        <v>40</v>
      </c>
      <c r="Q93" s="178"/>
      <c r="R93" s="185" t="s">
        <v>233</v>
      </c>
      <c r="S93" s="185" t="s">
        <v>129</v>
      </c>
      <c r="T93" s="315" t="s">
        <v>2101</v>
      </c>
      <c r="U93" s="178"/>
      <c r="V93" s="3"/>
      <c r="W93" s="3"/>
      <c r="X93" s="3"/>
      <c r="Y93" s="3"/>
      <c r="Z93" s="3"/>
      <c r="AA93" s="3"/>
      <c r="AB93" s="3"/>
      <c r="AC93" s="3"/>
      <c r="AD93" s="3"/>
      <c r="AE93" s="362"/>
      <c r="AF93" s="362"/>
      <c r="AG93" s="362"/>
      <c r="AH93" s="362"/>
      <c r="AI93" s="362"/>
      <c r="AJ93" s="362"/>
      <c r="AK93" s="362"/>
      <c r="AL93" s="362"/>
      <c r="AM93" s="362"/>
      <c r="AN93" s="362"/>
      <c r="AO93" s="362"/>
      <c r="AP93" s="362"/>
      <c r="AQ93" s="362"/>
      <c r="AR93" s="362"/>
      <c r="AS93" s="362"/>
      <c r="AT93" s="362"/>
      <c r="AU93" s="362"/>
      <c r="AV93" s="362"/>
    </row>
    <row r="94">
      <c r="A94" s="12">
        <v>90.0</v>
      </c>
      <c r="B94" s="160" t="s">
        <v>2102</v>
      </c>
      <c r="C94" s="385" t="s">
        <v>2103</v>
      </c>
      <c r="D94" s="97" t="s">
        <v>530</v>
      </c>
      <c r="E94" s="385" t="s">
        <v>2104</v>
      </c>
      <c r="F94" s="386" t="s">
        <v>2105</v>
      </c>
      <c r="G94" s="97">
        <v>2.0</v>
      </c>
      <c r="H94" s="97" t="s">
        <v>65</v>
      </c>
      <c r="I94" s="298">
        <v>46120.0</v>
      </c>
      <c r="J94" s="81"/>
      <c r="K94" s="102">
        <v>145.0</v>
      </c>
      <c r="L94" s="97">
        <v>12.0</v>
      </c>
      <c r="M94" s="111">
        <f>K94*12</f>
        <v>1740</v>
      </c>
      <c r="N94" s="185" t="s">
        <v>28</v>
      </c>
      <c r="O94" s="185" t="s">
        <v>29</v>
      </c>
      <c r="P94" s="185" t="s">
        <v>40</v>
      </c>
      <c r="Q94" s="81"/>
      <c r="R94" s="185" t="s">
        <v>1979</v>
      </c>
      <c r="S94" s="185" t="s">
        <v>148</v>
      </c>
      <c r="T94" s="282" t="s">
        <v>2106</v>
      </c>
      <c r="U94" s="81"/>
      <c r="V94" s="31"/>
      <c r="W94" s="31"/>
      <c r="X94" s="31"/>
      <c r="Y94" s="31"/>
      <c r="Z94" s="31"/>
      <c r="AA94" s="31"/>
      <c r="AB94" s="31"/>
      <c r="AC94" s="31"/>
      <c r="AD94" s="31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>
      <c r="A95" s="12">
        <v>91.0</v>
      </c>
      <c r="B95" s="387" t="s">
        <v>2107</v>
      </c>
      <c r="C95" s="387" t="s">
        <v>2108</v>
      </c>
      <c r="D95" s="387" t="s">
        <v>2109</v>
      </c>
      <c r="E95" s="388" t="s">
        <v>2110</v>
      </c>
      <c r="F95" s="389" t="s">
        <v>2111</v>
      </c>
      <c r="G95" s="387" t="s">
        <v>26</v>
      </c>
      <c r="H95" s="136" t="s">
        <v>711</v>
      </c>
      <c r="I95" s="390">
        <v>46120.0</v>
      </c>
      <c r="J95" s="390">
        <v>46120.0</v>
      </c>
      <c r="K95" s="381" t="s">
        <v>57</v>
      </c>
      <c r="L95" s="387">
        <v>1.0</v>
      </c>
      <c r="M95" s="381">
        <v>800.0</v>
      </c>
      <c r="N95" s="391" t="s">
        <v>71</v>
      </c>
      <c r="O95" s="391" t="s">
        <v>91</v>
      </c>
      <c r="P95" s="391" t="s">
        <v>72</v>
      </c>
      <c r="Q95" s="387">
        <v>2716.0</v>
      </c>
      <c r="R95" s="391" t="s">
        <v>73</v>
      </c>
      <c r="S95" s="391" t="s">
        <v>129</v>
      </c>
      <c r="T95" s="392" t="s">
        <v>2112</v>
      </c>
      <c r="U95" s="295" t="s">
        <v>1867</v>
      </c>
      <c r="V95" s="393"/>
      <c r="W95" s="393"/>
      <c r="X95" s="393"/>
      <c r="Y95" s="393"/>
      <c r="Z95" s="393"/>
      <c r="AA95" s="393"/>
      <c r="AB95" s="393"/>
      <c r="AC95" s="393"/>
      <c r="AD95" s="393"/>
      <c r="AE95" s="393"/>
      <c r="AF95" s="393"/>
      <c r="AG95" s="393"/>
      <c r="AH95" s="393"/>
      <c r="AI95" s="393"/>
      <c r="AJ95" s="393"/>
      <c r="AK95" s="393"/>
      <c r="AL95" s="393"/>
      <c r="AM95" s="393"/>
      <c r="AN95" s="393"/>
      <c r="AO95" s="393"/>
      <c r="AP95" s="393"/>
      <c r="AQ95" s="393"/>
      <c r="AR95" s="393"/>
      <c r="AS95" s="393"/>
      <c r="AT95" s="393"/>
      <c r="AU95" s="393"/>
      <c r="AV95" s="393"/>
    </row>
    <row r="96" ht="15.0" customHeight="1">
      <c r="A96" s="12">
        <v>92.0</v>
      </c>
      <c r="B96" s="123" t="s">
        <v>2113</v>
      </c>
      <c r="C96" s="123" t="s">
        <v>2114</v>
      </c>
      <c r="D96" s="123" t="s">
        <v>2115</v>
      </c>
      <c r="E96" s="212" t="s">
        <v>2116</v>
      </c>
      <c r="F96" s="337" t="s">
        <v>2117</v>
      </c>
      <c r="G96" s="123">
        <v>10.0</v>
      </c>
      <c r="H96" s="123" t="s">
        <v>65</v>
      </c>
      <c r="I96" s="177">
        <v>46120.0</v>
      </c>
      <c r="J96" s="178"/>
      <c r="K96" s="179">
        <v>193.0</v>
      </c>
      <c r="L96" s="123">
        <v>12.0</v>
      </c>
      <c r="M96" s="180">
        <f t="shared" ref="M96:M97" si="15">K96*12</f>
        <v>2316</v>
      </c>
      <c r="N96" s="185" t="s">
        <v>58</v>
      </c>
      <c r="O96" s="185" t="s">
        <v>29</v>
      </c>
      <c r="P96" s="185" t="s">
        <v>40</v>
      </c>
      <c r="Q96" s="178"/>
      <c r="R96" s="185" t="s">
        <v>1979</v>
      </c>
      <c r="S96" s="185" t="s">
        <v>148</v>
      </c>
      <c r="T96" s="315" t="s">
        <v>2118</v>
      </c>
      <c r="U96" s="178"/>
      <c r="V96" s="3"/>
      <c r="W96" s="3"/>
      <c r="X96" s="3"/>
      <c r="Y96" s="3"/>
      <c r="Z96" s="3"/>
      <c r="AA96" s="3"/>
      <c r="AB96" s="3"/>
      <c r="AC96" s="3"/>
      <c r="AD96" s="3"/>
      <c r="AE96" s="362"/>
      <c r="AF96" s="362"/>
      <c r="AG96" s="362"/>
      <c r="AH96" s="362"/>
      <c r="AI96" s="362"/>
      <c r="AJ96" s="362"/>
      <c r="AK96" s="362"/>
      <c r="AL96" s="362"/>
      <c r="AM96" s="362"/>
      <c r="AN96" s="362"/>
      <c r="AO96" s="362"/>
      <c r="AP96" s="362"/>
      <c r="AQ96" s="362"/>
      <c r="AR96" s="362"/>
      <c r="AS96" s="362"/>
      <c r="AT96" s="362"/>
      <c r="AU96" s="362"/>
      <c r="AV96" s="362"/>
    </row>
    <row r="97" ht="15.0" customHeight="1">
      <c r="A97" s="12">
        <v>93.0</v>
      </c>
      <c r="B97" s="146" t="s">
        <v>2119</v>
      </c>
      <c r="C97" s="123" t="s">
        <v>2120</v>
      </c>
      <c r="D97" s="123" t="s">
        <v>2121</v>
      </c>
      <c r="E97" s="123" t="s">
        <v>2122</v>
      </c>
      <c r="F97" s="337" t="s">
        <v>2123</v>
      </c>
      <c r="G97" s="123">
        <v>50.0</v>
      </c>
      <c r="H97" s="123" t="s">
        <v>65</v>
      </c>
      <c r="I97" s="177">
        <v>46120.0</v>
      </c>
      <c r="J97" s="178"/>
      <c r="K97" s="179">
        <v>750.0</v>
      </c>
      <c r="L97" s="123">
        <v>12.0</v>
      </c>
      <c r="M97" s="180">
        <f t="shared" si="15"/>
        <v>9000</v>
      </c>
      <c r="N97" s="185" t="s">
        <v>58</v>
      </c>
      <c r="O97" s="185" t="s">
        <v>29</v>
      </c>
      <c r="P97" s="185" t="s">
        <v>40</v>
      </c>
      <c r="Q97" s="178"/>
      <c r="R97" s="185" t="s">
        <v>1979</v>
      </c>
      <c r="S97" s="185" t="s">
        <v>148</v>
      </c>
      <c r="T97" s="315" t="s">
        <v>2124</v>
      </c>
      <c r="U97" s="178"/>
      <c r="V97" s="3"/>
      <c r="W97" s="3"/>
      <c r="X97" s="3"/>
      <c r="Y97" s="3"/>
      <c r="Z97" s="3"/>
      <c r="AA97" s="3"/>
      <c r="AB97" s="3"/>
      <c r="AC97" s="3"/>
      <c r="AD97" s="3"/>
      <c r="AE97" s="362"/>
      <c r="AF97" s="362"/>
      <c r="AG97" s="362"/>
      <c r="AH97" s="362"/>
      <c r="AI97" s="362"/>
      <c r="AJ97" s="362"/>
      <c r="AK97" s="362"/>
      <c r="AL97" s="362"/>
      <c r="AM97" s="362"/>
      <c r="AN97" s="362"/>
      <c r="AO97" s="362"/>
      <c r="AP97" s="362"/>
      <c r="AQ97" s="362"/>
      <c r="AR97" s="362"/>
      <c r="AS97" s="362"/>
      <c r="AT97" s="362"/>
      <c r="AU97" s="362"/>
      <c r="AV97" s="362"/>
    </row>
    <row r="98" ht="15.0" customHeight="1">
      <c r="A98" s="12">
        <v>94.0</v>
      </c>
      <c r="B98" s="146" t="s">
        <v>2125</v>
      </c>
      <c r="C98" s="146" t="s">
        <v>2126</v>
      </c>
      <c r="D98" s="146" t="s">
        <v>2127</v>
      </c>
      <c r="E98" s="146" t="s">
        <v>2128</v>
      </c>
      <c r="F98" s="146" t="s">
        <v>2129</v>
      </c>
      <c r="G98" s="146" t="s">
        <v>26</v>
      </c>
      <c r="H98" s="103" t="s">
        <v>711</v>
      </c>
      <c r="I98" s="321">
        <v>46120.0</v>
      </c>
      <c r="J98" s="338">
        <v>46121.0</v>
      </c>
      <c r="K98" s="381" t="s">
        <v>57</v>
      </c>
      <c r="L98" s="146">
        <v>1.0</v>
      </c>
      <c r="M98" s="126">
        <v>700.0</v>
      </c>
      <c r="N98" s="394" t="s">
        <v>71</v>
      </c>
      <c r="O98" s="394" t="s">
        <v>91</v>
      </c>
      <c r="P98" s="394" t="s">
        <v>72</v>
      </c>
      <c r="Q98" s="395">
        <v>2726.0</v>
      </c>
      <c r="R98" s="394" t="s">
        <v>73</v>
      </c>
      <c r="S98" s="394" t="s">
        <v>31</v>
      </c>
      <c r="T98" s="396" t="s">
        <v>2130</v>
      </c>
      <c r="U98" s="295" t="s">
        <v>1867</v>
      </c>
      <c r="V98" s="362"/>
      <c r="W98" s="362"/>
      <c r="X98" s="362"/>
      <c r="Y98" s="362"/>
      <c r="Z98" s="362"/>
      <c r="AA98" s="362"/>
      <c r="AB98" s="362"/>
      <c r="AC98" s="362"/>
      <c r="AD98" s="362"/>
      <c r="AE98" s="314"/>
      <c r="AF98" s="314"/>
      <c r="AG98" s="314"/>
      <c r="AH98" s="314"/>
      <c r="AI98" s="314"/>
      <c r="AJ98" s="314"/>
      <c r="AK98" s="314"/>
      <c r="AL98" s="314"/>
      <c r="AM98" s="314"/>
      <c r="AN98" s="314"/>
      <c r="AO98" s="314"/>
      <c r="AP98" s="314"/>
      <c r="AQ98" s="314"/>
      <c r="AR98" s="314"/>
      <c r="AS98" s="314"/>
      <c r="AT98" s="314"/>
      <c r="AU98" s="314"/>
      <c r="AV98" s="314"/>
    </row>
    <row r="99">
      <c r="A99" s="12">
        <v>95.0</v>
      </c>
      <c r="B99" s="123" t="s">
        <v>2131</v>
      </c>
      <c r="C99" s="397" t="s">
        <v>2132</v>
      </c>
      <c r="D99" s="123" t="s">
        <v>2133</v>
      </c>
      <c r="E99" s="123" t="s">
        <v>2134</v>
      </c>
      <c r="F99" s="123" t="s">
        <v>2135</v>
      </c>
      <c r="G99" s="123" t="s">
        <v>26</v>
      </c>
      <c r="H99" s="123" t="s">
        <v>1621</v>
      </c>
      <c r="I99" s="177">
        <v>46120.0</v>
      </c>
      <c r="J99" s="177">
        <v>46142.0</v>
      </c>
      <c r="K99" s="179">
        <v>700.0</v>
      </c>
      <c r="L99" s="123">
        <v>1.0</v>
      </c>
      <c r="M99" s="125">
        <f t="shared" ref="M99:M100" si="16">K99*1</f>
        <v>700</v>
      </c>
      <c r="N99" s="185" t="s">
        <v>71</v>
      </c>
      <c r="O99" s="185" t="s">
        <v>91</v>
      </c>
      <c r="P99" s="185" t="s">
        <v>72</v>
      </c>
      <c r="Q99" s="123">
        <v>2868.0</v>
      </c>
      <c r="R99" s="185" t="s">
        <v>73</v>
      </c>
      <c r="S99" s="185" t="s">
        <v>31</v>
      </c>
      <c r="T99" s="315" t="s">
        <v>2136</v>
      </c>
      <c r="U99" s="123" t="s">
        <v>1867</v>
      </c>
      <c r="V99" s="3"/>
      <c r="W99" s="3"/>
      <c r="X99" s="3"/>
      <c r="Y99" s="3"/>
      <c r="Z99" s="3"/>
      <c r="AA99" s="3"/>
      <c r="AB99" s="3"/>
      <c r="AC99" s="3"/>
      <c r="AD99" s="3"/>
      <c r="AE99" s="314"/>
      <c r="AF99" s="314"/>
      <c r="AG99" s="314"/>
      <c r="AH99" s="314"/>
      <c r="AI99" s="314"/>
      <c r="AJ99" s="314"/>
      <c r="AK99" s="314"/>
      <c r="AL99" s="314"/>
      <c r="AM99" s="314"/>
      <c r="AN99" s="314"/>
      <c r="AO99" s="314"/>
      <c r="AP99" s="314"/>
      <c r="AQ99" s="314"/>
      <c r="AR99" s="314"/>
      <c r="AS99" s="314"/>
      <c r="AT99" s="314"/>
      <c r="AU99" s="314"/>
      <c r="AV99" s="314"/>
    </row>
    <row r="100">
      <c r="A100" s="12">
        <v>96.0</v>
      </c>
      <c r="B100" s="123" t="s">
        <v>2131</v>
      </c>
      <c r="C100" s="397" t="s">
        <v>2137</v>
      </c>
      <c r="D100" s="123" t="s">
        <v>2133</v>
      </c>
      <c r="E100" s="123" t="s">
        <v>2134</v>
      </c>
      <c r="F100" s="123" t="s">
        <v>2135</v>
      </c>
      <c r="G100" s="123" t="s">
        <v>26</v>
      </c>
      <c r="H100" s="123" t="s">
        <v>1621</v>
      </c>
      <c r="I100" s="177">
        <v>46120.0</v>
      </c>
      <c r="J100" s="177">
        <v>46142.0</v>
      </c>
      <c r="K100" s="179">
        <v>900.0</v>
      </c>
      <c r="L100" s="123">
        <v>1.0</v>
      </c>
      <c r="M100" s="125">
        <f t="shared" si="16"/>
        <v>900</v>
      </c>
      <c r="N100" s="185" t="s">
        <v>71</v>
      </c>
      <c r="O100" s="185" t="s">
        <v>91</v>
      </c>
      <c r="P100" s="185" t="s">
        <v>72</v>
      </c>
      <c r="Q100" s="123">
        <v>2870.0</v>
      </c>
      <c r="R100" s="185" t="s">
        <v>73</v>
      </c>
      <c r="S100" s="185" t="s">
        <v>31</v>
      </c>
      <c r="T100" s="315" t="s">
        <v>2136</v>
      </c>
      <c r="U100" s="123" t="s">
        <v>1867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>
      <c r="A101" s="12">
        <v>97.0</v>
      </c>
      <c r="B101" s="123" t="s">
        <v>2138</v>
      </c>
      <c r="C101" s="398" t="s">
        <v>2139</v>
      </c>
      <c r="D101" s="123" t="s">
        <v>2140</v>
      </c>
      <c r="E101" s="123" t="s">
        <v>2141</v>
      </c>
      <c r="F101" s="123" t="s">
        <v>2142</v>
      </c>
      <c r="G101" s="123">
        <v>74.0</v>
      </c>
      <c r="H101" s="123" t="s">
        <v>65</v>
      </c>
      <c r="I101" s="177">
        <v>46120.0</v>
      </c>
      <c r="J101" s="178"/>
      <c r="K101" s="179">
        <v>917.39</v>
      </c>
      <c r="L101" s="123">
        <v>12.0</v>
      </c>
      <c r="M101" s="180">
        <f>K101*12</f>
        <v>11008.68</v>
      </c>
      <c r="N101" s="185" t="s">
        <v>58</v>
      </c>
      <c r="O101" s="185" t="s">
        <v>29</v>
      </c>
      <c r="P101" s="185" t="s">
        <v>40</v>
      </c>
      <c r="Q101" s="178"/>
      <c r="R101" s="185" t="s">
        <v>73</v>
      </c>
      <c r="S101" s="185" t="s">
        <v>31</v>
      </c>
      <c r="T101" s="315" t="s">
        <v>2143</v>
      </c>
      <c r="U101" s="178"/>
      <c r="V101" s="3"/>
      <c r="W101" s="3"/>
      <c r="X101" s="3"/>
      <c r="Y101" s="3"/>
      <c r="Z101" s="3"/>
      <c r="AA101" s="3"/>
      <c r="AB101" s="3"/>
      <c r="AC101" s="3"/>
      <c r="AD101" s="3"/>
      <c r="AE101" s="393"/>
      <c r="AF101" s="393"/>
      <c r="AG101" s="393"/>
      <c r="AH101" s="393"/>
      <c r="AI101" s="393"/>
      <c r="AJ101" s="393"/>
      <c r="AK101" s="393"/>
      <c r="AL101" s="393"/>
      <c r="AM101" s="393"/>
      <c r="AN101" s="393"/>
      <c r="AO101" s="393"/>
      <c r="AP101" s="393"/>
      <c r="AQ101" s="393"/>
      <c r="AR101" s="393"/>
      <c r="AS101" s="393"/>
      <c r="AT101" s="393"/>
      <c r="AU101" s="393"/>
      <c r="AV101" s="393"/>
    </row>
    <row r="102">
      <c r="A102" s="12">
        <v>98.0</v>
      </c>
      <c r="B102" s="146" t="s">
        <v>2144</v>
      </c>
      <c r="C102" s="146" t="s">
        <v>2145</v>
      </c>
      <c r="D102" s="146" t="s">
        <v>2146</v>
      </c>
      <c r="E102" s="146" t="s">
        <v>2147</v>
      </c>
      <c r="F102" s="146" t="s">
        <v>2148</v>
      </c>
      <c r="G102" s="146" t="s">
        <v>26</v>
      </c>
      <c r="H102" s="103" t="s">
        <v>711</v>
      </c>
      <c r="I102" s="321">
        <v>46120.0</v>
      </c>
      <c r="J102" s="338">
        <v>46121.0</v>
      </c>
      <c r="K102" s="381" t="s">
        <v>57</v>
      </c>
      <c r="L102" s="146">
        <v>1.0</v>
      </c>
      <c r="M102" s="126">
        <v>1000.0</v>
      </c>
      <c r="N102" s="394" t="s">
        <v>71</v>
      </c>
      <c r="O102" s="394" t="s">
        <v>29</v>
      </c>
      <c r="P102" s="394" t="s">
        <v>72</v>
      </c>
      <c r="Q102" s="395">
        <v>2724.0</v>
      </c>
      <c r="R102" s="394" t="s">
        <v>233</v>
      </c>
      <c r="S102" s="394" t="s">
        <v>31</v>
      </c>
      <c r="T102" s="396" t="s">
        <v>2149</v>
      </c>
      <c r="U102" s="146" t="s">
        <v>1867</v>
      </c>
      <c r="V102" s="362"/>
      <c r="W102" s="362"/>
      <c r="X102" s="362"/>
      <c r="Y102" s="362"/>
      <c r="Z102" s="362"/>
      <c r="AA102" s="362"/>
      <c r="AB102" s="362"/>
      <c r="AC102" s="362"/>
      <c r="AD102" s="362"/>
      <c r="AE102" s="314"/>
      <c r="AF102" s="314"/>
      <c r="AG102" s="314"/>
      <c r="AH102" s="314"/>
      <c r="AI102" s="314"/>
      <c r="AJ102" s="314"/>
      <c r="AK102" s="314"/>
      <c r="AL102" s="314"/>
      <c r="AM102" s="314"/>
      <c r="AN102" s="314"/>
      <c r="AO102" s="314"/>
      <c r="AP102" s="314"/>
      <c r="AQ102" s="314"/>
      <c r="AR102" s="314"/>
      <c r="AS102" s="314"/>
      <c r="AT102" s="314"/>
      <c r="AU102" s="314"/>
      <c r="AV102" s="314"/>
    </row>
    <row r="103">
      <c r="A103" s="12">
        <v>99.0</v>
      </c>
      <c r="B103" s="146" t="s">
        <v>2150</v>
      </c>
      <c r="C103" s="146" t="s">
        <v>2151</v>
      </c>
      <c r="D103" s="146" t="s">
        <v>2152</v>
      </c>
      <c r="E103" s="146" t="s">
        <v>2153</v>
      </c>
      <c r="F103" s="146" t="s">
        <v>2154</v>
      </c>
      <c r="G103" s="146">
        <v>1.0</v>
      </c>
      <c r="H103" s="146" t="s">
        <v>2155</v>
      </c>
      <c r="I103" s="305">
        <v>46120.0</v>
      </c>
      <c r="J103" s="305">
        <v>46121.0</v>
      </c>
      <c r="K103" s="126">
        <v>139.0</v>
      </c>
      <c r="L103" s="146">
        <v>12.0</v>
      </c>
      <c r="M103" s="209">
        <f>K103*12</f>
        <v>1668</v>
      </c>
      <c r="N103" s="394" t="s">
        <v>71</v>
      </c>
      <c r="O103" s="394" t="s">
        <v>91</v>
      </c>
      <c r="P103" s="394" t="s">
        <v>72</v>
      </c>
      <c r="Q103" s="395">
        <v>2719.0</v>
      </c>
      <c r="R103" s="394" t="s">
        <v>73</v>
      </c>
      <c r="S103" s="394" t="s">
        <v>31</v>
      </c>
      <c r="T103" s="396" t="s">
        <v>2156</v>
      </c>
      <c r="U103" s="146" t="s">
        <v>1867</v>
      </c>
      <c r="V103" s="362"/>
      <c r="W103" s="362"/>
      <c r="X103" s="362"/>
      <c r="Y103" s="362"/>
      <c r="Z103" s="362"/>
      <c r="AA103" s="362"/>
      <c r="AB103" s="362"/>
      <c r="AC103" s="362"/>
      <c r="AD103" s="362"/>
      <c r="AE103" s="348"/>
      <c r="AF103" s="348"/>
      <c r="AG103" s="348"/>
      <c r="AH103" s="348"/>
      <c r="AI103" s="348"/>
      <c r="AJ103" s="348"/>
      <c r="AK103" s="348"/>
      <c r="AL103" s="348"/>
      <c r="AM103" s="348"/>
      <c r="AN103" s="348"/>
      <c r="AO103" s="348"/>
      <c r="AP103" s="348"/>
      <c r="AQ103" s="348"/>
      <c r="AR103" s="348"/>
      <c r="AS103" s="348"/>
      <c r="AT103" s="348"/>
      <c r="AU103" s="348"/>
      <c r="AV103" s="348"/>
    </row>
    <row r="104">
      <c r="A104" s="12">
        <v>100.0</v>
      </c>
      <c r="B104" s="123" t="s">
        <v>2157</v>
      </c>
      <c r="C104" s="123" t="s">
        <v>2158</v>
      </c>
      <c r="D104" s="123" t="s">
        <v>2159</v>
      </c>
      <c r="E104" s="123" t="s">
        <v>2160</v>
      </c>
      <c r="F104" s="123" t="s">
        <v>2161</v>
      </c>
      <c r="G104" s="123">
        <v>7.0</v>
      </c>
      <c r="H104" s="123" t="s">
        <v>48</v>
      </c>
      <c r="I104" s="177">
        <v>46120.0</v>
      </c>
      <c r="J104" s="178"/>
      <c r="K104" s="179">
        <v>175.0</v>
      </c>
      <c r="L104" s="123">
        <v>12.0</v>
      </c>
      <c r="M104" s="180">
        <f t="shared" ref="M104:M105" si="17">K104*L104</f>
        <v>2100</v>
      </c>
      <c r="N104" s="185" t="s">
        <v>28</v>
      </c>
      <c r="O104" s="185" t="s">
        <v>29</v>
      </c>
      <c r="P104" s="185" t="s">
        <v>40</v>
      </c>
      <c r="Q104" s="178"/>
      <c r="R104" s="185" t="s">
        <v>73</v>
      </c>
      <c r="S104" s="185" t="s">
        <v>129</v>
      </c>
      <c r="T104" s="315" t="s">
        <v>2162</v>
      </c>
      <c r="U104" s="178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>
      <c r="A105" s="12">
        <v>101.0</v>
      </c>
      <c r="B105" s="123" t="s">
        <v>2163</v>
      </c>
      <c r="C105" s="123" t="s">
        <v>2164</v>
      </c>
      <c r="D105" s="123" t="s">
        <v>2159</v>
      </c>
      <c r="E105" s="123" t="s">
        <v>2165</v>
      </c>
      <c r="F105" s="123" t="s">
        <v>2161</v>
      </c>
      <c r="G105" s="123">
        <v>5.0</v>
      </c>
      <c r="H105" s="123" t="s">
        <v>48</v>
      </c>
      <c r="I105" s="177">
        <v>46120.0</v>
      </c>
      <c r="J105" s="178"/>
      <c r="K105" s="179">
        <v>163.0</v>
      </c>
      <c r="L105" s="123">
        <v>12.0</v>
      </c>
      <c r="M105" s="180">
        <f t="shared" si="17"/>
        <v>1956</v>
      </c>
      <c r="N105" s="185" t="s">
        <v>28</v>
      </c>
      <c r="O105" s="185" t="s">
        <v>29</v>
      </c>
      <c r="P105" s="185" t="s">
        <v>40</v>
      </c>
      <c r="Q105" s="178"/>
      <c r="R105" s="185" t="s">
        <v>73</v>
      </c>
      <c r="S105" s="185" t="s">
        <v>129</v>
      </c>
      <c r="T105" s="315" t="s">
        <v>2162</v>
      </c>
      <c r="U105" s="178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>
      <c r="A106" s="12">
        <v>102.0</v>
      </c>
      <c r="B106" s="106" t="s">
        <v>2166</v>
      </c>
      <c r="C106" s="106" t="s">
        <v>2167</v>
      </c>
      <c r="D106" s="373" t="s">
        <v>2086</v>
      </c>
      <c r="E106" s="106" t="s">
        <v>2087</v>
      </c>
      <c r="F106" s="106" t="s">
        <v>2088</v>
      </c>
      <c r="G106" s="106">
        <v>6.0</v>
      </c>
      <c r="H106" s="107" t="s">
        <v>123</v>
      </c>
      <c r="I106" s="108">
        <v>46118.0</v>
      </c>
      <c r="J106" s="108">
        <v>46125.0</v>
      </c>
      <c r="K106" s="89">
        <v>169.0</v>
      </c>
      <c r="L106" s="254" t="s">
        <v>1178</v>
      </c>
      <c r="M106" s="89">
        <f t="shared" ref="M106:M116" si="18">K106*12</f>
        <v>2028</v>
      </c>
      <c r="N106" s="106" t="s">
        <v>71</v>
      </c>
      <c r="O106" s="106" t="s">
        <v>29</v>
      </c>
      <c r="P106" s="106" t="s">
        <v>72</v>
      </c>
      <c r="Q106" s="106">
        <v>2743.0</v>
      </c>
      <c r="R106" s="106" t="s">
        <v>233</v>
      </c>
      <c r="S106" s="106" t="s">
        <v>110</v>
      </c>
      <c r="T106" s="91"/>
      <c r="U106" s="123" t="s">
        <v>1867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>
      <c r="A107" s="12">
        <v>103.0</v>
      </c>
      <c r="B107" s="106" t="s">
        <v>2168</v>
      </c>
      <c r="C107" s="106" t="s">
        <v>2169</v>
      </c>
      <c r="D107" s="373" t="s">
        <v>2086</v>
      </c>
      <c r="E107" s="106" t="s">
        <v>2087</v>
      </c>
      <c r="F107" s="207" t="s">
        <v>2088</v>
      </c>
      <c r="G107" s="106">
        <v>6.0</v>
      </c>
      <c r="H107" s="107" t="s">
        <v>123</v>
      </c>
      <c r="I107" s="108">
        <v>46118.0</v>
      </c>
      <c r="J107" s="108">
        <v>46125.0</v>
      </c>
      <c r="K107" s="89">
        <v>169.0</v>
      </c>
      <c r="L107" s="254" t="s">
        <v>1178</v>
      </c>
      <c r="M107" s="89">
        <f t="shared" si="18"/>
        <v>2028</v>
      </c>
      <c r="N107" s="106" t="s">
        <v>71</v>
      </c>
      <c r="O107" s="106" t="s">
        <v>29</v>
      </c>
      <c r="P107" s="106" t="s">
        <v>72</v>
      </c>
      <c r="Q107" s="106">
        <v>2744.0</v>
      </c>
      <c r="R107" s="106" t="s">
        <v>233</v>
      </c>
      <c r="S107" s="106" t="s">
        <v>110</v>
      </c>
      <c r="T107" s="90"/>
      <c r="U107" s="123" t="s">
        <v>1867</v>
      </c>
      <c r="V107" s="219"/>
      <c r="X107" s="219"/>
      <c r="Y107" s="219"/>
      <c r="Z107" s="219"/>
      <c r="AA107" s="220"/>
      <c r="AB107" s="3"/>
      <c r="AC107" s="216"/>
      <c r="AD107" s="399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>
      <c r="A108" s="12">
        <v>104.0</v>
      </c>
      <c r="B108" s="106" t="s">
        <v>2170</v>
      </c>
      <c r="C108" s="106" t="s">
        <v>2171</v>
      </c>
      <c r="D108" s="106" t="s">
        <v>2172</v>
      </c>
      <c r="E108" s="106" t="s">
        <v>2173</v>
      </c>
      <c r="F108" s="106" t="s">
        <v>2174</v>
      </c>
      <c r="G108" s="106">
        <v>15.0</v>
      </c>
      <c r="H108" s="107" t="s">
        <v>123</v>
      </c>
      <c r="I108" s="108">
        <v>46121.0</v>
      </c>
      <c r="J108" s="109"/>
      <c r="K108" s="89">
        <v>414.72</v>
      </c>
      <c r="L108" s="254" t="s">
        <v>1178</v>
      </c>
      <c r="M108" s="89">
        <f t="shared" si="18"/>
        <v>4976.64</v>
      </c>
      <c r="N108" s="106" t="s">
        <v>28</v>
      </c>
      <c r="O108" s="106" t="s">
        <v>29</v>
      </c>
      <c r="P108" s="106" t="s">
        <v>40</v>
      </c>
      <c r="Q108" s="91"/>
      <c r="R108" s="91"/>
      <c r="S108" s="106" t="s">
        <v>110</v>
      </c>
      <c r="T108" s="106" t="s">
        <v>2175</v>
      </c>
      <c r="U108" s="178"/>
      <c r="V108" s="3"/>
      <c r="W108" s="3"/>
      <c r="X108" s="3"/>
      <c r="Y108" s="3"/>
      <c r="Z108" s="3"/>
      <c r="AA108" s="3"/>
      <c r="AB108" s="3"/>
      <c r="AC108" s="3"/>
      <c r="AD108" s="3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</row>
    <row r="109">
      <c r="A109" s="12">
        <v>105.0</v>
      </c>
      <c r="B109" s="106" t="s">
        <v>2176</v>
      </c>
      <c r="C109" s="106" t="s">
        <v>2177</v>
      </c>
      <c r="D109" s="106" t="s">
        <v>2172</v>
      </c>
      <c r="E109" s="106" t="s">
        <v>2173</v>
      </c>
      <c r="F109" s="106" t="s">
        <v>2174</v>
      </c>
      <c r="G109" s="106">
        <v>15.0</v>
      </c>
      <c r="H109" s="107" t="s">
        <v>123</v>
      </c>
      <c r="I109" s="108">
        <v>46121.0</v>
      </c>
      <c r="J109" s="109"/>
      <c r="K109" s="89">
        <v>414.72</v>
      </c>
      <c r="L109" s="254" t="s">
        <v>1178</v>
      </c>
      <c r="M109" s="89">
        <f t="shared" si="18"/>
        <v>4976.64</v>
      </c>
      <c r="N109" s="106" t="s">
        <v>28</v>
      </c>
      <c r="O109" s="106" t="s">
        <v>29</v>
      </c>
      <c r="P109" s="106" t="s">
        <v>40</v>
      </c>
      <c r="Q109" s="91"/>
      <c r="R109" s="91"/>
      <c r="S109" s="106" t="s">
        <v>110</v>
      </c>
      <c r="T109" s="106" t="s">
        <v>2175</v>
      </c>
      <c r="U109" s="178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>
      <c r="A110" s="12">
        <v>106.0</v>
      </c>
      <c r="B110" s="106" t="s">
        <v>2178</v>
      </c>
      <c r="C110" s="106" t="s">
        <v>2179</v>
      </c>
      <c r="D110" s="106" t="s">
        <v>2172</v>
      </c>
      <c r="E110" s="106" t="s">
        <v>2173</v>
      </c>
      <c r="F110" s="106" t="s">
        <v>2174</v>
      </c>
      <c r="G110" s="106">
        <v>15.0</v>
      </c>
      <c r="H110" s="107" t="s">
        <v>123</v>
      </c>
      <c r="I110" s="108">
        <v>46121.0</v>
      </c>
      <c r="J110" s="109"/>
      <c r="K110" s="89">
        <v>414.72</v>
      </c>
      <c r="L110" s="254" t="s">
        <v>1178</v>
      </c>
      <c r="M110" s="89">
        <f t="shared" si="18"/>
        <v>4976.64</v>
      </c>
      <c r="N110" s="106" t="s">
        <v>28</v>
      </c>
      <c r="O110" s="106" t="s">
        <v>29</v>
      </c>
      <c r="P110" s="106" t="s">
        <v>40</v>
      </c>
      <c r="Q110" s="91"/>
      <c r="R110" s="91"/>
      <c r="S110" s="106" t="s">
        <v>110</v>
      </c>
      <c r="T110" s="106" t="s">
        <v>2175</v>
      </c>
      <c r="U110" s="178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>
      <c r="A111" s="12">
        <v>107.0</v>
      </c>
      <c r="B111" s="106" t="s">
        <v>2180</v>
      </c>
      <c r="C111" s="106" t="s">
        <v>2181</v>
      </c>
      <c r="D111" s="106" t="s">
        <v>2172</v>
      </c>
      <c r="E111" s="106" t="s">
        <v>2173</v>
      </c>
      <c r="F111" s="106" t="s">
        <v>2174</v>
      </c>
      <c r="G111" s="106">
        <v>15.0</v>
      </c>
      <c r="H111" s="107" t="s">
        <v>123</v>
      </c>
      <c r="I111" s="108">
        <v>46121.0</v>
      </c>
      <c r="J111" s="109"/>
      <c r="K111" s="89">
        <v>414.72</v>
      </c>
      <c r="L111" s="254" t="s">
        <v>1178</v>
      </c>
      <c r="M111" s="89">
        <f t="shared" si="18"/>
        <v>4976.64</v>
      </c>
      <c r="N111" s="106" t="s">
        <v>28</v>
      </c>
      <c r="O111" s="106" t="s">
        <v>29</v>
      </c>
      <c r="P111" s="106" t="s">
        <v>40</v>
      </c>
      <c r="Q111" s="91"/>
      <c r="R111" s="91"/>
      <c r="S111" s="106" t="s">
        <v>110</v>
      </c>
      <c r="T111" s="106" t="s">
        <v>2175</v>
      </c>
      <c r="U111" s="123" t="s">
        <v>1867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>
      <c r="A112" s="12">
        <v>108.0</v>
      </c>
      <c r="B112" s="106" t="s">
        <v>2182</v>
      </c>
      <c r="C112" s="106" t="s">
        <v>2183</v>
      </c>
      <c r="D112" s="106" t="s">
        <v>2172</v>
      </c>
      <c r="E112" s="106" t="s">
        <v>2173</v>
      </c>
      <c r="F112" s="207" t="s">
        <v>2174</v>
      </c>
      <c r="G112" s="106">
        <v>15.0</v>
      </c>
      <c r="H112" s="107" t="s">
        <v>123</v>
      </c>
      <c r="I112" s="108">
        <v>46121.0</v>
      </c>
      <c r="J112" s="109"/>
      <c r="K112" s="89">
        <v>414.72</v>
      </c>
      <c r="L112" s="254" t="s">
        <v>1178</v>
      </c>
      <c r="M112" s="89">
        <f t="shared" si="18"/>
        <v>4976.64</v>
      </c>
      <c r="N112" s="106" t="s">
        <v>28</v>
      </c>
      <c r="O112" s="106" t="s">
        <v>29</v>
      </c>
      <c r="P112" s="106" t="s">
        <v>40</v>
      </c>
      <c r="Q112" s="91"/>
      <c r="R112" s="91"/>
      <c r="S112" s="106" t="s">
        <v>110</v>
      </c>
      <c r="T112" s="106" t="s">
        <v>2175</v>
      </c>
      <c r="U112" s="123" t="s">
        <v>1867</v>
      </c>
      <c r="V112" s="3"/>
      <c r="W112" s="3"/>
      <c r="X112" s="3"/>
      <c r="Y112" s="3"/>
      <c r="Z112" s="3"/>
      <c r="AA112" s="3"/>
      <c r="AB112" s="3"/>
      <c r="AC112" s="3"/>
      <c r="AD112" s="3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</row>
    <row r="113">
      <c r="A113" s="12">
        <v>109.0</v>
      </c>
      <c r="B113" s="106" t="s">
        <v>2184</v>
      </c>
      <c r="C113" s="106" t="s">
        <v>2185</v>
      </c>
      <c r="D113" s="106" t="s">
        <v>2186</v>
      </c>
      <c r="E113" s="106" t="s">
        <v>2187</v>
      </c>
      <c r="F113" s="173" t="s">
        <v>2188</v>
      </c>
      <c r="G113" s="106">
        <v>4.0</v>
      </c>
      <c r="H113" s="107" t="s">
        <v>123</v>
      </c>
      <c r="I113" s="108">
        <v>46125.0</v>
      </c>
      <c r="J113" s="109"/>
      <c r="K113" s="89">
        <v>157.0</v>
      </c>
      <c r="L113" s="254">
        <v>12.0</v>
      </c>
      <c r="M113" s="89">
        <f t="shared" si="18"/>
        <v>1884</v>
      </c>
      <c r="N113" s="106" t="s">
        <v>58</v>
      </c>
      <c r="O113" s="106" t="s">
        <v>29</v>
      </c>
      <c r="P113" s="106" t="s">
        <v>40</v>
      </c>
      <c r="Q113" s="91"/>
      <c r="R113" s="106" t="s">
        <v>233</v>
      </c>
      <c r="S113" s="106" t="s">
        <v>110</v>
      </c>
      <c r="T113" s="106" t="s">
        <v>2189</v>
      </c>
      <c r="U113" s="123" t="s">
        <v>1867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>
      <c r="A114" s="12">
        <v>110.0</v>
      </c>
      <c r="B114" s="106" t="s">
        <v>2190</v>
      </c>
      <c r="C114" s="106" t="s">
        <v>2191</v>
      </c>
      <c r="D114" s="106" t="s">
        <v>2186</v>
      </c>
      <c r="E114" s="106" t="s">
        <v>2187</v>
      </c>
      <c r="F114" s="173" t="s">
        <v>2188</v>
      </c>
      <c r="G114" s="106">
        <v>3.0</v>
      </c>
      <c r="H114" s="107" t="s">
        <v>123</v>
      </c>
      <c r="I114" s="108">
        <v>46125.0</v>
      </c>
      <c r="J114" s="109"/>
      <c r="K114" s="89">
        <v>151.0</v>
      </c>
      <c r="L114" s="254">
        <v>12.0</v>
      </c>
      <c r="M114" s="89">
        <f t="shared" si="18"/>
        <v>1812</v>
      </c>
      <c r="N114" s="106" t="s">
        <v>58</v>
      </c>
      <c r="O114" s="106" t="s">
        <v>29</v>
      </c>
      <c r="P114" s="106" t="s">
        <v>40</v>
      </c>
      <c r="Q114" s="91"/>
      <c r="R114" s="106" t="s">
        <v>233</v>
      </c>
      <c r="S114" s="106" t="s">
        <v>110</v>
      </c>
      <c r="T114" s="106" t="s">
        <v>2189</v>
      </c>
      <c r="U114" s="178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>
      <c r="A115" s="12">
        <v>111.0</v>
      </c>
      <c r="B115" s="106" t="s">
        <v>2192</v>
      </c>
      <c r="C115" s="106" t="s">
        <v>2193</v>
      </c>
      <c r="D115" s="106" t="s">
        <v>2186</v>
      </c>
      <c r="E115" s="106" t="s">
        <v>2187</v>
      </c>
      <c r="F115" s="173" t="s">
        <v>2188</v>
      </c>
      <c r="G115" s="106">
        <v>3.0</v>
      </c>
      <c r="H115" s="107" t="s">
        <v>123</v>
      </c>
      <c r="I115" s="108">
        <v>46125.0</v>
      </c>
      <c r="J115" s="109"/>
      <c r="K115" s="89">
        <v>151.0</v>
      </c>
      <c r="L115" s="254">
        <v>12.0</v>
      </c>
      <c r="M115" s="89">
        <f t="shared" si="18"/>
        <v>1812</v>
      </c>
      <c r="N115" s="106" t="s">
        <v>58</v>
      </c>
      <c r="O115" s="106" t="s">
        <v>29</v>
      </c>
      <c r="P115" s="106" t="s">
        <v>40</v>
      </c>
      <c r="Q115" s="91"/>
      <c r="R115" s="106" t="s">
        <v>233</v>
      </c>
      <c r="S115" s="106" t="s">
        <v>110</v>
      </c>
      <c r="T115" s="106" t="s">
        <v>2189</v>
      </c>
      <c r="U115" s="178"/>
      <c r="V115" s="3"/>
      <c r="W115" s="3"/>
      <c r="X115" s="3"/>
      <c r="Y115" s="3"/>
      <c r="Z115" s="3"/>
      <c r="AA115" s="3"/>
      <c r="AB115" s="3"/>
      <c r="AC115" s="3"/>
      <c r="AD115" s="3"/>
      <c r="AE115" s="314"/>
      <c r="AF115" s="314"/>
      <c r="AG115" s="314"/>
      <c r="AH115" s="314"/>
      <c r="AI115" s="314"/>
      <c r="AJ115" s="314"/>
      <c r="AK115" s="314"/>
      <c r="AL115" s="314"/>
      <c r="AM115" s="314"/>
      <c r="AN115" s="314"/>
      <c r="AO115" s="314"/>
      <c r="AP115" s="314"/>
      <c r="AQ115" s="314"/>
      <c r="AR115" s="314"/>
      <c r="AS115" s="314"/>
      <c r="AT115" s="314"/>
      <c r="AU115" s="314"/>
      <c r="AV115" s="314"/>
    </row>
    <row r="116">
      <c r="A116" s="12">
        <v>112.0</v>
      </c>
      <c r="B116" s="106" t="s">
        <v>2194</v>
      </c>
      <c r="C116" s="106" t="s">
        <v>2195</v>
      </c>
      <c r="D116" s="106" t="s">
        <v>2196</v>
      </c>
      <c r="E116" s="106" t="s">
        <v>2197</v>
      </c>
      <c r="F116" s="106" t="s">
        <v>2198</v>
      </c>
      <c r="G116" s="106">
        <v>40.0</v>
      </c>
      <c r="H116" s="107" t="s">
        <v>123</v>
      </c>
      <c r="I116" s="108">
        <v>46126.0</v>
      </c>
      <c r="J116" s="108">
        <v>46126.0</v>
      </c>
      <c r="K116" s="89">
        <v>420.0</v>
      </c>
      <c r="L116" s="254" t="s">
        <v>1178</v>
      </c>
      <c r="M116" s="89">
        <f t="shared" si="18"/>
        <v>5040</v>
      </c>
      <c r="N116" s="106" t="s">
        <v>71</v>
      </c>
      <c r="O116" s="106" t="s">
        <v>29</v>
      </c>
      <c r="P116" s="106" t="s">
        <v>72</v>
      </c>
      <c r="Q116" s="106">
        <v>2746.0</v>
      </c>
      <c r="R116" s="106" t="s">
        <v>73</v>
      </c>
      <c r="S116" s="106" t="s">
        <v>110</v>
      </c>
      <c r="T116" s="91"/>
      <c r="U116" s="123" t="s">
        <v>1867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>
      <c r="A117" s="12">
        <v>113.0</v>
      </c>
      <c r="B117" s="123" t="s">
        <v>2199</v>
      </c>
      <c r="C117" s="123">
        <v>5.9929075000102E13</v>
      </c>
      <c r="D117" s="123" t="s">
        <v>2200</v>
      </c>
      <c r="E117" s="123" t="s">
        <v>2201</v>
      </c>
      <c r="F117" s="123" t="s">
        <v>2202</v>
      </c>
      <c r="G117" s="123">
        <v>18.0</v>
      </c>
      <c r="H117" s="123" t="s">
        <v>711</v>
      </c>
      <c r="I117" s="177">
        <v>46122.0</v>
      </c>
      <c r="J117" s="178"/>
      <c r="K117" s="179">
        <v>500.0</v>
      </c>
      <c r="L117" s="123">
        <v>2.0</v>
      </c>
      <c r="M117" s="179">
        <v>1000.0</v>
      </c>
      <c r="N117" s="185" t="s">
        <v>28</v>
      </c>
      <c r="O117" s="185" t="s">
        <v>91</v>
      </c>
      <c r="P117" s="185" t="s">
        <v>40</v>
      </c>
      <c r="Q117" s="178"/>
      <c r="R117" s="185" t="s">
        <v>233</v>
      </c>
      <c r="S117" s="185" t="s">
        <v>129</v>
      </c>
      <c r="T117" s="188"/>
      <c r="U117" s="178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>
      <c r="A118" s="12">
        <v>114.0</v>
      </c>
      <c r="B118" s="146" t="s">
        <v>2203</v>
      </c>
      <c r="C118" s="146" t="s">
        <v>2204</v>
      </c>
      <c r="D118" s="146" t="s">
        <v>2205</v>
      </c>
      <c r="E118" s="146" t="s">
        <v>2206</v>
      </c>
      <c r="F118" s="146" t="s">
        <v>2207</v>
      </c>
      <c r="G118" s="146">
        <v>5.0</v>
      </c>
      <c r="H118" s="103" t="s">
        <v>711</v>
      </c>
      <c r="I118" s="338">
        <v>46122.0</v>
      </c>
      <c r="J118" s="338">
        <v>46122.0</v>
      </c>
      <c r="K118" s="126" t="s">
        <v>211</v>
      </c>
      <c r="L118" s="146">
        <v>1.0</v>
      </c>
      <c r="M118" s="126">
        <v>1000.0</v>
      </c>
      <c r="N118" s="394" t="s">
        <v>71</v>
      </c>
      <c r="O118" s="394" t="s">
        <v>91</v>
      </c>
      <c r="P118" s="394" t="s">
        <v>72</v>
      </c>
      <c r="Q118" s="395">
        <v>2731.0</v>
      </c>
      <c r="R118" s="394" t="s">
        <v>73</v>
      </c>
      <c r="S118" s="394" t="s">
        <v>2208</v>
      </c>
      <c r="T118" s="323" t="s">
        <v>1867</v>
      </c>
      <c r="U118" s="146" t="s">
        <v>1867</v>
      </c>
      <c r="V118" s="362"/>
      <c r="W118" s="362"/>
      <c r="X118" s="362"/>
      <c r="Y118" s="362"/>
      <c r="Z118" s="362"/>
      <c r="AA118" s="362"/>
      <c r="AB118" s="362"/>
      <c r="AC118" s="362"/>
      <c r="AD118" s="362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</row>
    <row r="119">
      <c r="A119" s="12">
        <v>115.0</v>
      </c>
      <c r="B119" s="295" t="s">
        <v>2209</v>
      </c>
      <c r="C119" s="295" t="s">
        <v>2210</v>
      </c>
      <c r="D119" s="146" t="s">
        <v>2211</v>
      </c>
      <c r="E119" s="146" t="s">
        <v>2212</v>
      </c>
      <c r="F119" s="146" t="s">
        <v>2213</v>
      </c>
      <c r="G119" s="146">
        <v>3.0</v>
      </c>
      <c r="H119" s="103" t="s">
        <v>711</v>
      </c>
      <c r="I119" s="338">
        <v>46122.0</v>
      </c>
      <c r="J119" s="338">
        <v>46126.0</v>
      </c>
      <c r="K119" s="126" t="s">
        <v>211</v>
      </c>
      <c r="L119" s="146">
        <v>1.0</v>
      </c>
      <c r="M119" s="126">
        <v>1000.0</v>
      </c>
      <c r="N119" s="185" t="s">
        <v>71</v>
      </c>
      <c r="O119" s="185" t="s">
        <v>91</v>
      </c>
      <c r="P119" s="185" t="s">
        <v>72</v>
      </c>
      <c r="Q119" s="146">
        <v>2741.0</v>
      </c>
      <c r="R119" s="185" t="s">
        <v>73</v>
      </c>
      <c r="S119" s="185" t="s">
        <v>2208</v>
      </c>
      <c r="T119" s="323" t="s">
        <v>2214</v>
      </c>
      <c r="U119" s="295" t="s">
        <v>1867</v>
      </c>
      <c r="V119" s="314"/>
      <c r="W119" s="314"/>
      <c r="X119" s="314"/>
      <c r="Y119" s="314"/>
      <c r="Z119" s="314"/>
      <c r="AA119" s="314"/>
      <c r="AB119" s="314"/>
      <c r="AC119" s="314"/>
      <c r="AD119" s="314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</row>
    <row r="120">
      <c r="A120" s="12">
        <v>116.0</v>
      </c>
      <c r="B120" s="284" t="s">
        <v>2215</v>
      </c>
      <c r="C120" s="303" t="s">
        <v>2216</v>
      </c>
      <c r="D120" s="303" t="s">
        <v>2217</v>
      </c>
      <c r="E120" s="303" t="s">
        <v>2218</v>
      </c>
      <c r="F120" s="303" t="s">
        <v>2219</v>
      </c>
      <c r="G120" s="303">
        <v>27.0</v>
      </c>
      <c r="H120" s="303" t="s">
        <v>459</v>
      </c>
      <c r="I120" s="305">
        <v>46122.0</v>
      </c>
      <c r="J120" s="305">
        <v>46122.0</v>
      </c>
      <c r="K120" s="126" t="s">
        <v>57</v>
      </c>
      <c r="L120" s="146">
        <v>1.0</v>
      </c>
      <c r="M120" s="126">
        <v>1500.0</v>
      </c>
      <c r="N120" s="185" t="s">
        <v>71</v>
      </c>
      <c r="O120" s="185" t="s">
        <v>29</v>
      </c>
      <c r="P120" s="185" t="s">
        <v>72</v>
      </c>
      <c r="Q120" s="146">
        <v>2730.0</v>
      </c>
      <c r="R120" s="185" t="s">
        <v>41</v>
      </c>
      <c r="S120" s="185" t="s">
        <v>148</v>
      </c>
      <c r="T120" s="313"/>
      <c r="U120" s="146" t="s">
        <v>2220</v>
      </c>
      <c r="V120" s="314"/>
      <c r="W120" s="314"/>
      <c r="X120" s="314"/>
      <c r="Y120" s="314"/>
      <c r="Z120" s="314"/>
      <c r="AA120" s="314"/>
      <c r="AB120" s="314"/>
      <c r="AC120" s="314"/>
      <c r="AD120" s="31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</row>
    <row r="121">
      <c r="A121" s="12">
        <v>117.0</v>
      </c>
      <c r="B121" s="123" t="s">
        <v>2221</v>
      </c>
      <c r="C121" s="316" t="s">
        <v>2222</v>
      </c>
      <c r="D121" s="123" t="s">
        <v>2223</v>
      </c>
      <c r="E121" s="123" t="s">
        <v>2224</v>
      </c>
      <c r="F121" s="123" t="s">
        <v>2225</v>
      </c>
      <c r="G121" s="123">
        <v>4.0</v>
      </c>
      <c r="H121" s="97" t="s">
        <v>65</v>
      </c>
      <c r="I121" s="174">
        <v>46122.0</v>
      </c>
      <c r="J121" s="178"/>
      <c r="K121" s="197">
        <v>160.03</v>
      </c>
      <c r="L121" s="103">
        <v>12.0</v>
      </c>
      <c r="M121" s="175">
        <f t="shared" ref="M121:M123" si="19">K121*12</f>
        <v>1920.36</v>
      </c>
      <c r="N121" s="137" t="s">
        <v>58</v>
      </c>
      <c r="O121" s="137" t="s">
        <v>29</v>
      </c>
      <c r="P121" s="346" t="s">
        <v>40</v>
      </c>
      <c r="Q121" s="178"/>
      <c r="R121" s="400" t="s">
        <v>41</v>
      </c>
      <c r="S121" s="185" t="s">
        <v>31</v>
      </c>
      <c r="T121" s="188"/>
      <c r="U121" s="178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>
      <c r="A122" s="12">
        <v>118.0</v>
      </c>
      <c r="B122" s="123" t="s">
        <v>2226</v>
      </c>
      <c r="C122" s="123" t="s">
        <v>2227</v>
      </c>
      <c r="D122" s="123" t="s">
        <v>2223</v>
      </c>
      <c r="E122" s="123" t="s">
        <v>2224</v>
      </c>
      <c r="F122" s="123" t="s">
        <v>2225</v>
      </c>
      <c r="G122" s="123">
        <v>5.0</v>
      </c>
      <c r="H122" s="97" t="s">
        <v>65</v>
      </c>
      <c r="I122" s="174">
        <v>46122.0</v>
      </c>
      <c r="J122" s="178"/>
      <c r="K122" s="197">
        <v>165.05</v>
      </c>
      <c r="L122" s="103">
        <v>12.0</v>
      </c>
      <c r="M122" s="175">
        <f t="shared" si="19"/>
        <v>1980.6</v>
      </c>
      <c r="N122" s="137" t="s">
        <v>58</v>
      </c>
      <c r="O122" s="137" t="s">
        <v>29</v>
      </c>
      <c r="P122" s="346" t="s">
        <v>40</v>
      </c>
      <c r="Q122" s="178"/>
      <c r="R122" s="400" t="s">
        <v>41</v>
      </c>
      <c r="S122" s="185" t="s">
        <v>31</v>
      </c>
      <c r="T122" s="188"/>
      <c r="U122" s="178"/>
      <c r="V122" s="3"/>
      <c r="W122" s="3"/>
      <c r="X122" s="3"/>
      <c r="Y122" s="3"/>
      <c r="Z122" s="3"/>
      <c r="AA122" s="3"/>
      <c r="AB122" s="3"/>
      <c r="AC122" s="3"/>
      <c r="AD122" s="3"/>
      <c r="AE122" s="393"/>
      <c r="AF122" s="393"/>
      <c r="AG122" s="393"/>
      <c r="AH122" s="393"/>
      <c r="AI122" s="393"/>
      <c r="AJ122" s="393"/>
      <c r="AK122" s="393"/>
      <c r="AL122" s="393"/>
      <c r="AM122" s="393"/>
      <c r="AN122" s="393"/>
      <c r="AO122" s="393"/>
      <c r="AP122" s="393"/>
      <c r="AQ122" s="393"/>
      <c r="AR122" s="393"/>
      <c r="AS122" s="393"/>
      <c r="AT122" s="393"/>
      <c r="AU122" s="393"/>
      <c r="AV122" s="393"/>
    </row>
    <row r="123">
      <c r="A123" s="12">
        <v>119.0</v>
      </c>
      <c r="B123" s="106" t="s">
        <v>2228</v>
      </c>
      <c r="C123" s="106" t="s">
        <v>2229</v>
      </c>
      <c r="D123" s="106" t="s">
        <v>2230</v>
      </c>
      <c r="E123" s="106" t="s">
        <v>2231</v>
      </c>
      <c r="F123" s="106" t="s">
        <v>2232</v>
      </c>
      <c r="G123" s="106">
        <v>1.0</v>
      </c>
      <c r="H123" s="107" t="s">
        <v>123</v>
      </c>
      <c r="I123" s="108">
        <v>46125.0</v>
      </c>
      <c r="J123" s="109"/>
      <c r="K123" s="89">
        <v>139.0</v>
      </c>
      <c r="L123" s="254">
        <v>12.0</v>
      </c>
      <c r="M123" s="89">
        <f t="shared" si="19"/>
        <v>1668</v>
      </c>
      <c r="N123" s="106" t="s">
        <v>28</v>
      </c>
      <c r="O123" s="106" t="s">
        <v>29</v>
      </c>
      <c r="P123" s="106" t="s">
        <v>40</v>
      </c>
      <c r="Q123" s="91"/>
      <c r="R123" s="91"/>
      <c r="S123" s="106" t="s">
        <v>110</v>
      </c>
      <c r="T123" s="106" t="s">
        <v>2233</v>
      </c>
      <c r="U123" s="178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>
      <c r="A124" s="12">
        <v>120.0</v>
      </c>
      <c r="B124" s="205" t="s">
        <v>2234</v>
      </c>
      <c r="C124" s="106" t="s">
        <v>2235</v>
      </c>
      <c r="D124" s="106" t="s">
        <v>2236</v>
      </c>
      <c r="E124" s="106" t="s">
        <v>2237</v>
      </c>
      <c r="F124" s="106" t="s">
        <v>2238</v>
      </c>
      <c r="G124" s="106">
        <v>65.0</v>
      </c>
      <c r="H124" s="123" t="s">
        <v>1621</v>
      </c>
      <c r="I124" s="177">
        <v>46125.0</v>
      </c>
      <c r="J124" s="178"/>
      <c r="K124" s="179" t="s">
        <v>57</v>
      </c>
      <c r="L124" s="123">
        <v>1.0</v>
      </c>
      <c r="M124" s="179">
        <v>2800.0</v>
      </c>
      <c r="N124" s="185" t="s">
        <v>58</v>
      </c>
      <c r="O124" s="185" t="s">
        <v>91</v>
      </c>
      <c r="P124" s="185" t="s">
        <v>40</v>
      </c>
      <c r="Q124" s="178"/>
      <c r="R124" s="185" t="s">
        <v>233</v>
      </c>
      <c r="S124" s="185" t="s">
        <v>129</v>
      </c>
      <c r="T124" s="188"/>
      <c r="U124" s="178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>
      <c r="A125" s="12">
        <v>121.0</v>
      </c>
      <c r="B125" s="295" t="s">
        <v>806</v>
      </c>
      <c r="C125" s="286" t="s">
        <v>807</v>
      </c>
      <c r="D125" s="295" t="s">
        <v>1535</v>
      </c>
      <c r="E125" s="295">
        <v>1.123858583E9</v>
      </c>
      <c r="F125" s="295" t="s">
        <v>2239</v>
      </c>
      <c r="G125" s="295">
        <v>15.0</v>
      </c>
      <c r="H125" s="136" t="s">
        <v>711</v>
      </c>
      <c r="I125" s="368">
        <v>46125.0</v>
      </c>
      <c r="J125" s="368">
        <v>46128.0</v>
      </c>
      <c r="K125" s="372" t="s">
        <v>57</v>
      </c>
      <c r="L125" s="295">
        <v>1.0</v>
      </c>
      <c r="M125" s="372">
        <v>900.0</v>
      </c>
      <c r="N125" s="353" t="s">
        <v>71</v>
      </c>
      <c r="O125" s="353" t="s">
        <v>91</v>
      </c>
      <c r="P125" s="353" t="s">
        <v>72</v>
      </c>
      <c r="Q125" s="295">
        <v>2759.0</v>
      </c>
      <c r="R125" s="353" t="s">
        <v>73</v>
      </c>
      <c r="S125" s="353" t="s">
        <v>129</v>
      </c>
      <c r="T125" s="401"/>
      <c r="U125" s="295" t="s">
        <v>1867</v>
      </c>
      <c r="V125" s="393"/>
      <c r="W125" s="393"/>
      <c r="X125" s="393"/>
      <c r="Y125" s="393"/>
      <c r="Z125" s="393"/>
      <c r="AA125" s="393"/>
      <c r="AB125" s="393"/>
      <c r="AC125" s="393"/>
      <c r="AD125" s="393"/>
      <c r="AE125" s="402"/>
      <c r="AF125" s="402"/>
      <c r="AG125" s="402"/>
      <c r="AH125" s="402"/>
      <c r="AI125" s="402"/>
      <c r="AJ125" s="402"/>
      <c r="AK125" s="402"/>
      <c r="AL125" s="402"/>
      <c r="AM125" s="402"/>
      <c r="AN125" s="402"/>
      <c r="AO125" s="402"/>
      <c r="AP125" s="402"/>
      <c r="AQ125" s="402"/>
      <c r="AR125" s="402"/>
      <c r="AS125" s="402"/>
      <c r="AT125" s="402"/>
      <c r="AU125" s="402"/>
      <c r="AV125" s="402"/>
    </row>
    <row r="126">
      <c r="A126" s="12">
        <v>122.0</v>
      </c>
      <c r="B126" s="295" t="s">
        <v>799</v>
      </c>
      <c r="C126" s="403" t="s">
        <v>800</v>
      </c>
      <c r="D126" s="146" t="s">
        <v>1535</v>
      </c>
      <c r="E126" s="146">
        <v>1.123858583E9</v>
      </c>
      <c r="F126" s="146" t="s">
        <v>2239</v>
      </c>
      <c r="G126" s="146">
        <v>53.0</v>
      </c>
      <c r="H126" s="136" t="s">
        <v>711</v>
      </c>
      <c r="I126" s="321">
        <v>46125.0</v>
      </c>
      <c r="J126" s="321">
        <v>46128.0</v>
      </c>
      <c r="K126" s="126" t="s">
        <v>57</v>
      </c>
      <c r="L126" s="146">
        <v>1.0</v>
      </c>
      <c r="M126" s="126">
        <v>1800.0</v>
      </c>
      <c r="N126" s="185" t="s">
        <v>71</v>
      </c>
      <c r="O126" s="185" t="s">
        <v>91</v>
      </c>
      <c r="P126" s="185" t="s">
        <v>72</v>
      </c>
      <c r="Q126" s="146">
        <v>2760.0</v>
      </c>
      <c r="R126" s="185" t="s">
        <v>73</v>
      </c>
      <c r="S126" s="185" t="s">
        <v>129</v>
      </c>
      <c r="T126" s="313"/>
      <c r="U126" s="146" t="s">
        <v>1867</v>
      </c>
      <c r="V126" s="314"/>
      <c r="W126" s="314"/>
      <c r="X126" s="314"/>
      <c r="Y126" s="314"/>
      <c r="Z126" s="314"/>
      <c r="AA126" s="314"/>
      <c r="AB126" s="314"/>
      <c r="AC126" s="314"/>
      <c r="AD126" s="314"/>
      <c r="AE126" s="402"/>
      <c r="AF126" s="402"/>
      <c r="AG126" s="402"/>
      <c r="AH126" s="402"/>
      <c r="AI126" s="402"/>
      <c r="AJ126" s="402"/>
      <c r="AK126" s="402"/>
      <c r="AL126" s="402"/>
      <c r="AM126" s="402"/>
      <c r="AN126" s="402"/>
      <c r="AO126" s="402"/>
      <c r="AP126" s="402"/>
      <c r="AQ126" s="402"/>
      <c r="AR126" s="402"/>
      <c r="AS126" s="402"/>
      <c r="AT126" s="402"/>
      <c r="AU126" s="402"/>
      <c r="AV126" s="402"/>
    </row>
    <row r="127">
      <c r="A127" s="12">
        <v>123.0</v>
      </c>
      <c r="B127" s="123" t="s">
        <v>2240</v>
      </c>
      <c r="C127" s="123" t="s">
        <v>2241</v>
      </c>
      <c r="D127" s="123" t="s">
        <v>2242</v>
      </c>
      <c r="E127" s="123" t="s">
        <v>2243</v>
      </c>
      <c r="F127" s="123" t="s">
        <v>2244</v>
      </c>
      <c r="G127" s="123" t="s">
        <v>26</v>
      </c>
      <c r="H127" s="123" t="s">
        <v>711</v>
      </c>
      <c r="I127" s="177">
        <v>46125.0</v>
      </c>
      <c r="J127" s="178"/>
      <c r="K127" s="125">
        <v>1000.0</v>
      </c>
      <c r="L127" s="254">
        <v>1.0</v>
      </c>
      <c r="M127" s="89">
        <f>K127*1</f>
        <v>1000</v>
      </c>
      <c r="N127" s="185" t="s">
        <v>58</v>
      </c>
      <c r="O127" s="185" t="s">
        <v>29</v>
      </c>
      <c r="P127" s="185" t="s">
        <v>40</v>
      </c>
      <c r="Q127" s="178"/>
      <c r="R127" s="185" t="s">
        <v>73</v>
      </c>
      <c r="S127" s="185" t="s">
        <v>31</v>
      </c>
      <c r="T127" s="315" t="s">
        <v>2245</v>
      </c>
      <c r="U127" s="178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>
      <c r="A128" s="12">
        <v>124.0</v>
      </c>
      <c r="B128" s="123" t="s">
        <v>2246</v>
      </c>
      <c r="C128" s="123" t="s">
        <v>2247</v>
      </c>
      <c r="D128" s="123" t="s">
        <v>2248</v>
      </c>
      <c r="E128" s="123" t="s">
        <v>2249</v>
      </c>
      <c r="F128" s="123" t="s">
        <v>2250</v>
      </c>
      <c r="G128" s="123">
        <v>4.0</v>
      </c>
      <c r="H128" s="123" t="s">
        <v>65</v>
      </c>
      <c r="I128" s="177">
        <v>46125.0</v>
      </c>
      <c r="J128" s="178"/>
      <c r="K128" s="179">
        <v>158.0</v>
      </c>
      <c r="L128" s="123">
        <v>12.0</v>
      </c>
      <c r="M128" s="180">
        <f>L128*K128</f>
        <v>1896</v>
      </c>
      <c r="N128" s="185" t="s">
        <v>28</v>
      </c>
      <c r="O128" s="185" t="s">
        <v>29</v>
      </c>
      <c r="P128" s="185" t="s">
        <v>40</v>
      </c>
      <c r="Q128" s="178"/>
      <c r="R128" s="185" t="s">
        <v>73</v>
      </c>
      <c r="S128" s="185" t="s">
        <v>31</v>
      </c>
      <c r="T128" s="315" t="s">
        <v>2251</v>
      </c>
      <c r="U128" s="178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>
      <c r="A129" s="12">
        <v>125.0</v>
      </c>
      <c r="B129" s="404" t="s">
        <v>2252</v>
      </c>
      <c r="C129" s="295" t="s">
        <v>2253</v>
      </c>
      <c r="D129" s="295" t="s">
        <v>2254</v>
      </c>
      <c r="E129" s="295" t="s">
        <v>2255</v>
      </c>
      <c r="F129" s="405" t="s">
        <v>2256</v>
      </c>
      <c r="G129" s="295">
        <v>10.0</v>
      </c>
      <c r="H129" s="284" t="s">
        <v>123</v>
      </c>
      <c r="I129" s="321">
        <v>46125.0</v>
      </c>
      <c r="J129" s="321">
        <v>46126.0</v>
      </c>
      <c r="K129" s="126">
        <v>166.18</v>
      </c>
      <c r="L129" s="146">
        <v>12.0</v>
      </c>
      <c r="M129" s="209">
        <f>K129*12</f>
        <v>1994.16</v>
      </c>
      <c r="N129" s="185" t="s">
        <v>71</v>
      </c>
      <c r="O129" s="185" t="s">
        <v>29</v>
      </c>
      <c r="P129" s="185" t="s">
        <v>72</v>
      </c>
      <c r="Q129" s="146">
        <v>2747.0</v>
      </c>
      <c r="R129" s="185" t="s">
        <v>73</v>
      </c>
      <c r="S129" s="185" t="s">
        <v>148</v>
      </c>
      <c r="T129" s="313"/>
      <c r="U129" s="146" t="s">
        <v>1867</v>
      </c>
      <c r="V129" s="314"/>
      <c r="W129" s="314"/>
      <c r="X129" s="314"/>
      <c r="Y129" s="314"/>
      <c r="Z129" s="314"/>
      <c r="AA129" s="314"/>
      <c r="AB129" s="314"/>
      <c r="AC129" s="314"/>
      <c r="AD129" s="314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>
      <c r="A130" s="12">
        <v>126.0</v>
      </c>
      <c r="B130" s="295" t="s">
        <v>2257</v>
      </c>
      <c r="C130" s="295" t="s">
        <v>2258</v>
      </c>
      <c r="D130" s="295" t="s">
        <v>2259</v>
      </c>
      <c r="E130" s="295" t="s">
        <v>2260</v>
      </c>
      <c r="F130" s="405" t="s">
        <v>2261</v>
      </c>
      <c r="G130" s="295" t="s">
        <v>26</v>
      </c>
      <c r="H130" s="295" t="s">
        <v>711</v>
      </c>
      <c r="I130" s="368">
        <v>46125.0</v>
      </c>
      <c r="J130" s="368">
        <v>46128.0</v>
      </c>
      <c r="K130" s="372" t="s">
        <v>57</v>
      </c>
      <c r="L130" s="295">
        <v>1.0</v>
      </c>
      <c r="M130" s="372">
        <v>600.0</v>
      </c>
      <c r="N130" s="406" t="s">
        <v>71</v>
      </c>
      <c r="O130" s="406" t="s">
        <v>91</v>
      </c>
      <c r="P130" s="406" t="s">
        <v>72</v>
      </c>
      <c r="Q130" s="295">
        <v>2762.0</v>
      </c>
      <c r="R130" s="406" t="s">
        <v>73</v>
      </c>
      <c r="S130" s="406" t="s">
        <v>148</v>
      </c>
      <c r="T130" s="401"/>
      <c r="U130" s="295" t="s">
        <v>1867</v>
      </c>
      <c r="V130" s="393"/>
      <c r="W130" s="393"/>
      <c r="X130" s="393"/>
      <c r="Y130" s="393"/>
      <c r="Z130" s="393"/>
      <c r="AA130" s="393"/>
      <c r="AB130" s="393"/>
      <c r="AC130" s="393"/>
      <c r="AD130" s="39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>
      <c r="A131" s="12">
        <v>127.0</v>
      </c>
      <c r="B131" s="106" t="s">
        <v>2262</v>
      </c>
      <c r="C131" s="106" t="s">
        <v>2263</v>
      </c>
      <c r="D131" s="106" t="s">
        <v>2186</v>
      </c>
      <c r="E131" s="106" t="s">
        <v>2187</v>
      </c>
      <c r="F131" s="173" t="s">
        <v>2188</v>
      </c>
      <c r="G131" s="106">
        <v>2.0</v>
      </c>
      <c r="H131" s="107" t="s">
        <v>123</v>
      </c>
      <c r="I131" s="108">
        <v>46125.0</v>
      </c>
      <c r="J131" s="109"/>
      <c r="K131" s="89">
        <v>145.0</v>
      </c>
      <c r="L131" s="254">
        <v>12.0</v>
      </c>
      <c r="M131" s="89">
        <f t="shared" ref="M131:M133" si="20">K131*12</f>
        <v>1740</v>
      </c>
      <c r="N131" s="106" t="s">
        <v>58</v>
      </c>
      <c r="O131" s="106" t="s">
        <v>29</v>
      </c>
      <c r="P131" s="106" t="s">
        <v>40</v>
      </c>
      <c r="Q131" s="91"/>
      <c r="R131" s="106" t="s">
        <v>233</v>
      </c>
      <c r="S131" s="106" t="s">
        <v>110</v>
      </c>
      <c r="T131" s="106" t="s">
        <v>2189</v>
      </c>
      <c r="U131" s="178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</row>
    <row r="132">
      <c r="A132" s="12">
        <v>128.0</v>
      </c>
      <c r="B132" s="106" t="s">
        <v>2264</v>
      </c>
      <c r="C132" s="106" t="s">
        <v>2265</v>
      </c>
      <c r="D132" s="106" t="s">
        <v>2266</v>
      </c>
      <c r="E132" s="106" t="s">
        <v>2267</v>
      </c>
      <c r="F132" s="173" t="s">
        <v>2268</v>
      </c>
      <c r="G132" s="106">
        <v>5.0</v>
      </c>
      <c r="H132" s="107" t="s">
        <v>123</v>
      </c>
      <c r="I132" s="108">
        <v>46125.0</v>
      </c>
      <c r="J132" s="91"/>
      <c r="K132" s="89">
        <v>163.0</v>
      </c>
      <c r="L132" s="86">
        <v>12.0</v>
      </c>
      <c r="M132" s="89">
        <f t="shared" si="20"/>
        <v>1956</v>
      </c>
      <c r="N132" s="106" t="s">
        <v>28</v>
      </c>
      <c r="O132" s="106" t="s">
        <v>29</v>
      </c>
      <c r="P132" s="106" t="s">
        <v>40</v>
      </c>
      <c r="Q132" s="91"/>
      <c r="R132" s="91"/>
      <c r="S132" s="106" t="s">
        <v>110</v>
      </c>
      <c r="T132" s="106" t="s">
        <v>2269</v>
      </c>
      <c r="U132" s="178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>
      <c r="A133" s="12">
        <v>129.0</v>
      </c>
      <c r="B133" s="106" t="s">
        <v>2270</v>
      </c>
      <c r="C133" s="106" t="s">
        <v>2271</v>
      </c>
      <c r="D133" s="106" t="s">
        <v>2272</v>
      </c>
      <c r="E133" s="106" t="s">
        <v>2273</v>
      </c>
      <c r="F133" s="106" t="s">
        <v>2274</v>
      </c>
      <c r="G133" s="106">
        <v>7.0</v>
      </c>
      <c r="H133" s="107" t="s">
        <v>123</v>
      </c>
      <c r="I133" s="108">
        <v>46122.0</v>
      </c>
      <c r="J133" s="108">
        <v>46127.0</v>
      </c>
      <c r="K133" s="89">
        <v>175.0</v>
      </c>
      <c r="L133" s="254" t="s">
        <v>1178</v>
      </c>
      <c r="M133" s="89">
        <f t="shared" si="20"/>
        <v>2100</v>
      </c>
      <c r="N133" s="106" t="s">
        <v>71</v>
      </c>
      <c r="O133" s="106" t="s">
        <v>29</v>
      </c>
      <c r="P133" s="106" t="s">
        <v>72</v>
      </c>
      <c r="Q133" s="106">
        <v>2761.0</v>
      </c>
      <c r="R133" s="106" t="s">
        <v>233</v>
      </c>
      <c r="S133" s="106" t="s">
        <v>110</v>
      </c>
      <c r="T133" s="91"/>
      <c r="U133" s="123" t="s">
        <v>1867</v>
      </c>
      <c r="V133" s="3"/>
      <c r="W133" s="3"/>
      <c r="X133" s="3"/>
      <c r="Y133" s="3"/>
      <c r="Z133" s="3"/>
      <c r="AA133" s="3"/>
      <c r="AB133" s="3"/>
      <c r="AC133" s="3"/>
      <c r="AD133" s="3"/>
      <c r="AE133" s="314"/>
      <c r="AF133" s="314"/>
      <c r="AG133" s="314"/>
      <c r="AH133" s="314"/>
      <c r="AI133" s="314"/>
      <c r="AJ133" s="314"/>
      <c r="AK133" s="314"/>
      <c r="AL133" s="314"/>
      <c r="AM133" s="314"/>
      <c r="AN133" s="314"/>
      <c r="AO133" s="314"/>
      <c r="AP133" s="314"/>
      <c r="AQ133" s="314"/>
      <c r="AR133" s="314"/>
      <c r="AS133" s="314"/>
      <c r="AT133" s="314"/>
      <c r="AU133" s="314"/>
      <c r="AV133" s="314"/>
    </row>
    <row r="134">
      <c r="A134" s="12">
        <v>130.0</v>
      </c>
      <c r="B134" s="123" t="s">
        <v>2275</v>
      </c>
      <c r="C134" s="123" t="s">
        <v>2276</v>
      </c>
      <c r="D134" s="123" t="s">
        <v>2277</v>
      </c>
      <c r="E134" s="123" t="s">
        <v>2278</v>
      </c>
      <c r="F134" s="123" t="s">
        <v>2279</v>
      </c>
      <c r="G134" s="123">
        <v>6.0</v>
      </c>
      <c r="H134" s="123" t="s">
        <v>711</v>
      </c>
      <c r="I134" s="177">
        <v>46126.0</v>
      </c>
      <c r="J134" s="178"/>
      <c r="K134" s="125">
        <v>1000.0</v>
      </c>
      <c r="L134" s="254">
        <v>1.0</v>
      </c>
      <c r="M134" s="89">
        <f>K134*1</f>
        <v>1000</v>
      </c>
      <c r="N134" s="185" t="s">
        <v>28</v>
      </c>
      <c r="O134" s="185" t="s">
        <v>29</v>
      </c>
      <c r="P134" s="185" t="s">
        <v>40</v>
      </c>
      <c r="Q134" s="178"/>
      <c r="R134" s="185" t="s">
        <v>73</v>
      </c>
      <c r="S134" s="185" t="s">
        <v>31</v>
      </c>
      <c r="T134" s="315" t="s">
        <v>2280</v>
      </c>
      <c r="U134" s="178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>
      <c r="A135" s="12">
        <v>131.0</v>
      </c>
      <c r="B135" s="123" t="s">
        <v>2281</v>
      </c>
      <c r="C135" s="193">
        <v>4.1463714000113E13</v>
      </c>
      <c r="D135" s="123" t="s">
        <v>2282</v>
      </c>
      <c r="E135" s="178"/>
      <c r="F135" s="123" t="s">
        <v>2283</v>
      </c>
      <c r="G135" s="123">
        <v>6.0</v>
      </c>
      <c r="H135" s="123" t="s">
        <v>711</v>
      </c>
      <c r="I135" s="177">
        <v>46126.0</v>
      </c>
      <c r="J135" s="178"/>
      <c r="K135" s="179" t="s">
        <v>1268</v>
      </c>
      <c r="L135" s="123">
        <v>1.0</v>
      </c>
      <c r="M135" s="179">
        <v>900.0</v>
      </c>
      <c r="N135" s="185" t="s">
        <v>28</v>
      </c>
      <c r="O135" s="185" t="s">
        <v>91</v>
      </c>
      <c r="P135" s="185" t="s">
        <v>40</v>
      </c>
      <c r="Q135" s="178"/>
      <c r="R135" s="185" t="s">
        <v>73</v>
      </c>
      <c r="S135" s="185" t="s">
        <v>129</v>
      </c>
      <c r="T135" s="188"/>
      <c r="U135" s="178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>
      <c r="A136" s="12">
        <v>132.0</v>
      </c>
      <c r="B136" s="359" t="s">
        <v>2284</v>
      </c>
      <c r="C136" s="359" t="s">
        <v>2285</v>
      </c>
      <c r="D136" s="103" t="s">
        <v>2286</v>
      </c>
      <c r="E136" s="342" t="s">
        <v>2287</v>
      </c>
      <c r="F136" s="196" t="s">
        <v>2288</v>
      </c>
      <c r="G136" s="103">
        <v>32.0</v>
      </c>
      <c r="H136" s="103" t="s">
        <v>499</v>
      </c>
      <c r="I136" s="174">
        <v>46126.0</v>
      </c>
      <c r="J136" s="174">
        <v>46126.0</v>
      </c>
      <c r="K136" s="197" t="s">
        <v>1268</v>
      </c>
      <c r="L136" s="103">
        <v>1.0</v>
      </c>
      <c r="M136" s="197">
        <v>1600.0</v>
      </c>
      <c r="N136" s="185" t="s">
        <v>71</v>
      </c>
      <c r="O136" s="185" t="s">
        <v>29</v>
      </c>
      <c r="P136" s="185" t="s">
        <v>72</v>
      </c>
      <c r="Q136" s="103">
        <v>2740.0</v>
      </c>
      <c r="R136" s="185" t="s">
        <v>73</v>
      </c>
      <c r="S136" s="185" t="s">
        <v>148</v>
      </c>
      <c r="T136" s="198"/>
      <c r="U136" s="103" t="s">
        <v>1867</v>
      </c>
      <c r="V136" s="54"/>
      <c r="W136" s="54"/>
      <c r="X136" s="54"/>
      <c r="Y136" s="54"/>
      <c r="Z136" s="54"/>
      <c r="AA136" s="54"/>
      <c r="AB136" s="54"/>
      <c r="AC136" s="54"/>
      <c r="AD136" s="54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>
      <c r="A137" s="12">
        <v>133.0</v>
      </c>
      <c r="B137" s="123" t="s">
        <v>2289</v>
      </c>
      <c r="C137" s="123" t="s">
        <v>2290</v>
      </c>
      <c r="D137" s="123" t="s">
        <v>2291</v>
      </c>
      <c r="E137" s="123" t="s">
        <v>2292</v>
      </c>
      <c r="F137" s="337" t="s">
        <v>2293</v>
      </c>
      <c r="G137" s="123" t="s">
        <v>26</v>
      </c>
      <c r="H137" s="123" t="s">
        <v>711</v>
      </c>
      <c r="I137" s="177">
        <v>46126.0</v>
      </c>
      <c r="J137" s="177">
        <v>46126.0</v>
      </c>
      <c r="K137" s="179" t="s">
        <v>57</v>
      </c>
      <c r="L137" s="123">
        <v>1.0</v>
      </c>
      <c r="M137" s="179">
        <v>500.0</v>
      </c>
      <c r="N137" s="185" t="s">
        <v>71</v>
      </c>
      <c r="O137" s="185" t="s">
        <v>91</v>
      </c>
      <c r="P137" s="185" t="s">
        <v>72</v>
      </c>
      <c r="Q137" s="123">
        <v>2755.0</v>
      </c>
      <c r="R137" s="185" t="s">
        <v>41</v>
      </c>
      <c r="S137" s="185" t="s">
        <v>148</v>
      </c>
      <c r="T137" s="188"/>
      <c r="U137" s="123" t="s">
        <v>1867</v>
      </c>
      <c r="V137" s="3"/>
      <c r="W137" s="3"/>
      <c r="X137" s="3"/>
      <c r="Y137" s="3"/>
      <c r="Z137" s="3"/>
      <c r="AA137" s="3"/>
      <c r="AB137" s="3"/>
      <c r="AC137" s="3"/>
      <c r="AD137" s="3"/>
      <c r="AE137" s="296"/>
      <c r="AF137" s="296"/>
      <c r="AG137" s="296"/>
      <c r="AH137" s="296"/>
      <c r="AI137" s="296"/>
      <c r="AJ137" s="296"/>
      <c r="AK137" s="296"/>
      <c r="AL137" s="296"/>
      <c r="AM137" s="296"/>
      <c r="AN137" s="296"/>
      <c r="AO137" s="296"/>
      <c r="AP137" s="296"/>
      <c r="AQ137" s="296"/>
      <c r="AR137" s="296"/>
      <c r="AS137" s="296"/>
      <c r="AT137" s="296"/>
      <c r="AU137" s="296"/>
      <c r="AV137" s="296"/>
    </row>
    <row r="138">
      <c r="A138" s="12">
        <v>134.0</v>
      </c>
      <c r="B138" s="123" t="s">
        <v>2294</v>
      </c>
      <c r="C138" s="123" t="s">
        <v>2295</v>
      </c>
      <c r="D138" s="123" t="s">
        <v>2291</v>
      </c>
      <c r="E138" s="123" t="s">
        <v>2292</v>
      </c>
      <c r="F138" s="123" t="s">
        <v>2293</v>
      </c>
      <c r="G138" s="123" t="s">
        <v>26</v>
      </c>
      <c r="H138" s="123" t="s">
        <v>711</v>
      </c>
      <c r="I138" s="177">
        <v>46126.0</v>
      </c>
      <c r="J138" s="177">
        <v>46126.0</v>
      </c>
      <c r="K138" s="179" t="s">
        <v>57</v>
      </c>
      <c r="L138" s="123">
        <v>1.0</v>
      </c>
      <c r="M138" s="179">
        <v>500.0</v>
      </c>
      <c r="N138" s="185" t="s">
        <v>71</v>
      </c>
      <c r="O138" s="185" t="s">
        <v>91</v>
      </c>
      <c r="P138" s="185" t="s">
        <v>72</v>
      </c>
      <c r="Q138" s="123">
        <v>2754.0</v>
      </c>
      <c r="R138" s="185" t="s">
        <v>41</v>
      </c>
      <c r="S138" s="185" t="s">
        <v>148</v>
      </c>
      <c r="T138" s="188"/>
      <c r="U138" s="123" t="s">
        <v>1867</v>
      </c>
      <c r="V138" s="3"/>
      <c r="W138" s="3"/>
      <c r="X138" s="3"/>
      <c r="Y138" s="3"/>
      <c r="Z138" s="3"/>
      <c r="AA138" s="3"/>
      <c r="AB138" s="3"/>
      <c r="AC138" s="3"/>
      <c r="AD138" s="3"/>
      <c r="AE138" s="348"/>
      <c r="AF138" s="348"/>
      <c r="AG138" s="348"/>
      <c r="AH138" s="348"/>
      <c r="AI138" s="348"/>
      <c r="AJ138" s="348"/>
      <c r="AK138" s="348"/>
      <c r="AL138" s="348"/>
      <c r="AM138" s="348"/>
      <c r="AN138" s="348"/>
      <c r="AO138" s="348"/>
      <c r="AP138" s="348"/>
      <c r="AQ138" s="348"/>
      <c r="AR138" s="348"/>
      <c r="AS138" s="348"/>
      <c r="AT138" s="348"/>
      <c r="AU138" s="348"/>
      <c r="AV138" s="348"/>
    </row>
    <row r="139">
      <c r="A139" s="12">
        <v>135.0</v>
      </c>
      <c r="B139" s="136" t="s">
        <v>2296</v>
      </c>
      <c r="C139" s="136" t="s">
        <v>2297</v>
      </c>
      <c r="D139" s="136" t="s">
        <v>36</v>
      </c>
      <c r="E139" s="136" t="s">
        <v>2298</v>
      </c>
      <c r="F139" s="407" t="s">
        <v>2299</v>
      </c>
      <c r="G139" s="136">
        <v>10.0</v>
      </c>
      <c r="H139" s="136" t="s">
        <v>65</v>
      </c>
      <c r="I139" s="408">
        <v>46126.0</v>
      </c>
      <c r="J139" s="408">
        <v>46136.0</v>
      </c>
      <c r="K139" s="409">
        <v>319.0</v>
      </c>
      <c r="L139" s="136">
        <v>12.0</v>
      </c>
      <c r="M139" s="410">
        <f>K139*12</f>
        <v>3828</v>
      </c>
      <c r="N139" s="406" t="s">
        <v>71</v>
      </c>
      <c r="O139" s="406" t="s">
        <v>29</v>
      </c>
      <c r="P139" s="406" t="s">
        <v>72</v>
      </c>
      <c r="Q139" s="136">
        <v>2818.0</v>
      </c>
      <c r="R139" s="406" t="s">
        <v>1979</v>
      </c>
      <c r="S139" s="406" t="s">
        <v>148</v>
      </c>
      <c r="T139" s="411" t="s">
        <v>2300</v>
      </c>
      <c r="U139" s="136" t="s">
        <v>1867</v>
      </c>
      <c r="V139" s="356"/>
      <c r="W139" s="356"/>
      <c r="X139" s="356"/>
      <c r="Y139" s="356"/>
      <c r="Z139" s="356"/>
      <c r="AA139" s="356"/>
      <c r="AB139" s="356"/>
      <c r="AC139" s="356"/>
      <c r="AD139" s="356"/>
      <c r="AE139" s="412"/>
      <c r="AF139" s="412"/>
      <c r="AG139" s="412"/>
      <c r="AH139" s="412"/>
      <c r="AI139" s="412"/>
      <c r="AJ139" s="412"/>
      <c r="AK139" s="412"/>
      <c r="AL139" s="412"/>
      <c r="AM139" s="412"/>
      <c r="AN139" s="412"/>
      <c r="AO139" s="412"/>
      <c r="AP139" s="412"/>
      <c r="AQ139" s="412"/>
      <c r="AR139" s="412"/>
      <c r="AS139" s="412"/>
      <c r="AT139" s="412"/>
      <c r="AU139" s="412"/>
      <c r="AV139" s="412"/>
    </row>
    <row r="140">
      <c r="A140" s="12">
        <v>136.0</v>
      </c>
      <c r="B140" s="359" t="s">
        <v>2301</v>
      </c>
      <c r="C140" s="123" t="s">
        <v>2302</v>
      </c>
      <c r="D140" s="123" t="s">
        <v>2303</v>
      </c>
      <c r="E140" s="123">
        <v>1.132312955E9</v>
      </c>
      <c r="F140" s="123" t="s">
        <v>2304</v>
      </c>
      <c r="G140" s="123">
        <v>3.0</v>
      </c>
      <c r="H140" s="123" t="s">
        <v>711</v>
      </c>
      <c r="I140" s="177">
        <v>46126.0</v>
      </c>
      <c r="J140" s="178"/>
      <c r="K140" s="179" t="s">
        <v>57</v>
      </c>
      <c r="L140" s="123">
        <v>1.0</v>
      </c>
      <c r="M140" s="179">
        <v>600.0</v>
      </c>
      <c r="N140" s="185" t="s">
        <v>58</v>
      </c>
      <c r="O140" s="185" t="s">
        <v>91</v>
      </c>
      <c r="P140" s="185" t="s">
        <v>40</v>
      </c>
      <c r="Q140" s="178"/>
      <c r="R140" s="185" t="s">
        <v>41</v>
      </c>
      <c r="S140" s="185" t="s">
        <v>129</v>
      </c>
      <c r="T140" s="188"/>
      <c r="U140" s="178"/>
      <c r="V140" s="3"/>
      <c r="W140" s="3"/>
      <c r="X140" s="3"/>
      <c r="Y140" s="3"/>
      <c r="Z140" s="3"/>
      <c r="AA140" s="3"/>
      <c r="AB140" s="3"/>
      <c r="AC140" s="3"/>
      <c r="AD140" s="3"/>
      <c r="AE140" s="296"/>
      <c r="AF140" s="296"/>
      <c r="AG140" s="296"/>
      <c r="AH140" s="296"/>
      <c r="AI140" s="296"/>
      <c r="AJ140" s="296"/>
      <c r="AK140" s="296"/>
      <c r="AL140" s="296"/>
      <c r="AM140" s="296"/>
      <c r="AN140" s="296"/>
      <c r="AO140" s="296"/>
      <c r="AP140" s="296"/>
      <c r="AQ140" s="296"/>
      <c r="AR140" s="296"/>
      <c r="AS140" s="296"/>
      <c r="AT140" s="296"/>
      <c r="AU140" s="296"/>
      <c r="AV140" s="296"/>
    </row>
    <row r="141">
      <c r="A141" s="12">
        <v>137.0</v>
      </c>
      <c r="B141" s="359" t="s">
        <v>2305</v>
      </c>
      <c r="C141" s="123" t="s">
        <v>2306</v>
      </c>
      <c r="D141" s="123" t="s">
        <v>2303</v>
      </c>
      <c r="E141" s="123">
        <v>1.132312955E9</v>
      </c>
      <c r="F141" s="123" t="s">
        <v>2304</v>
      </c>
      <c r="G141" s="123">
        <v>8.0</v>
      </c>
      <c r="H141" s="123" t="s">
        <v>711</v>
      </c>
      <c r="I141" s="177">
        <v>46126.0</v>
      </c>
      <c r="J141" s="178"/>
      <c r="K141" s="179" t="s">
        <v>57</v>
      </c>
      <c r="L141" s="123">
        <v>1.0</v>
      </c>
      <c r="M141" s="179">
        <v>800.0</v>
      </c>
      <c r="N141" s="185" t="s">
        <v>58</v>
      </c>
      <c r="O141" s="185" t="s">
        <v>91</v>
      </c>
      <c r="P141" s="185" t="s">
        <v>40</v>
      </c>
      <c r="Q141" s="178"/>
      <c r="R141" s="185" t="s">
        <v>41</v>
      </c>
      <c r="S141" s="185" t="s">
        <v>129</v>
      </c>
      <c r="T141" s="188"/>
      <c r="U141" s="178"/>
      <c r="V141" s="3"/>
      <c r="W141" s="3"/>
      <c r="X141" s="3"/>
      <c r="Y141" s="3"/>
      <c r="Z141" s="3"/>
      <c r="AA141" s="3"/>
      <c r="AB141" s="3"/>
      <c r="AC141" s="3"/>
      <c r="AD141" s="3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</row>
    <row r="142">
      <c r="A142" s="12">
        <v>138.0</v>
      </c>
      <c r="B142" s="123" t="s">
        <v>2307</v>
      </c>
      <c r="C142" s="123" t="s">
        <v>2031</v>
      </c>
      <c r="D142" s="123" t="s">
        <v>2308</v>
      </c>
      <c r="E142" s="123" t="s">
        <v>2309</v>
      </c>
      <c r="F142" s="123" t="s">
        <v>2034</v>
      </c>
      <c r="G142" s="123">
        <v>15.0</v>
      </c>
      <c r="H142" s="123" t="s">
        <v>2310</v>
      </c>
      <c r="I142" s="177">
        <v>46126.0</v>
      </c>
      <c r="J142" s="178"/>
      <c r="K142" s="125">
        <v>1000.0</v>
      </c>
      <c r="L142" s="123">
        <v>2.0</v>
      </c>
      <c r="M142" s="89">
        <f>K142*2</f>
        <v>2000</v>
      </c>
      <c r="N142" s="185" t="s">
        <v>28</v>
      </c>
      <c r="O142" s="185" t="s">
        <v>29</v>
      </c>
      <c r="P142" s="185" t="s">
        <v>40</v>
      </c>
      <c r="Q142" s="178"/>
      <c r="R142" s="185" t="s">
        <v>73</v>
      </c>
      <c r="S142" s="185" t="s">
        <v>31</v>
      </c>
      <c r="T142" s="315" t="s">
        <v>2311</v>
      </c>
      <c r="U142" s="178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>
      <c r="A143" s="12">
        <v>139.0</v>
      </c>
      <c r="B143" s="324" t="s">
        <v>2312</v>
      </c>
      <c r="C143" s="106" t="s">
        <v>2313</v>
      </c>
      <c r="D143" s="106" t="s">
        <v>2314</v>
      </c>
      <c r="E143" s="106" t="s">
        <v>2315</v>
      </c>
      <c r="F143" s="106" t="s">
        <v>2316</v>
      </c>
      <c r="G143" s="106">
        <v>7.0</v>
      </c>
      <c r="H143" s="107" t="s">
        <v>123</v>
      </c>
      <c r="I143" s="108">
        <v>46126.0</v>
      </c>
      <c r="J143" s="109"/>
      <c r="K143" s="89">
        <v>175.0</v>
      </c>
      <c r="L143" s="254">
        <v>12.0</v>
      </c>
      <c r="M143" s="89">
        <f t="shared" ref="M143:M144" si="21">K143*12</f>
        <v>2100</v>
      </c>
      <c r="N143" s="106" t="s">
        <v>58</v>
      </c>
      <c r="O143" s="106" t="s">
        <v>29</v>
      </c>
      <c r="P143" s="106" t="s">
        <v>40</v>
      </c>
      <c r="Q143" s="91"/>
      <c r="R143" s="106" t="s">
        <v>233</v>
      </c>
      <c r="S143" s="106" t="s">
        <v>110</v>
      </c>
      <c r="T143" s="106" t="s">
        <v>2317</v>
      </c>
      <c r="U143" s="178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</row>
    <row r="144">
      <c r="A144" s="12">
        <v>140.0</v>
      </c>
      <c r="B144" s="324" t="s">
        <v>2318</v>
      </c>
      <c r="C144" s="106" t="s">
        <v>2319</v>
      </c>
      <c r="D144" s="106" t="s">
        <v>2320</v>
      </c>
      <c r="E144" s="106" t="s">
        <v>2321</v>
      </c>
      <c r="F144" s="173" t="s">
        <v>2322</v>
      </c>
      <c r="G144" s="106">
        <v>6.0</v>
      </c>
      <c r="H144" s="107" t="s">
        <v>123</v>
      </c>
      <c r="I144" s="108">
        <v>46127.0</v>
      </c>
      <c r="J144" s="109"/>
      <c r="K144" s="89">
        <v>169.0</v>
      </c>
      <c r="L144" s="254">
        <v>12.0</v>
      </c>
      <c r="M144" s="89">
        <f t="shared" si="21"/>
        <v>2028</v>
      </c>
      <c r="N144" s="106" t="s">
        <v>58</v>
      </c>
      <c r="O144" s="106" t="s">
        <v>29</v>
      </c>
      <c r="P144" s="106" t="s">
        <v>40</v>
      </c>
      <c r="Q144" s="91"/>
      <c r="R144" s="106" t="s">
        <v>233</v>
      </c>
      <c r="S144" s="106" t="s">
        <v>110</v>
      </c>
      <c r="T144" s="91"/>
      <c r="U144" s="123" t="s">
        <v>1867</v>
      </c>
      <c r="V144" s="3"/>
      <c r="W144" s="3"/>
      <c r="X144" s="3"/>
      <c r="Y144" s="3"/>
      <c r="Z144" s="3"/>
      <c r="AA144" s="3"/>
      <c r="AB144" s="3"/>
      <c r="AC144" s="3"/>
      <c r="AD144" s="3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</row>
    <row r="145">
      <c r="A145" s="12">
        <v>141.0</v>
      </c>
      <c r="B145" s="123" t="s">
        <v>2323</v>
      </c>
      <c r="C145" s="212" t="s">
        <v>2324</v>
      </c>
      <c r="D145" s="123" t="s">
        <v>2325</v>
      </c>
      <c r="E145" s="212" t="s">
        <v>2326</v>
      </c>
      <c r="F145" s="212" t="s">
        <v>2327</v>
      </c>
      <c r="G145" s="123">
        <v>50.0</v>
      </c>
      <c r="H145" s="123" t="s">
        <v>2328</v>
      </c>
      <c r="I145" s="177">
        <v>46127.0</v>
      </c>
      <c r="J145" s="178"/>
      <c r="K145" s="179">
        <v>980.0</v>
      </c>
      <c r="L145" s="123">
        <v>5.0</v>
      </c>
      <c r="M145" s="180">
        <f>K145*5</f>
        <v>4900</v>
      </c>
      <c r="N145" s="185" t="s">
        <v>28</v>
      </c>
      <c r="O145" s="185" t="s">
        <v>29</v>
      </c>
      <c r="P145" s="185" t="s">
        <v>40</v>
      </c>
      <c r="Q145" s="178"/>
      <c r="R145" s="185" t="s">
        <v>73</v>
      </c>
      <c r="S145" s="185" t="s">
        <v>31</v>
      </c>
      <c r="T145" s="188"/>
      <c r="U145" s="178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>
      <c r="A146" s="12">
        <v>142.0</v>
      </c>
      <c r="B146" s="212" t="s">
        <v>2329</v>
      </c>
      <c r="C146" s="212" t="s">
        <v>2330</v>
      </c>
      <c r="D146" s="123" t="s">
        <v>2331</v>
      </c>
      <c r="E146" s="212" t="s">
        <v>2332</v>
      </c>
      <c r="F146" s="326" t="s">
        <v>2333</v>
      </c>
      <c r="G146" s="123">
        <v>2.0</v>
      </c>
      <c r="H146" s="123" t="s">
        <v>65</v>
      </c>
      <c r="I146" s="177">
        <v>46127.0</v>
      </c>
      <c r="J146" s="178"/>
      <c r="K146" s="179">
        <v>139.0</v>
      </c>
      <c r="L146" s="123">
        <v>12.0</v>
      </c>
      <c r="M146" s="179">
        <f>K146*12</f>
        <v>1668</v>
      </c>
      <c r="N146" s="185" t="s">
        <v>28</v>
      </c>
      <c r="O146" s="185" t="s">
        <v>29</v>
      </c>
      <c r="P146" s="185" t="s">
        <v>40</v>
      </c>
      <c r="Q146" s="178"/>
      <c r="R146" s="185" t="s">
        <v>73</v>
      </c>
      <c r="S146" s="185" t="s">
        <v>129</v>
      </c>
      <c r="T146" s="188"/>
      <c r="U146" s="178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>
      <c r="A147" s="12">
        <v>143.0</v>
      </c>
      <c r="B147" s="117" t="s">
        <v>2334</v>
      </c>
      <c r="C147" s="117" t="s">
        <v>2335</v>
      </c>
      <c r="D147" s="97" t="s">
        <v>2336</v>
      </c>
      <c r="E147" s="97" t="s">
        <v>2337</v>
      </c>
      <c r="F147" s="413" t="s">
        <v>2338</v>
      </c>
      <c r="G147" s="97" t="s">
        <v>26</v>
      </c>
      <c r="H147" s="97" t="s">
        <v>1583</v>
      </c>
      <c r="I147" s="298">
        <v>46127.0</v>
      </c>
      <c r="J147" s="81"/>
      <c r="K147" s="102" t="s">
        <v>57</v>
      </c>
      <c r="L147" s="97">
        <v>1.0</v>
      </c>
      <c r="M147" s="102">
        <v>4200.0</v>
      </c>
      <c r="N147" s="137" t="s">
        <v>28</v>
      </c>
      <c r="O147" s="137" t="s">
        <v>91</v>
      </c>
      <c r="P147" s="137"/>
      <c r="Q147" s="81"/>
      <c r="R147" s="137" t="s">
        <v>41</v>
      </c>
      <c r="S147" s="137" t="s">
        <v>148</v>
      </c>
      <c r="T147" s="282" t="s">
        <v>2339</v>
      </c>
      <c r="U147" s="81"/>
      <c r="V147" s="31"/>
      <c r="W147" s="31"/>
      <c r="X147" s="31"/>
      <c r="Y147" s="31"/>
      <c r="Z147" s="31"/>
      <c r="AA147" s="31"/>
      <c r="AB147" s="31"/>
      <c r="AC147" s="31"/>
      <c r="AD147" s="31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</row>
    <row r="148">
      <c r="A148" s="12">
        <v>144.0</v>
      </c>
      <c r="B148" s="136" t="s">
        <v>2340</v>
      </c>
      <c r="C148" s="414" t="s">
        <v>2341</v>
      </c>
      <c r="D148" s="103" t="s">
        <v>2342</v>
      </c>
      <c r="E148" s="414" t="s">
        <v>2343</v>
      </c>
      <c r="F148" s="196" t="s">
        <v>2344</v>
      </c>
      <c r="G148" s="103" t="s">
        <v>26</v>
      </c>
      <c r="H148" s="103" t="s">
        <v>711</v>
      </c>
      <c r="I148" s="174">
        <v>46127.0</v>
      </c>
      <c r="J148" s="104"/>
      <c r="K148" s="197" t="s">
        <v>57</v>
      </c>
      <c r="L148" s="103">
        <v>1.0</v>
      </c>
      <c r="M148" s="197">
        <v>1000.0</v>
      </c>
      <c r="N148" s="137" t="s">
        <v>58</v>
      </c>
      <c r="O148" s="137" t="s">
        <v>91</v>
      </c>
      <c r="P148" s="137"/>
      <c r="Q148" s="104"/>
      <c r="R148" s="137" t="s">
        <v>1979</v>
      </c>
      <c r="S148" s="137" t="s">
        <v>148</v>
      </c>
      <c r="T148" s="198"/>
      <c r="U148" s="104"/>
      <c r="V148" s="54"/>
      <c r="W148" s="54"/>
      <c r="X148" s="54"/>
      <c r="Y148" s="54"/>
      <c r="Z148" s="54"/>
      <c r="AA148" s="54"/>
      <c r="AB148" s="54"/>
      <c r="AC148" s="54"/>
      <c r="AD148" s="54"/>
    </row>
    <row r="149">
      <c r="A149" s="12">
        <v>145.0</v>
      </c>
      <c r="B149" s="123" t="s">
        <v>2345</v>
      </c>
      <c r="C149" s="123" t="s">
        <v>2346</v>
      </c>
      <c r="D149" s="123" t="s">
        <v>2347</v>
      </c>
      <c r="E149" s="123" t="s">
        <v>2348</v>
      </c>
      <c r="F149" s="123" t="s">
        <v>2349</v>
      </c>
      <c r="G149" s="123" t="s">
        <v>26</v>
      </c>
      <c r="H149" s="123" t="s">
        <v>1217</v>
      </c>
      <c r="I149" s="177">
        <v>46127.0</v>
      </c>
      <c r="J149" s="177">
        <v>46128.0</v>
      </c>
      <c r="K149" s="179" t="s">
        <v>57</v>
      </c>
      <c r="L149" s="123">
        <v>1.0</v>
      </c>
      <c r="M149" s="179">
        <v>800.0</v>
      </c>
      <c r="N149" s="137" t="s">
        <v>71</v>
      </c>
      <c r="O149" s="137" t="s">
        <v>91</v>
      </c>
      <c r="P149" s="137" t="s">
        <v>72</v>
      </c>
      <c r="Q149" s="123">
        <v>2763.0</v>
      </c>
      <c r="R149" s="137" t="s">
        <v>73</v>
      </c>
      <c r="S149" s="137" t="s">
        <v>148</v>
      </c>
      <c r="T149" s="188"/>
      <c r="U149" s="123" t="s">
        <v>1867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>
      <c r="A150" s="12">
        <v>146.0</v>
      </c>
      <c r="B150" s="123" t="s">
        <v>2350</v>
      </c>
      <c r="C150" s="415" t="s">
        <v>2351</v>
      </c>
      <c r="D150" s="415" t="s">
        <v>2352</v>
      </c>
      <c r="E150" s="415" t="s">
        <v>2353</v>
      </c>
      <c r="F150" s="123" t="s">
        <v>2354</v>
      </c>
      <c r="G150" s="123" t="s">
        <v>26</v>
      </c>
      <c r="H150" s="103" t="s">
        <v>711</v>
      </c>
      <c r="I150" s="174">
        <v>46127.0</v>
      </c>
      <c r="J150" s="174">
        <v>46128.0</v>
      </c>
      <c r="K150" s="125">
        <v>400.0</v>
      </c>
      <c r="L150" s="103">
        <v>2.0</v>
      </c>
      <c r="M150" s="89">
        <f t="shared" ref="M150:M152" si="22">K150*2</f>
        <v>800</v>
      </c>
      <c r="N150" s="185" t="s">
        <v>71</v>
      </c>
      <c r="O150" s="185" t="s">
        <v>29</v>
      </c>
      <c r="P150" s="185" t="s">
        <v>72</v>
      </c>
      <c r="Q150" s="123">
        <v>2769.0</v>
      </c>
      <c r="R150" s="185" t="s">
        <v>233</v>
      </c>
      <c r="S150" s="185" t="s">
        <v>31</v>
      </c>
      <c r="T150" s="315" t="s">
        <v>2355</v>
      </c>
      <c r="U150" s="123" t="s">
        <v>1867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>
      <c r="A151" s="12">
        <v>147.0</v>
      </c>
      <c r="B151" s="123" t="s">
        <v>2356</v>
      </c>
      <c r="C151" s="415" t="s">
        <v>2357</v>
      </c>
      <c r="D151" s="415" t="s">
        <v>2358</v>
      </c>
      <c r="E151" s="415" t="s">
        <v>2353</v>
      </c>
      <c r="F151" s="123" t="s">
        <v>2359</v>
      </c>
      <c r="G151" s="123" t="s">
        <v>26</v>
      </c>
      <c r="H151" s="103" t="s">
        <v>711</v>
      </c>
      <c r="I151" s="174">
        <v>46127.0</v>
      </c>
      <c r="J151" s="174">
        <v>46128.0</v>
      </c>
      <c r="K151" s="125">
        <v>400.0</v>
      </c>
      <c r="L151" s="103">
        <v>2.0</v>
      </c>
      <c r="M151" s="89">
        <f t="shared" si="22"/>
        <v>800</v>
      </c>
      <c r="N151" s="185" t="s">
        <v>71</v>
      </c>
      <c r="O151" s="185" t="s">
        <v>29</v>
      </c>
      <c r="P151" s="185" t="s">
        <v>72</v>
      </c>
      <c r="Q151" s="123">
        <v>2768.0</v>
      </c>
      <c r="R151" s="185" t="s">
        <v>233</v>
      </c>
      <c r="S151" s="185" t="s">
        <v>31</v>
      </c>
      <c r="T151" s="315" t="s">
        <v>2355</v>
      </c>
      <c r="U151" s="123" t="s">
        <v>1867</v>
      </c>
      <c r="V151" s="3"/>
      <c r="W151" s="3"/>
      <c r="X151" s="3"/>
      <c r="Y151" s="3"/>
      <c r="Z151" s="3"/>
      <c r="AA151" s="3"/>
      <c r="AB151" s="3"/>
      <c r="AC151" s="3"/>
      <c r="AD151" s="3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</row>
    <row r="152">
      <c r="A152" s="12">
        <v>148.0</v>
      </c>
      <c r="B152" s="123" t="s">
        <v>2360</v>
      </c>
      <c r="C152" s="123" t="s">
        <v>2361</v>
      </c>
      <c r="D152" s="123" t="s">
        <v>2362</v>
      </c>
      <c r="E152" s="123" t="s">
        <v>2363</v>
      </c>
      <c r="F152" s="123" t="s">
        <v>2364</v>
      </c>
      <c r="G152" s="123" t="s">
        <v>26</v>
      </c>
      <c r="H152" s="103" t="s">
        <v>711</v>
      </c>
      <c r="I152" s="174">
        <v>46127.0</v>
      </c>
      <c r="J152" s="174">
        <v>46128.0</v>
      </c>
      <c r="K152" s="125">
        <v>400.0</v>
      </c>
      <c r="L152" s="103">
        <v>2.0</v>
      </c>
      <c r="M152" s="89">
        <f t="shared" si="22"/>
        <v>800</v>
      </c>
      <c r="N152" s="185" t="s">
        <v>71</v>
      </c>
      <c r="O152" s="185" t="s">
        <v>29</v>
      </c>
      <c r="P152" s="185" t="s">
        <v>72</v>
      </c>
      <c r="Q152" s="123">
        <v>2771.0</v>
      </c>
      <c r="R152" s="185" t="s">
        <v>233</v>
      </c>
      <c r="S152" s="185" t="s">
        <v>31</v>
      </c>
      <c r="T152" s="315" t="s">
        <v>2355</v>
      </c>
      <c r="U152" s="123" t="s">
        <v>1867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</row>
    <row r="153">
      <c r="A153" s="12">
        <v>149.0</v>
      </c>
      <c r="B153" s="123" t="s">
        <v>2365</v>
      </c>
      <c r="C153" s="415" t="s">
        <v>2366</v>
      </c>
      <c r="D153" s="415" t="s">
        <v>2365</v>
      </c>
      <c r="E153" s="415" t="s">
        <v>2367</v>
      </c>
      <c r="F153" s="415" t="s">
        <v>2365</v>
      </c>
      <c r="G153" s="123" t="s">
        <v>26</v>
      </c>
      <c r="H153" s="103" t="s">
        <v>711</v>
      </c>
      <c r="I153" s="174">
        <v>46127.0</v>
      </c>
      <c r="J153" s="174">
        <v>46128.0</v>
      </c>
      <c r="K153" s="179" t="s">
        <v>57</v>
      </c>
      <c r="L153" s="103">
        <v>1.0</v>
      </c>
      <c r="M153" s="179">
        <v>800.0</v>
      </c>
      <c r="N153" s="185" t="s">
        <v>71</v>
      </c>
      <c r="O153" s="185" t="s">
        <v>29</v>
      </c>
      <c r="P153" s="185" t="s">
        <v>72</v>
      </c>
      <c r="Q153" s="123">
        <v>2770.0</v>
      </c>
      <c r="R153" s="185" t="s">
        <v>233</v>
      </c>
      <c r="S153" s="185" t="s">
        <v>31</v>
      </c>
      <c r="T153" s="315" t="s">
        <v>2355</v>
      </c>
      <c r="U153" s="123" t="s">
        <v>1867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>
      <c r="A154" s="12">
        <v>150.0</v>
      </c>
      <c r="B154" s="106" t="s">
        <v>2368</v>
      </c>
      <c r="C154" s="106" t="s">
        <v>2369</v>
      </c>
      <c r="D154" s="106" t="s">
        <v>2370</v>
      </c>
      <c r="E154" s="106" t="s">
        <v>2371</v>
      </c>
      <c r="F154" s="106" t="s">
        <v>2372</v>
      </c>
      <c r="G154" s="106">
        <v>1.0</v>
      </c>
      <c r="H154" s="106" t="s">
        <v>459</v>
      </c>
      <c r="I154" s="108">
        <v>46128.0</v>
      </c>
      <c r="J154" s="108">
        <v>46128.0</v>
      </c>
      <c r="K154" s="89">
        <v>400.0</v>
      </c>
      <c r="L154" s="86">
        <v>2.0</v>
      </c>
      <c r="M154" s="89">
        <f>K154*2</f>
        <v>800</v>
      </c>
      <c r="N154" s="106" t="s">
        <v>71</v>
      </c>
      <c r="O154" s="106" t="s">
        <v>29</v>
      </c>
      <c r="P154" s="106" t="s">
        <v>72</v>
      </c>
      <c r="Q154" s="106">
        <v>2764.0</v>
      </c>
      <c r="R154" s="106" t="s">
        <v>233</v>
      </c>
      <c r="S154" s="106" t="s">
        <v>110</v>
      </c>
      <c r="T154" s="91"/>
      <c r="U154" s="416" t="s">
        <v>2373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>
      <c r="A155" s="12">
        <v>151.0</v>
      </c>
      <c r="B155" s="136" t="s">
        <v>2374</v>
      </c>
      <c r="C155" s="136" t="s">
        <v>2375</v>
      </c>
      <c r="D155" s="136" t="s">
        <v>2376</v>
      </c>
      <c r="E155" s="136" t="s">
        <v>2377</v>
      </c>
      <c r="F155" s="136" t="s">
        <v>2378</v>
      </c>
      <c r="G155" s="136">
        <v>1.0</v>
      </c>
      <c r="H155" s="136" t="s">
        <v>2379</v>
      </c>
      <c r="I155" s="408">
        <v>46128.0</v>
      </c>
      <c r="J155" s="408">
        <v>46129.0</v>
      </c>
      <c r="K155" s="409">
        <v>139.0</v>
      </c>
      <c r="L155" s="136">
        <v>12.0</v>
      </c>
      <c r="M155" s="410">
        <f t="shared" ref="M155:M158" si="23">K155*12</f>
        <v>1668</v>
      </c>
      <c r="N155" s="406" t="s">
        <v>71</v>
      </c>
      <c r="O155" s="406" t="s">
        <v>29</v>
      </c>
      <c r="P155" s="406" t="s">
        <v>72</v>
      </c>
      <c r="Q155" s="136">
        <v>2786.0</v>
      </c>
      <c r="R155" s="406" t="s">
        <v>73</v>
      </c>
      <c r="S155" s="406" t="s">
        <v>148</v>
      </c>
      <c r="T155" s="401"/>
      <c r="U155" s="136" t="s">
        <v>1867</v>
      </c>
      <c r="V155" s="356"/>
      <c r="W155" s="356"/>
      <c r="X155" s="356"/>
      <c r="Y155" s="356"/>
      <c r="Z155" s="356"/>
      <c r="AA155" s="356"/>
      <c r="AB155" s="356"/>
      <c r="AC155" s="356"/>
      <c r="AD155" s="356"/>
      <c r="AE155" s="393"/>
      <c r="AF155" s="393"/>
      <c r="AG155" s="393"/>
      <c r="AH155" s="393"/>
      <c r="AI155" s="393"/>
      <c r="AJ155" s="393"/>
      <c r="AK155" s="393"/>
      <c r="AL155" s="393"/>
      <c r="AM155" s="393"/>
      <c r="AN155" s="393"/>
      <c r="AO155" s="393"/>
      <c r="AP155" s="393"/>
      <c r="AQ155" s="393"/>
      <c r="AR155" s="393"/>
      <c r="AS155" s="393"/>
      <c r="AT155" s="393"/>
      <c r="AU155" s="393"/>
      <c r="AV155" s="393"/>
    </row>
    <row r="156">
      <c r="A156" s="12">
        <v>152.0</v>
      </c>
      <c r="B156" s="359" t="s">
        <v>2380</v>
      </c>
      <c r="C156" s="371" t="s">
        <v>2381</v>
      </c>
      <c r="D156" s="103" t="s">
        <v>2382</v>
      </c>
      <c r="E156" s="342" t="s">
        <v>2383</v>
      </c>
      <c r="F156" s="417" t="s">
        <v>2384</v>
      </c>
      <c r="G156" s="103">
        <v>3.0</v>
      </c>
      <c r="H156" s="284" t="s">
        <v>123</v>
      </c>
      <c r="I156" s="174">
        <v>46128.0</v>
      </c>
      <c r="J156" s="174">
        <v>46129.0</v>
      </c>
      <c r="K156" s="197">
        <v>141.0</v>
      </c>
      <c r="L156" s="103">
        <v>12.0</v>
      </c>
      <c r="M156" s="175">
        <f t="shared" si="23"/>
        <v>1692</v>
      </c>
      <c r="N156" s="346" t="s">
        <v>71</v>
      </c>
      <c r="O156" s="346" t="s">
        <v>29</v>
      </c>
      <c r="P156" s="346" t="s">
        <v>72</v>
      </c>
      <c r="Q156" s="146">
        <v>2772.0</v>
      </c>
      <c r="R156" s="346" t="s">
        <v>73</v>
      </c>
      <c r="S156" s="346" t="s">
        <v>129</v>
      </c>
      <c r="T156" s="418"/>
      <c r="U156" s="103" t="s">
        <v>1867</v>
      </c>
      <c r="V156" s="402"/>
      <c r="W156" s="402"/>
      <c r="X156" s="402"/>
      <c r="Y156" s="402"/>
      <c r="Z156" s="402"/>
      <c r="AA156" s="402"/>
      <c r="AB156" s="402"/>
      <c r="AC156" s="402"/>
      <c r="AD156" s="402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>
      <c r="A157" s="12">
        <v>153.0</v>
      </c>
      <c r="B157" s="123" t="s">
        <v>2385</v>
      </c>
      <c r="C157" s="123" t="s">
        <v>2386</v>
      </c>
      <c r="D157" s="415" t="s">
        <v>2387</v>
      </c>
      <c r="E157" s="123" t="s">
        <v>2388</v>
      </c>
      <c r="F157" s="123" t="s">
        <v>2389</v>
      </c>
      <c r="G157" s="123">
        <v>5.0</v>
      </c>
      <c r="H157" s="107" t="s">
        <v>123</v>
      </c>
      <c r="I157" s="174">
        <v>46128.0</v>
      </c>
      <c r="J157" s="174">
        <v>46129.0</v>
      </c>
      <c r="K157" s="197">
        <v>158.0</v>
      </c>
      <c r="L157" s="103">
        <v>12.0</v>
      </c>
      <c r="M157" s="175">
        <f t="shared" si="23"/>
        <v>1896</v>
      </c>
      <c r="N157" s="185" t="s">
        <v>71</v>
      </c>
      <c r="O157" s="185" t="s">
        <v>29</v>
      </c>
      <c r="P157" s="185" t="s">
        <v>72</v>
      </c>
      <c r="Q157" s="123">
        <v>2776.0</v>
      </c>
      <c r="R157" s="185" t="s">
        <v>233</v>
      </c>
      <c r="S157" s="185" t="s">
        <v>31</v>
      </c>
      <c r="T157" s="315" t="s">
        <v>2390</v>
      </c>
      <c r="U157" s="123" t="s">
        <v>2220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>
      <c r="A158" s="12">
        <v>154.0</v>
      </c>
      <c r="B158" s="123" t="s">
        <v>2391</v>
      </c>
      <c r="C158" s="123" t="s">
        <v>2392</v>
      </c>
      <c r="D158" s="123" t="s">
        <v>2393</v>
      </c>
      <c r="E158" s="123" t="s">
        <v>2394</v>
      </c>
      <c r="F158" s="123" t="s">
        <v>2395</v>
      </c>
      <c r="G158" s="123">
        <v>7.0</v>
      </c>
      <c r="H158" s="107" t="s">
        <v>123</v>
      </c>
      <c r="I158" s="174">
        <v>46128.0</v>
      </c>
      <c r="J158" s="174">
        <v>46129.0</v>
      </c>
      <c r="K158" s="197">
        <v>180.0</v>
      </c>
      <c r="L158" s="103">
        <v>12.0</v>
      </c>
      <c r="M158" s="175">
        <f t="shared" si="23"/>
        <v>2160</v>
      </c>
      <c r="N158" s="185" t="s">
        <v>71</v>
      </c>
      <c r="O158" s="185" t="s">
        <v>29</v>
      </c>
      <c r="P158" s="185" t="s">
        <v>72</v>
      </c>
      <c r="Q158" s="123">
        <v>2777.0</v>
      </c>
      <c r="R158" s="185" t="s">
        <v>233</v>
      </c>
      <c r="S158" s="185" t="s">
        <v>31</v>
      </c>
      <c r="T158" s="315" t="s">
        <v>2396</v>
      </c>
      <c r="U158" s="123" t="s">
        <v>1867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>
      <c r="A159" s="12">
        <v>155.0</v>
      </c>
      <c r="B159" s="286" t="s">
        <v>2397</v>
      </c>
      <c r="C159" s="286" t="s">
        <v>2398</v>
      </c>
      <c r="D159" s="286" t="s">
        <v>2399</v>
      </c>
      <c r="E159" s="286" t="s">
        <v>2400</v>
      </c>
      <c r="F159" s="286" t="s">
        <v>2401</v>
      </c>
      <c r="G159" s="286">
        <v>5.0</v>
      </c>
      <c r="H159" s="286" t="s">
        <v>2402</v>
      </c>
      <c r="I159" s="288">
        <v>46128.0</v>
      </c>
      <c r="J159" s="288">
        <v>46129.0</v>
      </c>
      <c r="K159" s="290">
        <v>350.0</v>
      </c>
      <c r="L159" s="286">
        <v>2.0</v>
      </c>
      <c r="M159" s="372">
        <f>K159*2</f>
        <v>700</v>
      </c>
      <c r="N159" s="291" t="s">
        <v>71</v>
      </c>
      <c r="O159" s="291" t="s">
        <v>91</v>
      </c>
      <c r="P159" s="291" t="s">
        <v>72</v>
      </c>
      <c r="Q159" s="419">
        <v>2791.0</v>
      </c>
      <c r="R159" s="291" t="s">
        <v>73</v>
      </c>
      <c r="S159" s="291" t="s">
        <v>2208</v>
      </c>
      <c r="T159" s="294" t="s">
        <v>2403</v>
      </c>
      <c r="U159" s="295" t="s">
        <v>1867</v>
      </c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</row>
    <row r="160">
      <c r="A160" s="12">
        <v>156.0</v>
      </c>
      <c r="B160" s="295" t="s">
        <v>2404</v>
      </c>
      <c r="C160" s="295" t="s">
        <v>2405</v>
      </c>
      <c r="D160" s="295" t="s">
        <v>2406</v>
      </c>
      <c r="E160" s="295" t="s">
        <v>2407</v>
      </c>
      <c r="F160" s="295" t="s">
        <v>2408</v>
      </c>
      <c r="G160" s="295"/>
      <c r="H160" s="295" t="s">
        <v>1621</v>
      </c>
      <c r="I160" s="368">
        <v>46128.0</v>
      </c>
      <c r="J160" s="368">
        <v>46135.0</v>
      </c>
      <c r="K160" s="372" t="s">
        <v>57</v>
      </c>
      <c r="L160" s="295">
        <v>1.0</v>
      </c>
      <c r="M160" s="372">
        <v>800.0</v>
      </c>
      <c r="N160" s="353" t="s">
        <v>71</v>
      </c>
      <c r="O160" s="353" t="s">
        <v>91</v>
      </c>
      <c r="P160" s="353" t="s">
        <v>72</v>
      </c>
      <c r="Q160" s="295">
        <v>2819.0</v>
      </c>
      <c r="R160" s="353" t="s">
        <v>73</v>
      </c>
      <c r="S160" s="353" t="s">
        <v>148</v>
      </c>
      <c r="T160" s="411" t="s">
        <v>2409</v>
      </c>
      <c r="U160" s="295" t="s">
        <v>1867</v>
      </c>
      <c r="V160" s="393"/>
      <c r="W160" s="393"/>
      <c r="X160" s="393"/>
      <c r="Y160" s="393"/>
      <c r="Z160" s="393"/>
      <c r="AA160" s="393"/>
      <c r="AB160" s="393"/>
      <c r="AC160" s="393"/>
      <c r="AD160" s="393"/>
      <c r="AE160" s="393"/>
      <c r="AF160" s="393"/>
      <c r="AG160" s="393"/>
      <c r="AH160" s="393"/>
      <c r="AI160" s="393"/>
      <c r="AJ160" s="393"/>
      <c r="AK160" s="393"/>
      <c r="AL160" s="393"/>
      <c r="AM160" s="393"/>
      <c r="AN160" s="393"/>
      <c r="AO160" s="393"/>
      <c r="AP160" s="393"/>
      <c r="AQ160" s="393"/>
      <c r="AR160" s="393"/>
      <c r="AS160" s="393"/>
      <c r="AT160" s="393"/>
      <c r="AU160" s="393"/>
      <c r="AV160" s="393"/>
    </row>
    <row r="161">
      <c r="A161" s="12">
        <v>157.0</v>
      </c>
      <c r="B161" s="106" t="s">
        <v>2410</v>
      </c>
      <c r="C161" s="106" t="s">
        <v>2411</v>
      </c>
      <c r="D161" s="106" t="s">
        <v>2412</v>
      </c>
      <c r="E161" s="106" t="s">
        <v>2413</v>
      </c>
      <c r="F161" s="106" t="s">
        <v>2414</v>
      </c>
      <c r="G161" s="106">
        <v>190.0</v>
      </c>
      <c r="H161" s="107" t="s">
        <v>123</v>
      </c>
      <c r="I161" s="108">
        <v>46129.0</v>
      </c>
      <c r="J161" s="108">
        <v>46129.0</v>
      </c>
      <c r="K161" s="89">
        <v>768.96</v>
      </c>
      <c r="L161" s="86">
        <v>12.0</v>
      </c>
      <c r="M161" s="89">
        <f>K161*12</f>
        <v>9227.52</v>
      </c>
      <c r="N161" s="106" t="s">
        <v>71</v>
      </c>
      <c r="O161" s="106" t="s">
        <v>29</v>
      </c>
      <c r="P161" s="106" t="s">
        <v>72</v>
      </c>
      <c r="Q161" s="106">
        <v>2779.0</v>
      </c>
      <c r="R161" s="106" t="s">
        <v>41</v>
      </c>
      <c r="S161" s="106" t="s">
        <v>110</v>
      </c>
      <c r="T161" s="91"/>
      <c r="U161" s="416" t="s">
        <v>2415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</row>
    <row r="162">
      <c r="A162" s="12">
        <v>158.0</v>
      </c>
      <c r="B162" s="123" t="s">
        <v>2416</v>
      </c>
      <c r="C162" s="123" t="s">
        <v>2417</v>
      </c>
      <c r="D162" s="123" t="s">
        <v>2418</v>
      </c>
      <c r="E162" s="123" t="s">
        <v>2419</v>
      </c>
      <c r="F162" s="123" t="s">
        <v>2420</v>
      </c>
      <c r="G162" s="123">
        <v>1.0</v>
      </c>
      <c r="H162" s="123" t="s">
        <v>711</v>
      </c>
      <c r="I162" s="317">
        <v>46129.0</v>
      </c>
      <c r="J162" s="317">
        <v>46129.0</v>
      </c>
      <c r="K162" s="126" t="s">
        <v>1268</v>
      </c>
      <c r="L162" s="97">
        <v>1.0</v>
      </c>
      <c r="M162" s="125">
        <v>850.0</v>
      </c>
      <c r="N162" s="400" t="s">
        <v>71</v>
      </c>
      <c r="O162" s="400" t="s">
        <v>91</v>
      </c>
      <c r="P162" s="346" t="s">
        <v>72</v>
      </c>
      <c r="Q162" s="123">
        <v>2778.0</v>
      </c>
      <c r="R162" s="400" t="s">
        <v>73</v>
      </c>
      <c r="S162" s="185" t="s">
        <v>31</v>
      </c>
      <c r="T162" s="188"/>
      <c r="U162" s="123" t="s">
        <v>1867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>
      <c r="A163" s="12">
        <v>159.0</v>
      </c>
      <c r="B163" s="295" t="s">
        <v>2421</v>
      </c>
      <c r="C163" s="123" t="s">
        <v>2422</v>
      </c>
      <c r="D163" s="146" t="s">
        <v>2423</v>
      </c>
      <c r="E163" s="420">
        <v>1.1964129618E10</v>
      </c>
      <c r="F163" s="365" t="s">
        <v>2424</v>
      </c>
      <c r="G163" s="146" t="s">
        <v>399</v>
      </c>
      <c r="H163" s="136" t="s">
        <v>711</v>
      </c>
      <c r="I163" s="321">
        <v>46129.0</v>
      </c>
      <c r="J163" s="321">
        <v>46129.0</v>
      </c>
      <c r="K163" s="126" t="s">
        <v>1268</v>
      </c>
      <c r="L163" s="146">
        <v>1.0</v>
      </c>
      <c r="M163" s="126">
        <v>700.0</v>
      </c>
      <c r="N163" s="185" t="s">
        <v>71</v>
      </c>
      <c r="O163" s="185" t="s">
        <v>29</v>
      </c>
      <c r="P163" s="185" t="s">
        <v>72</v>
      </c>
      <c r="Q163" s="286">
        <v>2788.0</v>
      </c>
      <c r="R163" s="185" t="s">
        <v>73</v>
      </c>
      <c r="S163" s="185" t="s">
        <v>129</v>
      </c>
      <c r="T163" s="313"/>
      <c r="U163" s="123" t="s">
        <v>1867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</row>
    <row r="164">
      <c r="A164" s="12">
        <v>160.0</v>
      </c>
      <c r="B164" s="106" t="s">
        <v>2425</v>
      </c>
      <c r="C164" s="106" t="s">
        <v>2426</v>
      </c>
      <c r="D164" s="106" t="s">
        <v>2427</v>
      </c>
      <c r="E164" s="106" t="s">
        <v>2428</v>
      </c>
      <c r="F164" s="173" t="s">
        <v>2429</v>
      </c>
      <c r="G164" s="106" t="s">
        <v>399</v>
      </c>
      <c r="H164" s="106" t="s">
        <v>499</v>
      </c>
      <c r="I164" s="108">
        <v>46129.0</v>
      </c>
      <c r="J164" s="108">
        <v>46129.0</v>
      </c>
      <c r="K164" s="89" t="s">
        <v>399</v>
      </c>
      <c r="L164" s="86" t="s">
        <v>399</v>
      </c>
      <c r="M164" s="89" t="s">
        <v>399</v>
      </c>
      <c r="N164" s="106" t="s">
        <v>71</v>
      </c>
      <c r="O164" s="106" t="s">
        <v>29</v>
      </c>
      <c r="P164" s="106" t="s">
        <v>72</v>
      </c>
      <c r="Q164" s="106" t="s">
        <v>26</v>
      </c>
      <c r="R164" s="106" t="s">
        <v>233</v>
      </c>
      <c r="S164" s="106" t="s">
        <v>110</v>
      </c>
      <c r="T164" s="91"/>
      <c r="U164" s="123" t="s">
        <v>1867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>
      <c r="A165" s="12">
        <v>161.0</v>
      </c>
      <c r="B165" s="106" t="s">
        <v>2430</v>
      </c>
      <c r="C165" s="106" t="s">
        <v>2431</v>
      </c>
      <c r="D165" s="106" t="s">
        <v>2432</v>
      </c>
      <c r="E165" s="106" t="s">
        <v>2433</v>
      </c>
      <c r="F165" s="106" t="s">
        <v>2434</v>
      </c>
      <c r="G165" s="106">
        <v>4.0</v>
      </c>
      <c r="H165" s="107" t="s">
        <v>123</v>
      </c>
      <c r="I165" s="108">
        <v>46135.0</v>
      </c>
      <c r="J165" s="108">
        <v>46135.0</v>
      </c>
      <c r="K165" s="89">
        <v>140.0</v>
      </c>
      <c r="L165" s="254" t="s">
        <v>1178</v>
      </c>
      <c r="M165" s="89">
        <f>K165*12</f>
        <v>1680</v>
      </c>
      <c r="N165" s="106" t="s">
        <v>71</v>
      </c>
      <c r="O165" s="106" t="s">
        <v>29</v>
      </c>
      <c r="P165" s="106" t="s">
        <v>72</v>
      </c>
      <c r="Q165" s="106">
        <v>2852.0</v>
      </c>
      <c r="R165" s="106" t="s">
        <v>233</v>
      </c>
      <c r="S165" s="106" t="s">
        <v>110</v>
      </c>
      <c r="T165" s="91"/>
      <c r="U165" s="123" t="s">
        <v>1867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</row>
    <row r="166">
      <c r="A166" s="12">
        <v>162.0</v>
      </c>
      <c r="B166" s="117" t="s">
        <v>2435</v>
      </c>
      <c r="C166" s="118" t="s">
        <v>640</v>
      </c>
      <c r="D166" s="97" t="s">
        <v>2436</v>
      </c>
      <c r="E166" s="118" t="s">
        <v>2437</v>
      </c>
      <c r="F166" s="413" t="s">
        <v>2438</v>
      </c>
      <c r="G166" s="97" t="s">
        <v>26</v>
      </c>
      <c r="H166" s="97" t="s">
        <v>2439</v>
      </c>
      <c r="I166" s="298">
        <v>46132.0</v>
      </c>
      <c r="J166" s="81"/>
      <c r="K166" s="102" t="s">
        <v>57</v>
      </c>
      <c r="L166" s="97">
        <v>1.0</v>
      </c>
      <c r="M166" s="102">
        <v>2500.0</v>
      </c>
      <c r="N166" s="112" t="s">
        <v>58</v>
      </c>
      <c r="O166" s="112" t="s">
        <v>91</v>
      </c>
      <c r="P166" s="112" t="s">
        <v>40</v>
      </c>
      <c r="Q166" s="81"/>
      <c r="R166" s="112" t="s">
        <v>73</v>
      </c>
      <c r="S166" s="112" t="s">
        <v>148</v>
      </c>
      <c r="T166" s="115"/>
      <c r="U166" s="97" t="s">
        <v>2440</v>
      </c>
      <c r="V166" s="31"/>
      <c r="W166" s="31"/>
      <c r="X166" s="31"/>
      <c r="Y166" s="31"/>
      <c r="Z166" s="31"/>
      <c r="AA166" s="31"/>
      <c r="AB166" s="31"/>
      <c r="AC166" s="31"/>
      <c r="AD166" s="31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>
      <c r="A167" s="12">
        <v>163.0</v>
      </c>
      <c r="B167" s="421" t="s">
        <v>2441</v>
      </c>
      <c r="C167" s="421" t="s">
        <v>2442</v>
      </c>
      <c r="D167" s="421" t="s">
        <v>2443</v>
      </c>
      <c r="E167" s="421">
        <v>1.1950434311E10</v>
      </c>
      <c r="F167" s="422" t="s">
        <v>2444</v>
      </c>
      <c r="G167" s="421">
        <v>6.0</v>
      </c>
      <c r="H167" s="423" t="s">
        <v>123</v>
      </c>
      <c r="I167" s="424">
        <v>46132.0</v>
      </c>
      <c r="J167" s="424">
        <v>46132.0</v>
      </c>
      <c r="K167" s="425">
        <v>199.82</v>
      </c>
      <c r="L167" s="421">
        <v>12.0</v>
      </c>
      <c r="M167" s="426" t="s">
        <v>2445</v>
      </c>
      <c r="N167" s="427" t="s">
        <v>58</v>
      </c>
      <c r="O167" s="427" t="s">
        <v>29</v>
      </c>
      <c r="P167" s="427" t="s">
        <v>40</v>
      </c>
      <c r="Q167" s="428"/>
      <c r="R167" s="427" t="s">
        <v>73</v>
      </c>
      <c r="S167" s="427" t="s">
        <v>129</v>
      </c>
      <c r="T167" s="429" t="s">
        <v>2446</v>
      </c>
      <c r="U167" s="430" t="s">
        <v>2447</v>
      </c>
      <c r="V167" s="393"/>
      <c r="W167" s="393"/>
      <c r="X167" s="393"/>
      <c r="Y167" s="393"/>
      <c r="Z167" s="393"/>
      <c r="AA167" s="393"/>
      <c r="AB167" s="393"/>
      <c r="AC167" s="393"/>
      <c r="AD167" s="393"/>
      <c r="AE167" s="393"/>
      <c r="AF167" s="393"/>
      <c r="AG167" s="393"/>
      <c r="AH167" s="393"/>
      <c r="AI167" s="393"/>
      <c r="AJ167" s="393"/>
      <c r="AK167" s="393"/>
      <c r="AL167" s="393"/>
      <c r="AM167" s="393"/>
      <c r="AN167" s="393"/>
      <c r="AO167" s="393"/>
      <c r="AP167" s="393"/>
      <c r="AQ167" s="393"/>
      <c r="AR167" s="393"/>
      <c r="AS167" s="393"/>
      <c r="AT167" s="393"/>
      <c r="AU167" s="393"/>
      <c r="AV167" s="393"/>
    </row>
    <row r="168">
      <c r="A168" s="12">
        <v>164.0</v>
      </c>
      <c r="B168" s="117" t="s">
        <v>2448</v>
      </c>
      <c r="C168" s="117" t="s">
        <v>2449</v>
      </c>
      <c r="D168" s="97" t="s">
        <v>2450</v>
      </c>
      <c r="E168" s="97" t="s">
        <v>2451</v>
      </c>
      <c r="F168" s="413" t="s">
        <v>2452</v>
      </c>
      <c r="G168" s="97">
        <v>9.0</v>
      </c>
      <c r="H168" s="97" t="s">
        <v>39</v>
      </c>
      <c r="I168" s="298">
        <v>46132.0</v>
      </c>
      <c r="J168" s="81"/>
      <c r="K168" s="102">
        <v>187.0</v>
      </c>
      <c r="L168" s="97">
        <v>12.0</v>
      </c>
      <c r="M168" s="111">
        <f t="shared" ref="M168:M170" si="24">K168*12</f>
        <v>2244</v>
      </c>
      <c r="N168" s="400" t="s">
        <v>58</v>
      </c>
      <c r="O168" s="400" t="s">
        <v>29</v>
      </c>
      <c r="P168" s="81"/>
      <c r="Q168" s="81"/>
      <c r="R168" s="400" t="s">
        <v>73</v>
      </c>
      <c r="S168" s="400" t="s">
        <v>148</v>
      </c>
      <c r="T168" s="115"/>
      <c r="U168" s="81"/>
      <c r="V168" s="31"/>
      <c r="W168" s="31"/>
      <c r="X168" s="31"/>
      <c r="Y168" s="31"/>
      <c r="Z168" s="31"/>
      <c r="AA168" s="31"/>
      <c r="AB168" s="31"/>
      <c r="AC168" s="31"/>
      <c r="AD168" s="31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>
      <c r="A169" s="12">
        <v>165.0</v>
      </c>
      <c r="B169" s="123" t="s">
        <v>2453</v>
      </c>
      <c r="C169" s="123" t="s">
        <v>2454</v>
      </c>
      <c r="D169" s="123" t="s">
        <v>2455</v>
      </c>
      <c r="E169" s="123" t="s">
        <v>2456</v>
      </c>
      <c r="F169" s="123" t="s">
        <v>2457</v>
      </c>
      <c r="G169" s="123">
        <v>15.0</v>
      </c>
      <c r="H169" s="97" t="s">
        <v>65</v>
      </c>
      <c r="I169" s="298">
        <v>46132.0</v>
      </c>
      <c r="J169" s="178"/>
      <c r="K169" s="102">
        <v>252.0</v>
      </c>
      <c r="L169" s="123">
        <v>12.0</v>
      </c>
      <c r="M169" s="111">
        <f t="shared" si="24"/>
        <v>3024</v>
      </c>
      <c r="N169" s="185" t="s">
        <v>58</v>
      </c>
      <c r="O169" s="185" t="s">
        <v>29</v>
      </c>
      <c r="P169" s="185" t="s">
        <v>40</v>
      </c>
      <c r="Q169" s="178"/>
      <c r="R169" s="185" t="s">
        <v>73</v>
      </c>
      <c r="S169" s="185" t="s">
        <v>31</v>
      </c>
      <c r="T169" s="188"/>
      <c r="U169" s="178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</row>
    <row r="170">
      <c r="A170" s="12">
        <v>166.0</v>
      </c>
      <c r="B170" s="359" t="s">
        <v>2458</v>
      </c>
      <c r="C170" s="359" t="s">
        <v>2459</v>
      </c>
      <c r="D170" s="103" t="s">
        <v>2460</v>
      </c>
      <c r="E170" s="103" t="s">
        <v>2461</v>
      </c>
      <c r="F170" s="103" t="s">
        <v>2462</v>
      </c>
      <c r="G170" s="103">
        <v>5.0</v>
      </c>
      <c r="H170" s="103" t="s">
        <v>39</v>
      </c>
      <c r="I170" s="174">
        <v>46132.0</v>
      </c>
      <c r="J170" s="104"/>
      <c r="K170" s="197">
        <v>163.0</v>
      </c>
      <c r="L170" s="103">
        <v>12.0</v>
      </c>
      <c r="M170" s="175">
        <f t="shared" si="24"/>
        <v>1956</v>
      </c>
      <c r="N170" s="137" t="s">
        <v>58</v>
      </c>
      <c r="O170" s="137" t="s">
        <v>29</v>
      </c>
      <c r="P170" s="346" t="s">
        <v>40</v>
      </c>
      <c r="Q170" s="104"/>
      <c r="R170" s="137" t="s">
        <v>98</v>
      </c>
      <c r="S170" s="185" t="s">
        <v>148</v>
      </c>
      <c r="T170" s="198"/>
      <c r="U170" s="104"/>
      <c r="V170" s="54"/>
      <c r="W170" s="54"/>
      <c r="X170" s="54"/>
      <c r="Y170" s="54"/>
      <c r="Z170" s="54"/>
      <c r="AA170" s="54"/>
      <c r="AB170" s="54"/>
      <c r="AC170" s="54"/>
      <c r="AD170" s="54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  <row r="171">
      <c r="A171" s="12">
        <v>167.0</v>
      </c>
      <c r="B171" s="146" t="s">
        <v>2463</v>
      </c>
      <c r="C171" s="146" t="s">
        <v>2464</v>
      </c>
      <c r="D171" s="146" t="s">
        <v>1350</v>
      </c>
      <c r="E171" s="146" t="s">
        <v>2465</v>
      </c>
      <c r="F171" s="146" t="s">
        <v>2466</v>
      </c>
      <c r="G171" s="146">
        <v>8.0</v>
      </c>
      <c r="H171" s="146" t="s">
        <v>711</v>
      </c>
      <c r="I171" s="174">
        <v>46132.0</v>
      </c>
      <c r="J171" s="321">
        <v>46132.0</v>
      </c>
      <c r="K171" s="128">
        <v>266.67</v>
      </c>
      <c r="L171" s="103">
        <v>3.0</v>
      </c>
      <c r="M171" s="410">
        <f t="shared" ref="M171:M172" si="25">K171*3</f>
        <v>800.01</v>
      </c>
      <c r="N171" s="400" t="s">
        <v>71</v>
      </c>
      <c r="O171" s="400" t="s">
        <v>91</v>
      </c>
      <c r="P171" s="346" t="s">
        <v>72</v>
      </c>
      <c r="Q171" s="431">
        <v>2792.0</v>
      </c>
      <c r="R171" s="400" t="s">
        <v>41</v>
      </c>
      <c r="S171" s="346" t="s">
        <v>2208</v>
      </c>
      <c r="T171" s="432" t="s">
        <v>2467</v>
      </c>
      <c r="U171" s="295" t="s">
        <v>1867</v>
      </c>
      <c r="V171" s="348"/>
      <c r="W171" s="348"/>
      <c r="X171" s="348"/>
      <c r="Y171" s="348"/>
      <c r="Z171" s="348"/>
      <c r="AA171" s="348"/>
      <c r="AB171" s="348"/>
      <c r="AC171" s="348"/>
      <c r="AD171" s="348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</row>
    <row r="172">
      <c r="A172" s="12">
        <v>168.0</v>
      </c>
      <c r="B172" s="123" t="s">
        <v>2468</v>
      </c>
      <c r="C172" s="365" t="s">
        <v>2469</v>
      </c>
      <c r="D172" s="212" t="s">
        <v>2470</v>
      </c>
      <c r="E172" s="365" t="s">
        <v>2471</v>
      </c>
      <c r="F172" s="212" t="s">
        <v>2472</v>
      </c>
      <c r="G172" s="123" t="s">
        <v>26</v>
      </c>
      <c r="H172" s="123" t="s">
        <v>711</v>
      </c>
      <c r="I172" s="174">
        <v>46132.0</v>
      </c>
      <c r="J172" s="178"/>
      <c r="K172" s="125">
        <v>333.33</v>
      </c>
      <c r="L172" s="97">
        <v>3.0</v>
      </c>
      <c r="M172" s="175">
        <f t="shared" si="25"/>
        <v>999.99</v>
      </c>
      <c r="N172" s="137" t="s">
        <v>58</v>
      </c>
      <c r="O172" s="137" t="s">
        <v>91</v>
      </c>
      <c r="P172" s="346" t="s">
        <v>40</v>
      </c>
      <c r="Q172" s="178"/>
      <c r="R172" s="400" t="s">
        <v>233</v>
      </c>
      <c r="S172" s="185" t="s">
        <v>31</v>
      </c>
      <c r="T172" s="188"/>
      <c r="U172" s="178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</row>
    <row r="173">
      <c r="A173" s="12">
        <v>169.0</v>
      </c>
      <c r="B173" s="106" t="s">
        <v>2473</v>
      </c>
      <c r="C173" s="106" t="s">
        <v>2474</v>
      </c>
      <c r="D173" s="106" t="s">
        <v>2475</v>
      </c>
      <c r="E173" s="106" t="s">
        <v>2476</v>
      </c>
      <c r="F173" s="173" t="s">
        <v>2477</v>
      </c>
      <c r="G173" s="106">
        <v>40.0</v>
      </c>
      <c r="H173" s="106" t="s">
        <v>254</v>
      </c>
      <c r="I173" s="108">
        <v>46132.0</v>
      </c>
      <c r="J173" s="108">
        <v>46136.0</v>
      </c>
      <c r="K173" s="89">
        <v>287.5</v>
      </c>
      <c r="L173" s="86">
        <v>4.0</v>
      </c>
      <c r="M173" s="89">
        <f>K173*4</f>
        <v>1150</v>
      </c>
      <c r="N173" s="106" t="s">
        <v>71</v>
      </c>
      <c r="O173" s="106" t="s">
        <v>29</v>
      </c>
      <c r="P173" s="106" t="s">
        <v>72</v>
      </c>
      <c r="Q173" s="106">
        <v>2823.0</v>
      </c>
      <c r="R173" s="106" t="s">
        <v>233</v>
      </c>
      <c r="S173" s="106" t="s">
        <v>110</v>
      </c>
      <c r="T173" s="91"/>
      <c r="U173" s="123" t="s">
        <v>1867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>
      <c r="A174" s="12">
        <v>170.0</v>
      </c>
      <c r="B174" s="350" t="s">
        <v>2478</v>
      </c>
      <c r="C174" s="433" t="s">
        <v>2479</v>
      </c>
      <c r="D174" s="434" t="s">
        <v>2480</v>
      </c>
      <c r="E174" s="433" t="s">
        <v>2481</v>
      </c>
      <c r="F174" s="300" t="s">
        <v>2482</v>
      </c>
      <c r="G174" s="434">
        <v>30.0</v>
      </c>
      <c r="H174" s="434" t="s">
        <v>39</v>
      </c>
      <c r="I174" s="435">
        <v>46134.0</v>
      </c>
      <c r="J174" s="435">
        <v>46135.0</v>
      </c>
      <c r="K174" s="436">
        <v>330.0</v>
      </c>
      <c r="L174" s="434">
        <v>12.0</v>
      </c>
      <c r="M174" s="352">
        <f>K174*12</f>
        <v>3960</v>
      </c>
      <c r="N174" s="437" t="s">
        <v>71</v>
      </c>
      <c r="O174" s="437" t="s">
        <v>29</v>
      </c>
      <c r="P174" s="353" t="s">
        <v>72</v>
      </c>
      <c r="Q174" s="434">
        <v>2808.0</v>
      </c>
      <c r="R174" s="437" t="s">
        <v>73</v>
      </c>
      <c r="S174" s="437" t="s">
        <v>148</v>
      </c>
      <c r="T174" s="438" t="s">
        <v>2409</v>
      </c>
      <c r="U174" s="350" t="s">
        <v>1867</v>
      </c>
      <c r="V174" s="412"/>
      <c r="W174" s="412"/>
      <c r="X174" s="412"/>
      <c r="Y174" s="412"/>
      <c r="Z174" s="412"/>
      <c r="AA174" s="412"/>
      <c r="AB174" s="412"/>
      <c r="AC174" s="412"/>
      <c r="AD174" s="412"/>
      <c r="AE174" s="355"/>
      <c r="AF174" s="355"/>
      <c r="AG174" s="355"/>
      <c r="AH174" s="355"/>
      <c r="AI174" s="355"/>
      <c r="AJ174" s="355"/>
      <c r="AK174" s="355"/>
      <c r="AL174" s="355"/>
      <c r="AM174" s="355"/>
      <c r="AN174" s="355"/>
      <c r="AO174" s="355"/>
      <c r="AP174" s="355"/>
      <c r="AQ174" s="355"/>
      <c r="AR174" s="355"/>
      <c r="AS174" s="355"/>
      <c r="AT174" s="355"/>
      <c r="AU174" s="355"/>
      <c r="AV174" s="355"/>
    </row>
    <row r="175">
      <c r="A175" s="12">
        <v>171.0</v>
      </c>
      <c r="B175" s="350" t="s">
        <v>2009</v>
      </c>
      <c r="C175" s="351" t="s">
        <v>1213</v>
      </c>
      <c r="D175" s="439" t="s">
        <v>2483</v>
      </c>
      <c r="E175" s="351" t="s">
        <v>2484</v>
      </c>
      <c r="F175" s="439" t="s">
        <v>2485</v>
      </c>
      <c r="G175" s="350">
        <v>20.0</v>
      </c>
      <c r="H175" s="350" t="s">
        <v>2486</v>
      </c>
      <c r="I175" s="336">
        <v>46134.0</v>
      </c>
      <c r="J175" s="336">
        <v>46135.0</v>
      </c>
      <c r="K175" s="215" t="s">
        <v>57</v>
      </c>
      <c r="L175" s="350">
        <v>1.0</v>
      </c>
      <c r="M175" s="215">
        <v>2500.0</v>
      </c>
      <c r="N175" s="440" t="s">
        <v>71</v>
      </c>
      <c r="O175" s="440" t="s">
        <v>29</v>
      </c>
      <c r="P175" s="440" t="s">
        <v>72</v>
      </c>
      <c r="Q175" s="295">
        <v>2796.0</v>
      </c>
      <c r="R175" s="440" t="s">
        <v>73</v>
      </c>
      <c r="S175" s="440" t="s">
        <v>129</v>
      </c>
      <c r="T175" s="354"/>
      <c r="U175" s="350" t="s">
        <v>1867</v>
      </c>
      <c r="V175" s="355"/>
      <c r="W175" s="355"/>
      <c r="X175" s="355"/>
      <c r="Y175" s="355"/>
      <c r="Z175" s="355"/>
      <c r="AA175" s="355"/>
      <c r="AB175" s="355"/>
      <c r="AC175" s="355"/>
      <c r="AD175" s="355"/>
      <c r="AE175" s="355"/>
      <c r="AF175" s="355"/>
      <c r="AG175" s="355"/>
      <c r="AH175" s="355"/>
      <c r="AI175" s="355"/>
      <c r="AJ175" s="355"/>
      <c r="AK175" s="355"/>
      <c r="AL175" s="355"/>
      <c r="AM175" s="355"/>
      <c r="AN175" s="355"/>
      <c r="AO175" s="355"/>
      <c r="AP175" s="355"/>
      <c r="AQ175" s="355"/>
      <c r="AR175" s="355"/>
      <c r="AS175" s="355"/>
      <c r="AT175" s="355"/>
      <c r="AU175" s="355"/>
      <c r="AV175" s="355"/>
    </row>
    <row r="176">
      <c r="A176" s="12">
        <v>172.0</v>
      </c>
      <c r="B176" s="106" t="s">
        <v>2487</v>
      </c>
      <c r="C176" s="106" t="s">
        <v>2488</v>
      </c>
      <c r="D176" s="106" t="s">
        <v>2489</v>
      </c>
      <c r="E176" s="106" t="s">
        <v>2490</v>
      </c>
      <c r="F176" s="106" t="s">
        <v>2491</v>
      </c>
      <c r="G176" s="106">
        <v>8.0</v>
      </c>
      <c r="H176" s="107" t="s">
        <v>123</v>
      </c>
      <c r="I176" s="108">
        <v>46135.0</v>
      </c>
      <c r="J176" s="91"/>
      <c r="K176" s="89">
        <v>181.0</v>
      </c>
      <c r="L176" s="86">
        <v>12.0</v>
      </c>
      <c r="M176" s="89">
        <f>K176*12</f>
        <v>2172</v>
      </c>
      <c r="N176" s="106" t="s">
        <v>28</v>
      </c>
      <c r="O176" s="106" t="s">
        <v>29</v>
      </c>
      <c r="P176" s="106" t="s">
        <v>40</v>
      </c>
      <c r="Q176" s="91"/>
      <c r="R176" s="91"/>
      <c r="S176" s="106" t="s">
        <v>110</v>
      </c>
      <c r="T176" s="91"/>
      <c r="U176" s="178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>
      <c r="A177" s="12">
        <v>173.0</v>
      </c>
      <c r="B177" s="123" t="s">
        <v>2492</v>
      </c>
      <c r="C177" s="193" t="s">
        <v>2493</v>
      </c>
      <c r="D177" s="123" t="s">
        <v>2494</v>
      </c>
      <c r="E177" s="123">
        <v>1.134691009E9</v>
      </c>
      <c r="F177" s="326" t="s">
        <v>2495</v>
      </c>
      <c r="G177" s="123" t="s">
        <v>399</v>
      </c>
      <c r="H177" s="123" t="s">
        <v>2496</v>
      </c>
      <c r="I177" s="177">
        <v>46135.0</v>
      </c>
      <c r="J177" s="178"/>
      <c r="K177" s="179" t="s">
        <v>57</v>
      </c>
      <c r="L177" s="123">
        <v>1.0</v>
      </c>
      <c r="M177" s="179">
        <v>18800.0</v>
      </c>
      <c r="N177" s="440" t="s">
        <v>28</v>
      </c>
      <c r="O177" s="440" t="s">
        <v>29</v>
      </c>
      <c r="P177" s="440" t="s">
        <v>40</v>
      </c>
      <c r="Q177" s="441"/>
      <c r="R177" s="440" t="s">
        <v>73</v>
      </c>
      <c r="S177" s="440" t="s">
        <v>129</v>
      </c>
      <c r="T177" s="188"/>
      <c r="U177" s="178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</row>
    <row r="178">
      <c r="A178" s="12">
        <v>174.0</v>
      </c>
      <c r="B178" s="123" t="s">
        <v>2492</v>
      </c>
      <c r="C178" s="193" t="s">
        <v>2493</v>
      </c>
      <c r="D178" s="123" t="s">
        <v>2494</v>
      </c>
      <c r="E178" s="123">
        <v>1.134691009E9</v>
      </c>
      <c r="F178" s="326" t="s">
        <v>2497</v>
      </c>
      <c r="G178" s="123" t="s">
        <v>399</v>
      </c>
      <c r="H178" s="123" t="s">
        <v>2496</v>
      </c>
      <c r="I178" s="177">
        <v>46135.0</v>
      </c>
      <c r="J178" s="178"/>
      <c r="K178" s="179" t="s">
        <v>57</v>
      </c>
      <c r="L178" s="123">
        <v>1.0</v>
      </c>
      <c r="M178" s="179">
        <v>47000.0</v>
      </c>
      <c r="N178" s="440" t="s">
        <v>28</v>
      </c>
      <c r="O178" s="440" t="s">
        <v>29</v>
      </c>
      <c r="P178" s="440" t="s">
        <v>40</v>
      </c>
      <c r="Q178" s="441"/>
      <c r="R178" s="440" t="s">
        <v>73</v>
      </c>
      <c r="S178" s="440" t="s">
        <v>129</v>
      </c>
      <c r="T178" s="188"/>
      <c r="U178" s="178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>
      <c r="A179" s="12">
        <v>175.0</v>
      </c>
      <c r="B179" s="123" t="s">
        <v>2498</v>
      </c>
      <c r="C179" s="123" t="s">
        <v>2499</v>
      </c>
      <c r="D179" s="123" t="s">
        <v>687</v>
      </c>
      <c r="E179" s="123">
        <v>1.194011383E10</v>
      </c>
      <c r="F179" s="123" t="s">
        <v>2500</v>
      </c>
      <c r="G179" s="123">
        <v>3.0</v>
      </c>
      <c r="H179" s="123" t="s">
        <v>1621</v>
      </c>
      <c r="I179" s="177">
        <v>46135.0</v>
      </c>
      <c r="J179" s="177">
        <v>46141.0</v>
      </c>
      <c r="K179" s="215" t="s">
        <v>1268</v>
      </c>
      <c r="L179" s="123">
        <v>1.0</v>
      </c>
      <c r="M179" s="179">
        <v>600.0</v>
      </c>
      <c r="N179" s="440" t="s">
        <v>71</v>
      </c>
      <c r="O179" s="440" t="s">
        <v>91</v>
      </c>
      <c r="P179" s="440" t="s">
        <v>72</v>
      </c>
      <c r="Q179" s="295">
        <v>2861.0</v>
      </c>
      <c r="R179" s="440" t="s">
        <v>73</v>
      </c>
      <c r="S179" s="440" t="s">
        <v>129</v>
      </c>
      <c r="T179" s="188"/>
      <c r="U179" s="123" t="s">
        <v>1867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</row>
    <row r="180">
      <c r="A180" s="12">
        <v>176.0</v>
      </c>
      <c r="B180" s="106" t="s">
        <v>2501</v>
      </c>
      <c r="C180" s="106" t="s">
        <v>2502</v>
      </c>
      <c r="D180" s="106" t="s">
        <v>2489</v>
      </c>
      <c r="E180" s="106" t="s">
        <v>2490</v>
      </c>
      <c r="F180" s="106" t="s">
        <v>2491</v>
      </c>
      <c r="G180" s="106">
        <v>12.0</v>
      </c>
      <c r="H180" s="107" t="s">
        <v>123</v>
      </c>
      <c r="I180" s="108">
        <v>46135.0</v>
      </c>
      <c r="J180" s="109"/>
      <c r="K180" s="89">
        <v>205.0</v>
      </c>
      <c r="L180" s="86">
        <v>12.0</v>
      </c>
      <c r="M180" s="89">
        <f t="shared" ref="M180:M184" si="26">K180*12</f>
        <v>2460</v>
      </c>
      <c r="N180" s="106" t="s">
        <v>28</v>
      </c>
      <c r="O180" s="106" t="s">
        <v>29</v>
      </c>
      <c r="P180" s="106" t="s">
        <v>40</v>
      </c>
      <c r="Q180" s="91"/>
      <c r="R180" s="91"/>
      <c r="S180" s="106" t="s">
        <v>110</v>
      </c>
      <c r="T180" s="91"/>
      <c r="U180" s="350" t="s">
        <v>1867</v>
      </c>
      <c r="V180" s="355"/>
      <c r="W180" s="355"/>
      <c r="X180" s="355"/>
      <c r="Y180" s="355"/>
      <c r="Z180" s="355"/>
      <c r="AA180" s="355"/>
      <c r="AB180" s="355"/>
      <c r="AC180" s="355"/>
      <c r="AD180" s="355"/>
      <c r="AE180" s="355"/>
      <c r="AF180" s="355"/>
      <c r="AG180" s="355"/>
      <c r="AH180" s="355"/>
      <c r="AI180" s="355"/>
      <c r="AJ180" s="355"/>
      <c r="AK180" s="355"/>
      <c r="AL180" s="355"/>
      <c r="AM180" s="355"/>
      <c r="AN180" s="355"/>
      <c r="AO180" s="355"/>
      <c r="AP180" s="355"/>
      <c r="AQ180" s="355"/>
      <c r="AR180" s="355"/>
      <c r="AS180" s="355"/>
      <c r="AT180" s="355"/>
      <c r="AU180" s="355"/>
      <c r="AV180" s="355"/>
    </row>
    <row r="181">
      <c r="A181" s="12">
        <v>177.0</v>
      </c>
      <c r="B181" s="107" t="s">
        <v>2503</v>
      </c>
      <c r="C181" s="106" t="s">
        <v>2504</v>
      </c>
      <c r="D181" s="106" t="s">
        <v>2505</v>
      </c>
      <c r="E181" s="106" t="s">
        <v>2506</v>
      </c>
      <c r="F181" s="106" t="s">
        <v>2507</v>
      </c>
      <c r="G181" s="106">
        <v>1.0</v>
      </c>
      <c r="H181" s="107" t="s">
        <v>123</v>
      </c>
      <c r="I181" s="108">
        <v>46136.0</v>
      </c>
      <c r="J181" s="108">
        <v>46139.0</v>
      </c>
      <c r="K181" s="89">
        <v>139.0</v>
      </c>
      <c r="L181" s="86">
        <v>12.0</v>
      </c>
      <c r="M181" s="89">
        <f t="shared" si="26"/>
        <v>1668</v>
      </c>
      <c r="N181" s="106" t="s">
        <v>71</v>
      </c>
      <c r="O181" s="106" t="s">
        <v>29</v>
      </c>
      <c r="P181" s="106" t="s">
        <v>72</v>
      </c>
      <c r="Q181" s="106">
        <v>2840.0</v>
      </c>
      <c r="R181" s="106" t="s">
        <v>233</v>
      </c>
      <c r="S181" s="106" t="s">
        <v>110</v>
      </c>
      <c r="T181" s="91"/>
      <c r="U181" s="350" t="s">
        <v>1867</v>
      </c>
      <c r="V181" s="355"/>
      <c r="W181" s="355"/>
      <c r="X181" s="355"/>
      <c r="Y181" s="355"/>
      <c r="Z181" s="355"/>
      <c r="AA181" s="355"/>
      <c r="AB181" s="355"/>
      <c r="AC181" s="355"/>
      <c r="AD181" s="355"/>
      <c r="AE181" s="355"/>
      <c r="AF181" s="355"/>
      <c r="AG181" s="355"/>
      <c r="AH181" s="355"/>
      <c r="AI181" s="355"/>
      <c r="AJ181" s="355"/>
      <c r="AK181" s="355"/>
      <c r="AL181" s="355"/>
      <c r="AM181" s="355"/>
      <c r="AN181" s="355"/>
      <c r="AO181" s="355"/>
      <c r="AP181" s="355"/>
      <c r="AQ181" s="355"/>
      <c r="AR181" s="355"/>
      <c r="AS181" s="355"/>
      <c r="AT181" s="355"/>
      <c r="AU181" s="355"/>
      <c r="AV181" s="355"/>
    </row>
    <row r="182">
      <c r="A182" s="12">
        <v>178.0</v>
      </c>
      <c r="B182" s="107" t="s">
        <v>2430</v>
      </c>
      <c r="C182" s="106" t="s">
        <v>2508</v>
      </c>
      <c r="D182" s="106" t="s">
        <v>2432</v>
      </c>
      <c r="E182" s="106">
        <v>1.194735898E10</v>
      </c>
      <c r="F182" s="106" t="s">
        <v>2434</v>
      </c>
      <c r="G182" s="106">
        <v>2.0</v>
      </c>
      <c r="H182" s="107" t="s">
        <v>123</v>
      </c>
      <c r="I182" s="108">
        <v>46135.0</v>
      </c>
      <c r="J182" s="108">
        <v>46140.0</v>
      </c>
      <c r="K182" s="89">
        <v>125.0</v>
      </c>
      <c r="L182" s="254" t="s">
        <v>1178</v>
      </c>
      <c r="M182" s="89">
        <f t="shared" si="26"/>
        <v>1500</v>
      </c>
      <c r="N182" s="106" t="s">
        <v>71</v>
      </c>
      <c r="O182" s="106" t="s">
        <v>29</v>
      </c>
      <c r="P182" s="106" t="s">
        <v>72</v>
      </c>
      <c r="Q182" s="106">
        <v>2855.0</v>
      </c>
      <c r="R182" s="106" t="s">
        <v>233</v>
      </c>
      <c r="S182" s="106" t="s">
        <v>110</v>
      </c>
      <c r="T182" s="91"/>
      <c r="U182" s="123" t="s">
        <v>1867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</row>
    <row r="183">
      <c r="A183" s="12">
        <v>179.0</v>
      </c>
      <c r="B183" s="107" t="s">
        <v>2509</v>
      </c>
      <c r="C183" s="106" t="s">
        <v>2510</v>
      </c>
      <c r="D183" s="106" t="s">
        <v>2432</v>
      </c>
      <c r="E183" s="106">
        <v>1.194735898E10</v>
      </c>
      <c r="F183" s="106" t="s">
        <v>2434</v>
      </c>
      <c r="G183" s="106">
        <v>2.0</v>
      </c>
      <c r="H183" s="107" t="s">
        <v>123</v>
      </c>
      <c r="I183" s="108">
        <v>46135.0</v>
      </c>
      <c r="J183" s="108">
        <v>46140.0</v>
      </c>
      <c r="K183" s="89">
        <v>125.0</v>
      </c>
      <c r="L183" s="254" t="s">
        <v>1178</v>
      </c>
      <c r="M183" s="89">
        <f t="shared" si="26"/>
        <v>1500</v>
      </c>
      <c r="N183" s="106" t="s">
        <v>71</v>
      </c>
      <c r="O183" s="106" t="s">
        <v>29</v>
      </c>
      <c r="P183" s="106" t="s">
        <v>72</v>
      </c>
      <c r="Q183" s="106">
        <v>2858.0</v>
      </c>
      <c r="R183" s="106" t="s">
        <v>233</v>
      </c>
      <c r="S183" s="106" t="s">
        <v>110</v>
      </c>
      <c r="T183" s="91"/>
      <c r="U183" s="350" t="s">
        <v>1867</v>
      </c>
      <c r="V183" s="355"/>
      <c r="W183" s="355"/>
      <c r="X183" s="355"/>
      <c r="Y183" s="355"/>
      <c r="Z183" s="355"/>
      <c r="AA183" s="355"/>
      <c r="AB183" s="355"/>
      <c r="AC183" s="355"/>
      <c r="AD183" s="355"/>
      <c r="AE183" s="355"/>
      <c r="AF183" s="355"/>
      <c r="AG183" s="355"/>
      <c r="AH183" s="355"/>
      <c r="AI183" s="355"/>
      <c r="AJ183" s="355"/>
      <c r="AK183" s="355"/>
      <c r="AL183" s="355"/>
      <c r="AM183" s="355"/>
      <c r="AN183" s="355"/>
      <c r="AO183" s="355"/>
      <c r="AP183" s="355"/>
      <c r="AQ183" s="355"/>
      <c r="AR183" s="355"/>
      <c r="AS183" s="355"/>
      <c r="AT183" s="355"/>
      <c r="AU183" s="355"/>
      <c r="AV183" s="355"/>
    </row>
    <row r="184">
      <c r="A184" s="12">
        <v>180.0</v>
      </c>
      <c r="B184" s="107" t="s">
        <v>2511</v>
      </c>
      <c r="C184" s="106" t="s">
        <v>2512</v>
      </c>
      <c r="D184" s="106" t="s">
        <v>2513</v>
      </c>
      <c r="E184" s="106">
        <v>1.1976676724E10</v>
      </c>
      <c r="F184" s="106" t="s">
        <v>2514</v>
      </c>
      <c r="G184" s="106">
        <v>60.0</v>
      </c>
      <c r="H184" s="107" t="s">
        <v>123</v>
      </c>
      <c r="I184" s="108">
        <v>46139.0</v>
      </c>
      <c r="J184" s="108">
        <v>46140.0</v>
      </c>
      <c r="K184" s="89">
        <v>613.2</v>
      </c>
      <c r="L184" s="254">
        <v>12.0</v>
      </c>
      <c r="M184" s="89">
        <f t="shared" si="26"/>
        <v>7358.4</v>
      </c>
      <c r="N184" s="86" t="s">
        <v>71</v>
      </c>
      <c r="O184" s="106" t="s">
        <v>29</v>
      </c>
      <c r="P184" s="106" t="s">
        <v>72</v>
      </c>
      <c r="Q184" s="106">
        <v>2847.0</v>
      </c>
      <c r="R184" s="106" t="s">
        <v>233</v>
      </c>
      <c r="S184" s="106" t="s">
        <v>110</v>
      </c>
      <c r="T184" s="91"/>
      <c r="U184" s="123" t="s">
        <v>2515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>
      <c r="A185" s="12">
        <v>181.0</v>
      </c>
      <c r="B185" s="123" t="s">
        <v>2516</v>
      </c>
      <c r="C185" s="123" t="s">
        <v>2517</v>
      </c>
      <c r="D185" s="123" t="s">
        <v>687</v>
      </c>
      <c r="E185" s="123">
        <v>1.194011383E10</v>
      </c>
      <c r="F185" s="123" t="s">
        <v>2500</v>
      </c>
      <c r="G185" s="123">
        <v>4.0</v>
      </c>
      <c r="H185" s="123" t="s">
        <v>1621</v>
      </c>
      <c r="I185" s="177">
        <v>46135.0</v>
      </c>
      <c r="J185" s="177">
        <v>46141.0</v>
      </c>
      <c r="K185" s="215" t="s">
        <v>1268</v>
      </c>
      <c r="L185" s="123">
        <v>1.0</v>
      </c>
      <c r="M185" s="179">
        <v>600.0</v>
      </c>
      <c r="N185" s="440" t="s">
        <v>71</v>
      </c>
      <c r="O185" s="440" t="s">
        <v>91</v>
      </c>
      <c r="P185" s="440" t="s">
        <v>72</v>
      </c>
      <c r="Q185" s="295">
        <v>2863.0</v>
      </c>
      <c r="R185" s="440" t="s">
        <v>73</v>
      </c>
      <c r="S185" s="440" t="s">
        <v>129</v>
      </c>
      <c r="T185" s="188"/>
      <c r="U185" s="123" t="s">
        <v>1867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>
      <c r="A186" s="12">
        <v>182.0</v>
      </c>
      <c r="B186" s="146" t="s">
        <v>1616</v>
      </c>
      <c r="C186" s="146" t="s">
        <v>1617</v>
      </c>
      <c r="D186" s="146" t="s">
        <v>1618</v>
      </c>
      <c r="E186" s="146" t="s">
        <v>1619</v>
      </c>
      <c r="F186" s="146" t="s">
        <v>1620</v>
      </c>
      <c r="G186" s="146">
        <v>16.0</v>
      </c>
      <c r="H186" s="103" t="s">
        <v>711</v>
      </c>
      <c r="I186" s="146" t="s">
        <v>1622</v>
      </c>
      <c r="J186" s="321">
        <v>46122.0</v>
      </c>
      <c r="K186" s="126" t="s">
        <v>1268</v>
      </c>
      <c r="L186" s="146">
        <v>1.0</v>
      </c>
      <c r="M186" s="126">
        <v>850.0</v>
      </c>
      <c r="N186" s="304" t="s">
        <v>71</v>
      </c>
      <c r="O186" s="185" t="s">
        <v>29</v>
      </c>
      <c r="P186" s="185" t="s">
        <v>72</v>
      </c>
      <c r="Q186" s="146">
        <v>2727.0</v>
      </c>
      <c r="R186" s="185" t="s">
        <v>73</v>
      </c>
      <c r="S186" s="304" t="s">
        <v>129</v>
      </c>
      <c r="T186" s="313"/>
      <c r="U186" s="146" t="s">
        <v>1867</v>
      </c>
      <c r="V186" s="314"/>
      <c r="W186" s="314"/>
      <c r="X186" s="314"/>
      <c r="Y186" s="314"/>
      <c r="Z186" s="314"/>
      <c r="AA186" s="314"/>
      <c r="AB186" s="314"/>
      <c r="AC186" s="314"/>
      <c r="AD186" s="314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>
      <c r="A187" s="12">
        <v>183.0</v>
      </c>
      <c r="B187" s="123" t="s">
        <v>1640</v>
      </c>
      <c r="C187" s="212" t="s">
        <v>1641</v>
      </c>
      <c r="D187" s="212" t="s">
        <v>1642</v>
      </c>
      <c r="E187" s="212" t="s">
        <v>1643</v>
      </c>
      <c r="F187" s="442"/>
      <c r="G187" s="123">
        <v>61.0</v>
      </c>
      <c r="H187" s="103" t="s">
        <v>1644</v>
      </c>
      <c r="I187" s="192"/>
      <c r="J187" s="178"/>
      <c r="K187" s="197">
        <v>1146.31</v>
      </c>
      <c r="L187" s="123">
        <v>12.0</v>
      </c>
      <c r="M187" s="318">
        <f>K187*12</f>
        <v>13755.72</v>
      </c>
      <c r="N187" s="120" t="s">
        <v>28</v>
      </c>
      <c r="O187" s="185" t="s">
        <v>29</v>
      </c>
      <c r="P187" s="185" t="s">
        <v>40</v>
      </c>
      <c r="Q187" s="178"/>
      <c r="R187" s="185" t="s">
        <v>233</v>
      </c>
      <c r="S187" s="106" t="s">
        <v>31</v>
      </c>
      <c r="T187" s="315" t="s">
        <v>2518</v>
      </c>
      <c r="U187" s="178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</row>
    <row r="188">
      <c r="A188" s="12">
        <v>184.0</v>
      </c>
      <c r="B188" s="350" t="s">
        <v>2519</v>
      </c>
      <c r="C188" s="439" t="s">
        <v>1575</v>
      </c>
      <c r="D188" s="439" t="s">
        <v>2520</v>
      </c>
      <c r="E188" s="439" t="s">
        <v>1577</v>
      </c>
      <c r="F188" s="350" t="s">
        <v>2521</v>
      </c>
      <c r="G188" s="350">
        <v>40.0</v>
      </c>
      <c r="H188" s="136" t="s">
        <v>2522</v>
      </c>
      <c r="I188" s="336">
        <v>46104.0</v>
      </c>
      <c r="J188" s="336">
        <v>46136.0</v>
      </c>
      <c r="K188" s="372" t="s">
        <v>1268</v>
      </c>
      <c r="L188" s="350">
        <v>1.0</v>
      </c>
      <c r="M188" s="215">
        <v>13335.0</v>
      </c>
      <c r="N188" s="167" t="s">
        <v>71</v>
      </c>
      <c r="O188" s="353" t="s">
        <v>29</v>
      </c>
      <c r="P188" s="353" t="s">
        <v>72</v>
      </c>
      <c r="Q188" s="350">
        <v>2813.0</v>
      </c>
      <c r="R188" s="353" t="s">
        <v>73</v>
      </c>
      <c r="S188" s="107" t="s">
        <v>31</v>
      </c>
      <c r="T188" s="443" t="s">
        <v>2523</v>
      </c>
      <c r="U188" s="350" t="s">
        <v>1867</v>
      </c>
      <c r="V188" s="355"/>
      <c r="W188" s="355"/>
      <c r="X188" s="355"/>
      <c r="Y188" s="355"/>
      <c r="Z188" s="355"/>
      <c r="AA188" s="355"/>
      <c r="AB188" s="355"/>
      <c r="AC188" s="355"/>
      <c r="AD188" s="355"/>
      <c r="AE188" s="355"/>
      <c r="AF188" s="355"/>
      <c r="AG188" s="355"/>
      <c r="AH188" s="355"/>
      <c r="AI188" s="355"/>
      <c r="AJ188" s="355"/>
      <c r="AK188" s="355"/>
      <c r="AL188" s="355"/>
      <c r="AM188" s="355"/>
      <c r="AN188" s="355"/>
      <c r="AO188" s="355"/>
      <c r="AP188" s="355"/>
      <c r="AQ188" s="355"/>
      <c r="AR188" s="355"/>
      <c r="AS188" s="355"/>
      <c r="AT188" s="355"/>
      <c r="AU188" s="355"/>
      <c r="AV188" s="355"/>
    </row>
    <row r="189">
      <c r="A189" s="12">
        <v>185.0</v>
      </c>
      <c r="B189" s="439" t="s">
        <v>2524</v>
      </c>
      <c r="C189" s="439" t="s">
        <v>2525</v>
      </c>
      <c r="D189" s="444" t="s">
        <v>2526</v>
      </c>
      <c r="E189" s="445" t="s">
        <v>2527</v>
      </c>
      <c r="F189" s="404" t="s">
        <v>2528</v>
      </c>
      <c r="G189" s="350">
        <v>26.0</v>
      </c>
      <c r="H189" s="136" t="s">
        <v>711</v>
      </c>
      <c r="I189" s="336">
        <v>46104.0</v>
      </c>
      <c r="J189" s="336">
        <v>46136.0</v>
      </c>
      <c r="K189" s="409">
        <v>250.0</v>
      </c>
      <c r="L189" s="350">
        <v>4.0</v>
      </c>
      <c r="M189" s="238">
        <f>K189*4</f>
        <v>1000</v>
      </c>
      <c r="N189" s="167" t="s">
        <v>71</v>
      </c>
      <c r="O189" s="353" t="s">
        <v>91</v>
      </c>
      <c r="P189" s="353" t="s">
        <v>72</v>
      </c>
      <c r="Q189" s="350">
        <v>2811.0</v>
      </c>
      <c r="R189" s="353" t="s">
        <v>73</v>
      </c>
      <c r="S189" s="167" t="s">
        <v>2529</v>
      </c>
      <c r="T189" s="350"/>
      <c r="U189" s="350" t="s">
        <v>1867</v>
      </c>
      <c r="V189" s="355"/>
      <c r="W189" s="355"/>
      <c r="X189" s="355"/>
      <c r="Y189" s="355"/>
      <c r="Z189" s="355"/>
      <c r="AA189" s="355"/>
      <c r="AB189" s="355"/>
      <c r="AC189" s="355"/>
      <c r="AD189" s="355"/>
      <c r="AE189" s="355"/>
      <c r="AF189" s="355"/>
      <c r="AG189" s="355"/>
      <c r="AH189" s="355"/>
      <c r="AI189" s="355"/>
      <c r="AJ189" s="355"/>
      <c r="AK189" s="355"/>
      <c r="AL189" s="355"/>
      <c r="AM189" s="355"/>
      <c r="AN189" s="355"/>
      <c r="AO189" s="355"/>
      <c r="AP189" s="355"/>
      <c r="AQ189" s="355"/>
      <c r="AR189" s="355"/>
      <c r="AS189" s="355"/>
      <c r="AT189" s="355"/>
      <c r="AU189" s="355"/>
      <c r="AV189" s="355"/>
    </row>
    <row r="190">
      <c r="A190" s="12">
        <v>186.0</v>
      </c>
      <c r="B190" s="123" t="s">
        <v>2530</v>
      </c>
      <c r="C190" s="123" t="s">
        <v>2531</v>
      </c>
      <c r="D190" s="212" t="s">
        <v>2532</v>
      </c>
      <c r="E190" s="212" t="s">
        <v>2533</v>
      </c>
      <c r="F190" s="350" t="s">
        <v>2534</v>
      </c>
      <c r="G190" s="123">
        <v>1.0</v>
      </c>
      <c r="H190" s="103" t="s">
        <v>711</v>
      </c>
      <c r="I190" s="177">
        <v>46136.0</v>
      </c>
      <c r="J190" s="177">
        <v>46136.0</v>
      </c>
      <c r="K190" s="128">
        <v>266.67</v>
      </c>
      <c r="L190" s="123">
        <v>3.0</v>
      </c>
      <c r="M190" s="89">
        <f>K190*3</f>
        <v>800.01</v>
      </c>
      <c r="N190" s="120" t="s">
        <v>71</v>
      </c>
      <c r="O190" s="185" t="s">
        <v>91</v>
      </c>
      <c r="P190" s="185" t="s">
        <v>72</v>
      </c>
      <c r="Q190" s="446">
        <v>2810.0</v>
      </c>
      <c r="R190" s="185" t="s">
        <v>73</v>
      </c>
      <c r="S190" s="120" t="s">
        <v>2208</v>
      </c>
      <c r="T190" s="123"/>
      <c r="U190" s="123" t="s">
        <v>1867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</row>
    <row r="191">
      <c r="A191" s="12">
        <v>187.0</v>
      </c>
      <c r="B191" s="447" t="s">
        <v>2535</v>
      </c>
      <c r="C191" s="350" t="s">
        <v>2536</v>
      </c>
      <c r="D191" s="350" t="s">
        <v>2537</v>
      </c>
      <c r="E191" s="146" t="s">
        <v>2538</v>
      </c>
      <c r="F191" s="219" t="s">
        <v>2539</v>
      </c>
      <c r="G191" s="350">
        <v>8.0</v>
      </c>
      <c r="H191" s="136" t="s">
        <v>711</v>
      </c>
      <c r="I191" s="336">
        <v>46135.0</v>
      </c>
      <c r="J191" s="336">
        <v>46139.0</v>
      </c>
      <c r="K191" s="215" t="s">
        <v>1268</v>
      </c>
      <c r="L191" s="350">
        <v>1.0</v>
      </c>
      <c r="M191" s="215">
        <v>700.0</v>
      </c>
      <c r="N191" s="440" t="s">
        <v>71</v>
      </c>
      <c r="O191" s="440" t="s">
        <v>91</v>
      </c>
      <c r="P191" s="440" t="s">
        <v>72</v>
      </c>
      <c r="Q191" s="295">
        <v>2816.0</v>
      </c>
      <c r="R191" s="440" t="s">
        <v>73</v>
      </c>
      <c r="S191" s="440" t="s">
        <v>129</v>
      </c>
      <c r="T191" s="300"/>
      <c r="U191" s="350" t="s">
        <v>1867</v>
      </c>
      <c r="V191" s="355"/>
      <c r="W191" s="355"/>
      <c r="X191" s="355"/>
      <c r="Y191" s="355"/>
      <c r="Z191" s="355"/>
      <c r="AA191" s="355"/>
      <c r="AB191" s="355"/>
      <c r="AC191" s="355"/>
      <c r="AD191" s="355"/>
      <c r="AE191" s="355"/>
      <c r="AF191" s="355"/>
      <c r="AG191" s="355"/>
      <c r="AH191" s="355"/>
      <c r="AI191" s="355"/>
      <c r="AJ191" s="355"/>
      <c r="AK191" s="355"/>
      <c r="AL191" s="355"/>
      <c r="AM191" s="355"/>
      <c r="AN191" s="355"/>
      <c r="AO191" s="355"/>
      <c r="AP191" s="355"/>
      <c r="AQ191" s="355"/>
      <c r="AR191" s="355"/>
      <c r="AS191" s="355"/>
      <c r="AT191" s="355"/>
      <c r="AU191" s="355"/>
      <c r="AV191" s="355"/>
    </row>
    <row r="192">
      <c r="A192" s="12">
        <v>188.0</v>
      </c>
      <c r="B192" s="439" t="s">
        <v>2540</v>
      </c>
      <c r="C192" s="350" t="s">
        <v>2541</v>
      </c>
      <c r="D192" s="350" t="s">
        <v>2537</v>
      </c>
      <c r="E192" s="146" t="s">
        <v>2538</v>
      </c>
      <c r="F192" s="219" t="s">
        <v>2539</v>
      </c>
      <c r="G192" s="350">
        <v>8.0</v>
      </c>
      <c r="H192" s="136" t="s">
        <v>711</v>
      </c>
      <c r="I192" s="336">
        <v>46135.0</v>
      </c>
      <c r="J192" s="336">
        <v>46139.0</v>
      </c>
      <c r="K192" s="215" t="s">
        <v>1268</v>
      </c>
      <c r="L192" s="350">
        <v>1.0</v>
      </c>
      <c r="M192" s="215">
        <v>700.0</v>
      </c>
      <c r="N192" s="440" t="s">
        <v>71</v>
      </c>
      <c r="O192" s="440" t="s">
        <v>91</v>
      </c>
      <c r="P192" s="440" t="s">
        <v>72</v>
      </c>
      <c r="Q192" s="295">
        <v>2817.0</v>
      </c>
      <c r="R192" s="440" t="s">
        <v>73</v>
      </c>
      <c r="S192" s="440" t="s">
        <v>129</v>
      </c>
      <c r="T192" s="300"/>
      <c r="U192" s="350" t="s">
        <v>1867</v>
      </c>
      <c r="V192" s="355"/>
      <c r="W192" s="355"/>
      <c r="X192" s="355"/>
      <c r="Y192" s="355"/>
      <c r="Z192" s="355"/>
      <c r="AA192" s="355"/>
      <c r="AB192" s="355"/>
      <c r="AC192" s="355"/>
      <c r="AD192" s="355"/>
      <c r="AE192" s="355"/>
      <c r="AF192" s="355"/>
      <c r="AG192" s="355"/>
      <c r="AH192" s="355"/>
      <c r="AI192" s="355"/>
      <c r="AJ192" s="355"/>
      <c r="AK192" s="355"/>
      <c r="AL192" s="355"/>
      <c r="AM192" s="355"/>
      <c r="AN192" s="355"/>
      <c r="AO192" s="355"/>
      <c r="AP192" s="355"/>
      <c r="AQ192" s="355"/>
      <c r="AR192" s="355"/>
      <c r="AS192" s="355"/>
      <c r="AT192" s="355"/>
      <c r="AU192" s="355"/>
      <c r="AV192" s="355"/>
    </row>
    <row r="193">
      <c r="A193" s="12">
        <v>189.0</v>
      </c>
      <c r="B193" s="123" t="s">
        <v>2542</v>
      </c>
      <c r="C193" s="123" t="s">
        <v>2543</v>
      </c>
      <c r="D193" s="123" t="s">
        <v>2544</v>
      </c>
      <c r="E193" s="123" t="s">
        <v>2545</v>
      </c>
      <c r="F193" s="123" t="s">
        <v>2546</v>
      </c>
      <c r="G193" s="123" t="s">
        <v>26</v>
      </c>
      <c r="H193" s="103" t="s">
        <v>711</v>
      </c>
      <c r="I193" s="177">
        <v>46136.0</v>
      </c>
      <c r="J193" s="177">
        <v>46140.0</v>
      </c>
      <c r="K193" s="215" t="s">
        <v>1268</v>
      </c>
      <c r="L193" s="123">
        <v>1.0</v>
      </c>
      <c r="M193" s="125">
        <v>1000.0</v>
      </c>
      <c r="N193" s="440" t="s">
        <v>71</v>
      </c>
      <c r="O193" s="185" t="s">
        <v>91</v>
      </c>
      <c r="P193" s="185" t="s">
        <v>72</v>
      </c>
      <c r="Q193" s="123">
        <v>2833.0</v>
      </c>
      <c r="R193" s="185" t="s">
        <v>73</v>
      </c>
      <c r="S193" s="106" t="s">
        <v>31</v>
      </c>
      <c r="T193" s="178"/>
      <c r="U193" s="123" t="s">
        <v>1867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</row>
    <row r="194">
      <c r="A194" s="12">
        <v>190.0</v>
      </c>
      <c r="B194" s="123" t="s">
        <v>2547</v>
      </c>
      <c r="C194" s="212" t="s">
        <v>2548</v>
      </c>
      <c r="D194" s="212" t="s">
        <v>2549</v>
      </c>
      <c r="E194" s="212" t="s">
        <v>2550</v>
      </c>
      <c r="F194" s="212" t="s">
        <v>2551</v>
      </c>
      <c r="G194" s="123">
        <v>2.0</v>
      </c>
      <c r="H194" s="103" t="s">
        <v>65</v>
      </c>
      <c r="I194" s="177">
        <v>46136.0</v>
      </c>
      <c r="J194" s="178"/>
      <c r="K194" s="197">
        <v>145.0</v>
      </c>
      <c r="L194" s="123">
        <v>12.0</v>
      </c>
      <c r="M194" s="318">
        <f t="shared" ref="M194:M201" si="27">K194*12</f>
        <v>1740</v>
      </c>
      <c r="N194" s="440" t="s">
        <v>58</v>
      </c>
      <c r="O194" s="185" t="s">
        <v>29</v>
      </c>
      <c r="P194" s="185" t="s">
        <v>40</v>
      </c>
      <c r="Q194" s="178"/>
      <c r="R194" s="185" t="s">
        <v>73</v>
      </c>
      <c r="S194" s="106" t="s">
        <v>31</v>
      </c>
      <c r="T194" s="178"/>
      <c r="U194" s="178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>
      <c r="A195" s="12">
        <v>191.0</v>
      </c>
      <c r="B195" s="123" t="s">
        <v>2552</v>
      </c>
      <c r="C195" s="316" t="s">
        <v>2553</v>
      </c>
      <c r="D195" s="123" t="s">
        <v>2554</v>
      </c>
      <c r="E195" s="123" t="s">
        <v>2555</v>
      </c>
      <c r="F195" s="212" t="s">
        <v>2556</v>
      </c>
      <c r="G195" s="123">
        <v>6.0</v>
      </c>
      <c r="H195" s="103" t="s">
        <v>65</v>
      </c>
      <c r="I195" s="177">
        <v>46142.0</v>
      </c>
      <c r="J195" s="178"/>
      <c r="K195" s="197">
        <v>154.8</v>
      </c>
      <c r="L195" s="123">
        <v>12.0</v>
      </c>
      <c r="M195" s="318">
        <f t="shared" si="27"/>
        <v>1857.6</v>
      </c>
      <c r="N195" s="440" t="s">
        <v>58</v>
      </c>
      <c r="O195" s="185" t="s">
        <v>29</v>
      </c>
      <c r="P195" s="185" t="s">
        <v>40</v>
      </c>
      <c r="Q195" s="178"/>
      <c r="R195" s="185" t="s">
        <v>233</v>
      </c>
      <c r="S195" s="106" t="s">
        <v>31</v>
      </c>
      <c r="T195" s="178"/>
      <c r="U195" s="123" t="s">
        <v>2557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</row>
    <row r="196">
      <c r="A196" s="12">
        <v>192.0</v>
      </c>
      <c r="B196" s="107" t="s">
        <v>2558</v>
      </c>
      <c r="C196" s="106" t="s">
        <v>2559</v>
      </c>
      <c r="D196" s="106" t="s">
        <v>2513</v>
      </c>
      <c r="E196" s="106">
        <v>1.1976676724E10</v>
      </c>
      <c r="F196" s="106" t="s">
        <v>2514</v>
      </c>
      <c r="G196" s="106">
        <v>60.0</v>
      </c>
      <c r="H196" s="107" t="s">
        <v>123</v>
      </c>
      <c r="I196" s="108">
        <v>46139.0</v>
      </c>
      <c r="J196" s="108">
        <v>46140.0</v>
      </c>
      <c r="K196" s="89">
        <v>613.2</v>
      </c>
      <c r="L196" s="86">
        <v>12.0</v>
      </c>
      <c r="M196" s="89">
        <f t="shared" si="27"/>
        <v>7358.4</v>
      </c>
      <c r="N196" s="106" t="s">
        <v>71</v>
      </c>
      <c r="O196" s="106" t="s">
        <v>29</v>
      </c>
      <c r="P196" s="106" t="s">
        <v>72</v>
      </c>
      <c r="Q196" s="106">
        <v>2846.0</v>
      </c>
      <c r="R196" s="106" t="s">
        <v>233</v>
      </c>
      <c r="S196" s="106" t="s">
        <v>110</v>
      </c>
      <c r="T196" s="91"/>
      <c r="U196" s="123" t="s">
        <v>2515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>
      <c r="A197" s="12">
        <v>193.0</v>
      </c>
      <c r="B197" s="106" t="s">
        <v>2560</v>
      </c>
      <c r="C197" s="106" t="s">
        <v>2561</v>
      </c>
      <c r="D197" s="106" t="s">
        <v>2562</v>
      </c>
      <c r="E197" s="107" t="s">
        <v>2563</v>
      </c>
      <c r="F197" s="106" t="s">
        <v>2564</v>
      </c>
      <c r="G197" s="106">
        <v>3.0</v>
      </c>
      <c r="H197" s="107" t="s">
        <v>123</v>
      </c>
      <c r="I197" s="108">
        <v>46136.0</v>
      </c>
      <c r="J197" s="91"/>
      <c r="K197" s="89">
        <v>151.0</v>
      </c>
      <c r="L197" s="86">
        <v>12.0</v>
      </c>
      <c r="M197" s="89">
        <f t="shared" si="27"/>
        <v>1812</v>
      </c>
      <c r="N197" s="106" t="s">
        <v>28</v>
      </c>
      <c r="O197" s="106" t="s">
        <v>29</v>
      </c>
      <c r="P197" s="106" t="s">
        <v>40</v>
      </c>
      <c r="Q197" s="91"/>
      <c r="R197" s="106" t="s">
        <v>233</v>
      </c>
      <c r="S197" s="106" t="s">
        <v>110</v>
      </c>
      <c r="T197" s="91"/>
      <c r="U197" s="178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</row>
    <row r="198">
      <c r="A198" s="12">
        <v>194.0</v>
      </c>
      <c r="B198" s="107" t="s">
        <v>2565</v>
      </c>
      <c r="C198" s="106" t="s">
        <v>2566</v>
      </c>
      <c r="D198" s="106" t="s">
        <v>2513</v>
      </c>
      <c r="E198" s="106">
        <v>1.1976676724E10</v>
      </c>
      <c r="F198" s="106" t="s">
        <v>2514</v>
      </c>
      <c r="G198" s="106">
        <v>60.0</v>
      </c>
      <c r="H198" s="107" t="s">
        <v>123</v>
      </c>
      <c r="I198" s="108">
        <v>46139.0</v>
      </c>
      <c r="J198" s="108">
        <v>46140.0</v>
      </c>
      <c r="K198" s="89">
        <v>613.2</v>
      </c>
      <c r="L198" s="254">
        <v>12.0</v>
      </c>
      <c r="M198" s="89">
        <f t="shared" si="27"/>
        <v>7358.4</v>
      </c>
      <c r="N198" s="86" t="s">
        <v>71</v>
      </c>
      <c r="O198" s="106" t="s">
        <v>29</v>
      </c>
      <c r="P198" s="86" t="s">
        <v>72</v>
      </c>
      <c r="Q198" s="106">
        <v>2845.0</v>
      </c>
      <c r="R198" s="106" t="s">
        <v>233</v>
      </c>
      <c r="S198" s="106" t="s">
        <v>110</v>
      </c>
      <c r="T198" s="91"/>
      <c r="U198" s="123" t="s">
        <v>1867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>
      <c r="A199" s="12">
        <v>195.0</v>
      </c>
      <c r="B199" s="106" t="s">
        <v>2567</v>
      </c>
      <c r="C199" s="106" t="s">
        <v>2568</v>
      </c>
      <c r="D199" s="106" t="s">
        <v>2569</v>
      </c>
      <c r="E199" s="106">
        <v>1.1984130924E10</v>
      </c>
      <c r="F199" s="106" t="s">
        <v>2570</v>
      </c>
      <c r="G199" s="106">
        <v>10.0</v>
      </c>
      <c r="H199" s="107" t="s">
        <v>2571</v>
      </c>
      <c r="I199" s="108">
        <v>46139.0</v>
      </c>
      <c r="J199" s="109"/>
      <c r="K199" s="89">
        <v>226.33</v>
      </c>
      <c r="L199" s="254">
        <v>12.0</v>
      </c>
      <c r="M199" s="89">
        <f t="shared" si="27"/>
        <v>2715.96</v>
      </c>
      <c r="N199" s="106" t="s">
        <v>58</v>
      </c>
      <c r="O199" s="106" t="s">
        <v>29</v>
      </c>
      <c r="P199" s="106" t="s">
        <v>40</v>
      </c>
      <c r="Q199" s="91"/>
      <c r="R199" s="106" t="s">
        <v>233</v>
      </c>
      <c r="S199" s="106" t="s">
        <v>110</v>
      </c>
      <c r="T199" s="324" t="s">
        <v>2572</v>
      </c>
      <c r="U199" s="416" t="s">
        <v>2573</v>
      </c>
      <c r="V199" s="355"/>
      <c r="W199" s="355"/>
      <c r="X199" s="355"/>
      <c r="Y199" s="355"/>
      <c r="Z199" s="355"/>
      <c r="AA199" s="355"/>
      <c r="AB199" s="355"/>
      <c r="AC199" s="355"/>
      <c r="AD199" s="355"/>
      <c r="AE199" s="355"/>
      <c r="AF199" s="355"/>
      <c r="AG199" s="355"/>
      <c r="AH199" s="355"/>
      <c r="AI199" s="355"/>
      <c r="AJ199" s="355"/>
      <c r="AK199" s="355"/>
      <c r="AL199" s="355"/>
      <c r="AM199" s="355"/>
      <c r="AN199" s="355"/>
      <c r="AO199" s="355"/>
      <c r="AP199" s="355"/>
      <c r="AQ199" s="355"/>
      <c r="AR199" s="355"/>
      <c r="AS199" s="355"/>
      <c r="AT199" s="355"/>
      <c r="AU199" s="355"/>
      <c r="AV199" s="355"/>
    </row>
    <row r="200">
      <c r="A200" s="12">
        <v>196.0</v>
      </c>
      <c r="B200" s="106" t="s">
        <v>2574</v>
      </c>
      <c r="C200" s="106" t="s">
        <v>2575</v>
      </c>
      <c r="D200" s="106" t="s">
        <v>2576</v>
      </c>
      <c r="E200" s="106">
        <v>1.194789546E10</v>
      </c>
      <c r="F200" s="106" t="s">
        <v>2577</v>
      </c>
      <c r="G200" s="106">
        <v>15.0</v>
      </c>
      <c r="H200" s="107" t="s">
        <v>2578</v>
      </c>
      <c r="I200" s="108">
        <v>46139.0</v>
      </c>
      <c r="J200" s="109"/>
      <c r="K200" s="89">
        <v>560.55</v>
      </c>
      <c r="L200" s="254">
        <v>12.0</v>
      </c>
      <c r="M200" s="89">
        <f t="shared" si="27"/>
        <v>6726.6</v>
      </c>
      <c r="N200" s="86" t="s">
        <v>58</v>
      </c>
      <c r="O200" s="106" t="s">
        <v>29</v>
      </c>
      <c r="P200" s="86" t="s">
        <v>40</v>
      </c>
      <c r="Q200" s="91"/>
      <c r="R200" s="106" t="s">
        <v>233</v>
      </c>
      <c r="S200" s="106" t="s">
        <v>110</v>
      </c>
      <c r="T200" s="91"/>
      <c r="U200" s="123" t="s">
        <v>1867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>
      <c r="A201" s="12">
        <v>197.0</v>
      </c>
      <c r="B201" s="106" t="s">
        <v>2579</v>
      </c>
      <c r="C201" s="106" t="s">
        <v>2580</v>
      </c>
      <c r="D201" s="106" t="s">
        <v>2581</v>
      </c>
      <c r="E201" s="106">
        <v>1.1998521032E10</v>
      </c>
      <c r="F201" s="173" t="s">
        <v>2582</v>
      </c>
      <c r="G201" s="106">
        <v>8.0</v>
      </c>
      <c r="H201" s="107" t="s">
        <v>254</v>
      </c>
      <c r="I201" s="108" t="s">
        <v>2583</v>
      </c>
      <c r="J201" s="108">
        <v>46140.0</v>
      </c>
      <c r="K201" s="89">
        <v>45.0</v>
      </c>
      <c r="L201" s="86">
        <v>12.0</v>
      </c>
      <c r="M201" s="89">
        <f t="shared" si="27"/>
        <v>540</v>
      </c>
      <c r="N201" s="86" t="s">
        <v>71</v>
      </c>
      <c r="O201" s="106" t="s">
        <v>29</v>
      </c>
      <c r="P201" s="86" t="s">
        <v>72</v>
      </c>
      <c r="Q201" s="106">
        <v>2827.0</v>
      </c>
      <c r="R201" s="106" t="s">
        <v>233</v>
      </c>
      <c r="S201" s="106" t="s">
        <v>110</v>
      </c>
      <c r="T201" s="91"/>
      <c r="U201" s="123" t="s">
        <v>2584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</row>
    <row r="202">
      <c r="A202" s="12">
        <v>198.0</v>
      </c>
      <c r="B202" s="107" t="s">
        <v>2585</v>
      </c>
      <c r="C202" s="106" t="s">
        <v>2586</v>
      </c>
      <c r="D202" s="106" t="s">
        <v>2587</v>
      </c>
      <c r="E202" s="106" t="s">
        <v>2588</v>
      </c>
      <c r="F202" s="106" t="s">
        <v>2589</v>
      </c>
      <c r="G202" s="106">
        <v>47.0</v>
      </c>
      <c r="H202" s="106" t="s">
        <v>254</v>
      </c>
      <c r="I202" s="108">
        <v>46134.0</v>
      </c>
      <c r="J202" s="108">
        <v>46141.0</v>
      </c>
      <c r="K202" s="89">
        <v>225.0</v>
      </c>
      <c r="L202" s="86">
        <v>4.0</v>
      </c>
      <c r="M202" s="89">
        <f>K202*4</f>
        <v>900</v>
      </c>
      <c r="N202" s="106" t="s">
        <v>71</v>
      </c>
      <c r="O202" s="106" t="s">
        <v>29</v>
      </c>
      <c r="P202" s="106" t="s">
        <v>72</v>
      </c>
      <c r="Q202" s="106">
        <v>2872.0</v>
      </c>
      <c r="R202" s="106" t="s">
        <v>233</v>
      </c>
      <c r="S202" s="106" t="s">
        <v>110</v>
      </c>
      <c r="T202" s="91"/>
      <c r="U202" s="123" t="s">
        <v>1867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>
      <c r="A203" s="12">
        <v>199.0</v>
      </c>
      <c r="B203" s="107" t="s">
        <v>2590</v>
      </c>
      <c r="C203" s="106" t="s">
        <v>2591</v>
      </c>
      <c r="D203" s="106" t="s">
        <v>2592</v>
      </c>
      <c r="E203" s="106">
        <v>1.197311606E10</v>
      </c>
      <c r="F203" s="106" t="s">
        <v>2593</v>
      </c>
      <c r="G203" s="106">
        <v>4.0</v>
      </c>
      <c r="H203" s="107" t="s">
        <v>123</v>
      </c>
      <c r="I203" s="108">
        <v>46136.0</v>
      </c>
      <c r="J203" s="108">
        <v>46141.0</v>
      </c>
      <c r="K203" s="89">
        <v>150.0</v>
      </c>
      <c r="L203" s="86">
        <v>12.0</v>
      </c>
      <c r="M203" s="89">
        <f t="shared" ref="M203:M205" si="28">K203*12</f>
        <v>1800</v>
      </c>
      <c r="N203" s="86" t="s">
        <v>71</v>
      </c>
      <c r="O203" s="106" t="s">
        <v>29</v>
      </c>
      <c r="P203" s="86" t="s">
        <v>72</v>
      </c>
      <c r="Q203" s="106">
        <v>2879.0</v>
      </c>
      <c r="R203" s="106" t="s">
        <v>233</v>
      </c>
      <c r="S203" s="106" t="s">
        <v>110</v>
      </c>
      <c r="T203" s="246"/>
      <c r="U203" s="123" t="s">
        <v>1867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</row>
    <row r="204">
      <c r="A204" s="12">
        <v>200.0</v>
      </c>
      <c r="B204" s="123" t="s">
        <v>2594</v>
      </c>
      <c r="C204" s="123" t="s">
        <v>2595</v>
      </c>
      <c r="D204" s="123" t="s">
        <v>881</v>
      </c>
      <c r="E204" s="123" t="s">
        <v>882</v>
      </c>
      <c r="F204" s="123" t="s">
        <v>883</v>
      </c>
      <c r="G204" s="123">
        <v>3.0</v>
      </c>
      <c r="H204" s="123" t="s">
        <v>48</v>
      </c>
      <c r="I204" s="108" t="s">
        <v>2596</v>
      </c>
      <c r="J204" s="178"/>
      <c r="K204" s="125">
        <v>151.0</v>
      </c>
      <c r="L204" s="86">
        <v>12.0</v>
      </c>
      <c r="M204" s="89">
        <f t="shared" si="28"/>
        <v>1812</v>
      </c>
      <c r="N204" s="106" t="s">
        <v>58</v>
      </c>
      <c r="O204" s="120" t="s">
        <v>91</v>
      </c>
      <c r="P204" s="106" t="s">
        <v>40</v>
      </c>
      <c r="Q204" s="178"/>
      <c r="R204" s="120" t="s">
        <v>73</v>
      </c>
      <c r="S204" s="120" t="s">
        <v>31</v>
      </c>
      <c r="T204" s="178"/>
      <c r="U204" s="178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>
      <c r="A205" s="12">
        <v>201.0</v>
      </c>
      <c r="B205" s="123" t="s">
        <v>2597</v>
      </c>
      <c r="C205" s="123" t="s">
        <v>880</v>
      </c>
      <c r="D205" s="123" t="s">
        <v>881</v>
      </c>
      <c r="E205" s="123" t="s">
        <v>882</v>
      </c>
      <c r="F205" s="123" t="s">
        <v>883</v>
      </c>
      <c r="G205" s="123">
        <v>16.0</v>
      </c>
      <c r="H205" s="123" t="s">
        <v>48</v>
      </c>
      <c r="I205" s="108" t="s">
        <v>2596</v>
      </c>
      <c r="J205" s="178"/>
      <c r="K205" s="125">
        <v>288.0</v>
      </c>
      <c r="L205" s="86">
        <v>12.0</v>
      </c>
      <c r="M205" s="89">
        <f t="shared" si="28"/>
        <v>3456</v>
      </c>
      <c r="N205" s="106" t="s">
        <v>58</v>
      </c>
      <c r="O205" s="120" t="s">
        <v>91</v>
      </c>
      <c r="P205" s="106" t="s">
        <v>40</v>
      </c>
      <c r="Q205" s="178"/>
      <c r="R205" s="120" t="s">
        <v>73</v>
      </c>
      <c r="S205" s="120" t="s">
        <v>31</v>
      </c>
      <c r="T205" s="178"/>
      <c r="U205" s="178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>
      <c r="A206" s="12">
        <v>202.0</v>
      </c>
      <c r="B206" s="295" t="s">
        <v>2598</v>
      </c>
      <c r="C206" s="295" t="s">
        <v>2599</v>
      </c>
      <c r="D206" s="136" t="s">
        <v>2600</v>
      </c>
      <c r="E206" s="295" t="s">
        <v>2601</v>
      </c>
      <c r="F206" s="295" t="s">
        <v>2602</v>
      </c>
      <c r="G206" s="136">
        <v>60.0</v>
      </c>
      <c r="H206" s="136" t="s">
        <v>813</v>
      </c>
      <c r="I206" s="317" t="s">
        <v>2603</v>
      </c>
      <c r="J206" s="317">
        <v>46139.0</v>
      </c>
      <c r="K206" s="215" t="s">
        <v>1268</v>
      </c>
      <c r="L206" s="350">
        <v>1.0</v>
      </c>
      <c r="M206" s="125">
        <v>5400.0</v>
      </c>
      <c r="N206" s="406" t="s">
        <v>71</v>
      </c>
      <c r="O206" s="406" t="s">
        <v>29</v>
      </c>
      <c r="P206" s="353" t="s">
        <v>72</v>
      </c>
      <c r="Q206" s="136" t="s">
        <v>399</v>
      </c>
      <c r="R206" s="406" t="s">
        <v>41</v>
      </c>
      <c r="S206" s="406" t="s">
        <v>31</v>
      </c>
      <c r="T206" s="136" t="s">
        <v>2604</v>
      </c>
      <c r="U206" s="136" t="s">
        <v>1867</v>
      </c>
      <c r="V206" s="54"/>
      <c r="W206" s="54"/>
      <c r="X206" s="54"/>
      <c r="Y206" s="54"/>
      <c r="Z206" s="54"/>
      <c r="AA206" s="54"/>
      <c r="AB206" s="54"/>
      <c r="AC206" s="54"/>
      <c r="AD206" s="54"/>
      <c r="AE206" s="314"/>
      <c r="AF206" s="314"/>
      <c r="AG206" s="314"/>
      <c r="AH206" s="314"/>
      <c r="AI206" s="314"/>
      <c r="AJ206" s="314"/>
      <c r="AK206" s="314"/>
      <c r="AL206" s="314"/>
      <c r="AM206" s="314"/>
      <c r="AN206" s="314"/>
      <c r="AO206" s="314"/>
      <c r="AP206" s="314"/>
      <c r="AQ206" s="314"/>
      <c r="AR206" s="314"/>
      <c r="AS206" s="314"/>
      <c r="AT206" s="314"/>
      <c r="AU206" s="314"/>
      <c r="AV206" s="314"/>
    </row>
    <row r="207">
      <c r="A207" s="12">
        <v>203.0</v>
      </c>
      <c r="B207" s="295" t="s">
        <v>2605</v>
      </c>
      <c r="C207" s="448" t="s">
        <v>2606</v>
      </c>
      <c r="D207" s="286" t="s">
        <v>2607</v>
      </c>
      <c r="E207" s="295">
        <v>1.199906609E9</v>
      </c>
      <c r="F207" s="404" t="s">
        <v>2608</v>
      </c>
      <c r="G207" s="286">
        <v>5.0</v>
      </c>
      <c r="H207" s="286" t="s">
        <v>2100</v>
      </c>
      <c r="I207" s="288">
        <v>46139.0</v>
      </c>
      <c r="J207" s="449"/>
      <c r="K207" s="290">
        <v>157.0</v>
      </c>
      <c r="L207" s="286">
        <v>12.0</v>
      </c>
      <c r="M207" s="290">
        <f>K207*12</f>
        <v>1884</v>
      </c>
      <c r="N207" s="286" t="s">
        <v>58</v>
      </c>
      <c r="O207" s="286" t="s">
        <v>29</v>
      </c>
      <c r="P207" s="286" t="s">
        <v>40</v>
      </c>
      <c r="Q207" s="284"/>
      <c r="R207" s="286" t="s">
        <v>41</v>
      </c>
      <c r="S207" s="286" t="s">
        <v>129</v>
      </c>
      <c r="T207" s="450"/>
      <c r="U207" s="293"/>
      <c r="V207" s="314"/>
      <c r="W207" s="314"/>
      <c r="X207" s="314"/>
      <c r="Y207" s="314"/>
      <c r="Z207" s="314"/>
      <c r="AA207" s="314"/>
      <c r="AB207" s="314"/>
      <c r="AC207" s="314"/>
      <c r="AD207" s="314"/>
      <c r="AE207" s="314"/>
      <c r="AF207" s="314"/>
      <c r="AG207" s="314"/>
      <c r="AH207" s="314"/>
      <c r="AI207" s="314"/>
      <c r="AJ207" s="314"/>
      <c r="AK207" s="314"/>
      <c r="AL207" s="314"/>
      <c r="AM207" s="314"/>
      <c r="AN207" s="314"/>
      <c r="AO207" s="314"/>
      <c r="AP207" s="314"/>
      <c r="AQ207" s="314"/>
      <c r="AR207" s="314"/>
      <c r="AS207" s="314"/>
      <c r="AT207" s="314"/>
      <c r="AU207" s="314"/>
      <c r="AV207" s="314"/>
    </row>
    <row r="208">
      <c r="A208" s="12">
        <v>204.0</v>
      </c>
      <c r="B208" s="286" t="s">
        <v>2609</v>
      </c>
      <c r="C208" s="451" t="s">
        <v>2610</v>
      </c>
      <c r="D208" s="286" t="s">
        <v>2611</v>
      </c>
      <c r="E208" s="286" t="s">
        <v>2612</v>
      </c>
      <c r="F208" s="286" t="s">
        <v>2613</v>
      </c>
      <c r="G208" s="286">
        <v>1.0</v>
      </c>
      <c r="H208" s="286" t="s">
        <v>2614</v>
      </c>
      <c r="I208" s="288">
        <v>46139.0</v>
      </c>
      <c r="J208" s="288">
        <v>46140.0</v>
      </c>
      <c r="K208" s="215" t="s">
        <v>1268</v>
      </c>
      <c r="L208" s="123">
        <v>1.0</v>
      </c>
      <c r="M208" s="125">
        <v>800.0</v>
      </c>
      <c r="N208" s="286" t="s">
        <v>71</v>
      </c>
      <c r="O208" s="286" t="s">
        <v>91</v>
      </c>
      <c r="P208" s="286" t="s">
        <v>72</v>
      </c>
      <c r="Q208" s="286">
        <v>2824.0</v>
      </c>
      <c r="R208" s="286" t="s">
        <v>233</v>
      </c>
      <c r="S208" s="286" t="s">
        <v>31</v>
      </c>
      <c r="T208" s="450"/>
      <c r="U208" s="295" t="s">
        <v>1867</v>
      </c>
      <c r="V208" s="314"/>
      <c r="W208" s="314"/>
      <c r="X208" s="314"/>
      <c r="Y208" s="314"/>
      <c r="Z208" s="314"/>
      <c r="AA208" s="314"/>
      <c r="AB208" s="314"/>
      <c r="AC208" s="314"/>
      <c r="AD208" s="314"/>
      <c r="AE208" s="314"/>
      <c r="AF208" s="314"/>
      <c r="AG208" s="314"/>
      <c r="AH208" s="314"/>
      <c r="AI208" s="314"/>
      <c r="AJ208" s="314"/>
      <c r="AK208" s="314"/>
      <c r="AL208" s="314"/>
      <c r="AM208" s="314"/>
      <c r="AN208" s="314"/>
      <c r="AO208" s="314"/>
      <c r="AP208" s="314"/>
      <c r="AQ208" s="314"/>
      <c r="AR208" s="314"/>
      <c r="AS208" s="314"/>
      <c r="AT208" s="314"/>
      <c r="AU208" s="314"/>
      <c r="AV208" s="314"/>
    </row>
    <row r="209">
      <c r="A209" s="12">
        <v>205.0</v>
      </c>
      <c r="B209" s="286" t="s">
        <v>2615</v>
      </c>
      <c r="C209" s="193" t="s">
        <v>2616</v>
      </c>
      <c r="D209" s="123" t="s">
        <v>2617</v>
      </c>
      <c r="E209" s="286" t="s">
        <v>2618</v>
      </c>
      <c r="F209" s="286" t="s">
        <v>2619</v>
      </c>
      <c r="G209" s="286">
        <v>4.0</v>
      </c>
      <c r="H209" s="286" t="s">
        <v>2402</v>
      </c>
      <c r="I209" s="288">
        <v>46139.0</v>
      </c>
      <c r="J209" s="288">
        <v>46139.0</v>
      </c>
      <c r="K209" s="197" t="s">
        <v>211</v>
      </c>
      <c r="L209" s="123">
        <v>1.0</v>
      </c>
      <c r="M209" s="125">
        <v>165.2</v>
      </c>
      <c r="N209" s="286" t="s">
        <v>71</v>
      </c>
      <c r="O209" s="286" t="s">
        <v>91</v>
      </c>
      <c r="P209" s="286" t="s">
        <v>72</v>
      </c>
      <c r="Q209" s="286">
        <v>2820.0</v>
      </c>
      <c r="R209" s="286" t="s">
        <v>73</v>
      </c>
      <c r="S209" s="286" t="s">
        <v>2208</v>
      </c>
      <c r="T209" s="451" t="s">
        <v>2620</v>
      </c>
      <c r="U209" s="295" t="s">
        <v>1867</v>
      </c>
      <c r="V209" s="314"/>
      <c r="W209" s="314"/>
      <c r="X209" s="314"/>
      <c r="Y209" s="314"/>
      <c r="Z209" s="314"/>
      <c r="AA209" s="314"/>
      <c r="AB209" s="314"/>
      <c r="AC209" s="314"/>
      <c r="AD209" s="314"/>
      <c r="AE209" s="314"/>
      <c r="AF209" s="314"/>
      <c r="AG209" s="314"/>
      <c r="AH209" s="314"/>
      <c r="AI209" s="314"/>
      <c r="AJ209" s="314"/>
      <c r="AK209" s="314"/>
      <c r="AL209" s="314"/>
      <c r="AM209" s="314"/>
      <c r="AN209" s="314"/>
      <c r="AO209" s="314"/>
      <c r="AP209" s="314"/>
      <c r="AQ209" s="314"/>
      <c r="AR209" s="314"/>
      <c r="AS209" s="314"/>
      <c r="AT209" s="314"/>
      <c r="AU209" s="314"/>
      <c r="AV209" s="314"/>
    </row>
    <row r="210">
      <c r="A210" s="12">
        <v>206.0</v>
      </c>
      <c r="B210" s="295" t="s">
        <v>2621</v>
      </c>
      <c r="C210" s="193" t="s">
        <v>2622</v>
      </c>
      <c r="D210" s="123" t="s">
        <v>2623</v>
      </c>
      <c r="E210" s="286" t="s">
        <v>2624</v>
      </c>
      <c r="F210" s="286" t="s">
        <v>2625</v>
      </c>
      <c r="G210" s="286">
        <v>3.0</v>
      </c>
      <c r="H210" s="286" t="s">
        <v>2402</v>
      </c>
      <c r="I210" s="288">
        <v>46139.0</v>
      </c>
      <c r="J210" s="288">
        <v>46140.0</v>
      </c>
      <c r="K210" s="409">
        <v>200.0</v>
      </c>
      <c r="L210" s="286">
        <v>4.0</v>
      </c>
      <c r="M210" s="290">
        <f>K210*4</f>
        <v>800</v>
      </c>
      <c r="N210" s="286" t="s">
        <v>71</v>
      </c>
      <c r="O210" s="286" t="s">
        <v>91</v>
      </c>
      <c r="P210" s="286" t="s">
        <v>72</v>
      </c>
      <c r="Q210" s="286">
        <v>2821.0</v>
      </c>
      <c r="R210" s="286" t="s">
        <v>41</v>
      </c>
      <c r="S210" s="286" t="s">
        <v>2208</v>
      </c>
      <c r="T210" s="450"/>
      <c r="U210" s="295" t="s">
        <v>1867</v>
      </c>
      <c r="V210" s="314"/>
      <c r="W210" s="314"/>
      <c r="X210" s="314"/>
      <c r="Y210" s="314"/>
      <c r="Z210" s="314"/>
      <c r="AA210" s="314"/>
      <c r="AB210" s="314"/>
      <c r="AC210" s="314"/>
      <c r="AD210" s="314"/>
      <c r="AE210" s="314"/>
      <c r="AF210" s="314"/>
      <c r="AG210" s="314"/>
      <c r="AH210" s="314"/>
      <c r="AI210" s="314"/>
      <c r="AJ210" s="314"/>
      <c r="AK210" s="314"/>
      <c r="AL210" s="314"/>
      <c r="AM210" s="314"/>
      <c r="AN210" s="314"/>
      <c r="AO210" s="314"/>
      <c r="AP210" s="314"/>
      <c r="AQ210" s="314"/>
      <c r="AR210" s="314"/>
      <c r="AS210" s="314"/>
      <c r="AT210" s="314"/>
      <c r="AU210" s="314"/>
      <c r="AV210" s="314"/>
    </row>
    <row r="211">
      <c r="A211" s="12">
        <v>207.0</v>
      </c>
      <c r="B211" s="295" t="s">
        <v>2626</v>
      </c>
      <c r="C211" s="295" t="s">
        <v>2627</v>
      </c>
      <c r="D211" s="286" t="s">
        <v>2628</v>
      </c>
      <c r="E211" s="295">
        <v>1.1999069609E10</v>
      </c>
      <c r="F211" s="295" t="s">
        <v>2629</v>
      </c>
      <c r="G211" s="295">
        <v>4.0</v>
      </c>
      <c r="H211" s="286" t="s">
        <v>2402</v>
      </c>
      <c r="I211" s="368">
        <v>46139.0</v>
      </c>
      <c r="J211" s="368">
        <v>46140.0</v>
      </c>
      <c r="K211" s="409">
        <v>250.0</v>
      </c>
      <c r="L211" s="295">
        <v>2.0</v>
      </c>
      <c r="M211" s="290">
        <f t="shared" ref="M211:M212" si="29">K211*2</f>
        <v>500</v>
      </c>
      <c r="N211" s="286" t="s">
        <v>71</v>
      </c>
      <c r="O211" s="353" t="s">
        <v>91</v>
      </c>
      <c r="P211" s="353" t="s">
        <v>72</v>
      </c>
      <c r="Q211" s="295">
        <v>2829.0</v>
      </c>
      <c r="R211" s="353" t="s">
        <v>41</v>
      </c>
      <c r="S211" s="286" t="s">
        <v>129</v>
      </c>
      <c r="T211" s="401"/>
      <c r="U211" s="295" t="s">
        <v>1867</v>
      </c>
      <c r="V211" s="314"/>
      <c r="W211" s="314"/>
      <c r="X211" s="314"/>
      <c r="Y211" s="314"/>
      <c r="Z211" s="314"/>
      <c r="AA211" s="314"/>
      <c r="AB211" s="314"/>
      <c r="AC211" s="314"/>
      <c r="AD211" s="314"/>
      <c r="AE211" s="314"/>
      <c r="AF211" s="314"/>
      <c r="AG211" s="314"/>
      <c r="AH211" s="314"/>
      <c r="AI211" s="314"/>
      <c r="AJ211" s="314"/>
      <c r="AK211" s="314"/>
      <c r="AL211" s="314"/>
      <c r="AM211" s="314"/>
      <c r="AN211" s="314"/>
      <c r="AO211" s="314"/>
      <c r="AP211" s="314"/>
      <c r="AQ211" s="314"/>
      <c r="AR211" s="314"/>
      <c r="AS211" s="314"/>
      <c r="AT211" s="314"/>
      <c r="AU211" s="314"/>
      <c r="AV211" s="314"/>
    </row>
    <row r="212">
      <c r="A212" s="12">
        <v>208.0</v>
      </c>
      <c r="B212" s="123" t="s">
        <v>1709</v>
      </c>
      <c r="C212" s="295">
        <v>2.0381574000164E13</v>
      </c>
      <c r="D212" s="123" t="s">
        <v>1710</v>
      </c>
      <c r="E212" s="123">
        <v>1.1969303541E10</v>
      </c>
      <c r="F212" s="123" t="s">
        <v>1711</v>
      </c>
      <c r="G212" s="123">
        <v>3.0</v>
      </c>
      <c r="H212" s="123" t="s">
        <v>1712</v>
      </c>
      <c r="I212" s="177">
        <v>46111.0</v>
      </c>
      <c r="J212" s="177">
        <v>46140.0</v>
      </c>
      <c r="K212" s="409">
        <v>250.0</v>
      </c>
      <c r="L212" s="123">
        <v>2.0</v>
      </c>
      <c r="M212" s="290">
        <f t="shared" si="29"/>
        <v>500</v>
      </c>
      <c r="N212" s="120" t="s">
        <v>71</v>
      </c>
      <c r="O212" s="185" t="s">
        <v>91</v>
      </c>
      <c r="P212" s="185" t="s">
        <v>72</v>
      </c>
      <c r="Q212" s="123">
        <v>2869.0</v>
      </c>
      <c r="R212" s="185" t="s">
        <v>233</v>
      </c>
      <c r="S212" s="120" t="s">
        <v>129</v>
      </c>
      <c r="T212" s="193"/>
      <c r="U212" s="295" t="s">
        <v>1867</v>
      </c>
      <c r="V212" s="452"/>
      <c r="W212" s="314"/>
      <c r="X212" s="314"/>
      <c r="Y212" s="314"/>
      <c r="Z212" s="314"/>
      <c r="AA212" s="314"/>
      <c r="AB212" s="314"/>
      <c r="AC212" s="314"/>
      <c r="AD212" s="314"/>
      <c r="AE212" s="314"/>
      <c r="AF212" s="314"/>
      <c r="AG212" s="314"/>
      <c r="AH212" s="314"/>
      <c r="AI212" s="314"/>
      <c r="AJ212" s="314"/>
      <c r="AK212" s="314"/>
      <c r="AL212" s="314"/>
      <c r="AM212" s="314"/>
      <c r="AN212" s="314"/>
      <c r="AO212" s="314"/>
      <c r="AP212" s="314"/>
      <c r="AQ212" s="314"/>
      <c r="AR212" s="314"/>
      <c r="AS212" s="314"/>
      <c r="AT212" s="314"/>
      <c r="AU212" s="314"/>
      <c r="AV212" s="314"/>
    </row>
    <row r="213">
      <c r="A213" s="12">
        <v>209.0</v>
      </c>
      <c r="B213" s="123" t="s">
        <v>2630</v>
      </c>
      <c r="C213" s="193" t="s">
        <v>2631</v>
      </c>
      <c r="D213" s="123" t="s">
        <v>2632</v>
      </c>
      <c r="E213" s="123" t="s">
        <v>2633</v>
      </c>
      <c r="F213" s="404" t="s">
        <v>2634</v>
      </c>
      <c r="G213" s="295">
        <v>7.0</v>
      </c>
      <c r="H213" s="136" t="s">
        <v>711</v>
      </c>
      <c r="I213" s="368">
        <v>46139.0</v>
      </c>
      <c r="J213" s="368">
        <v>46140.0</v>
      </c>
      <c r="K213" s="409" t="s">
        <v>211</v>
      </c>
      <c r="L213" s="295">
        <v>1.0</v>
      </c>
      <c r="M213" s="290">
        <v>700.0</v>
      </c>
      <c r="N213" s="286" t="s">
        <v>71</v>
      </c>
      <c r="O213" s="353" t="s">
        <v>91</v>
      </c>
      <c r="P213" s="353" t="s">
        <v>72</v>
      </c>
      <c r="Q213" s="295">
        <v>2860.0</v>
      </c>
      <c r="R213" s="353" t="s">
        <v>233</v>
      </c>
      <c r="S213" s="286" t="s">
        <v>2529</v>
      </c>
      <c r="T213" s="295"/>
      <c r="U213" s="295" t="s">
        <v>1867</v>
      </c>
      <c r="V213" s="314"/>
      <c r="W213" s="314"/>
      <c r="X213" s="314"/>
      <c r="Y213" s="314"/>
      <c r="Z213" s="314"/>
      <c r="AA213" s="314"/>
      <c r="AB213" s="314"/>
      <c r="AC213" s="314"/>
      <c r="AD213" s="314"/>
      <c r="AE213" s="314"/>
      <c r="AF213" s="314"/>
      <c r="AG213" s="314"/>
      <c r="AH213" s="314"/>
      <c r="AI213" s="314"/>
      <c r="AJ213" s="314"/>
      <c r="AK213" s="314"/>
      <c r="AL213" s="314"/>
      <c r="AM213" s="314"/>
      <c r="AN213" s="314"/>
      <c r="AO213" s="314"/>
      <c r="AP213" s="314"/>
      <c r="AQ213" s="314"/>
      <c r="AR213" s="314"/>
      <c r="AS213" s="314"/>
      <c r="AT213" s="314"/>
      <c r="AU213" s="314"/>
      <c r="AV213" s="314"/>
    </row>
    <row r="214">
      <c r="A214" s="12">
        <v>210.0</v>
      </c>
      <c r="B214" s="123" t="s">
        <v>2635</v>
      </c>
      <c r="C214" s="123" t="s">
        <v>2636</v>
      </c>
      <c r="D214" s="123" t="s">
        <v>2637</v>
      </c>
      <c r="E214" s="123" t="s">
        <v>2638</v>
      </c>
      <c r="F214" s="123" t="s">
        <v>2639</v>
      </c>
      <c r="G214" s="146">
        <v>2.0</v>
      </c>
      <c r="H214" s="103" t="s">
        <v>2402</v>
      </c>
      <c r="I214" s="321">
        <v>46140.0</v>
      </c>
      <c r="J214" s="321">
        <v>46140.0</v>
      </c>
      <c r="K214" s="197">
        <v>250.0</v>
      </c>
      <c r="L214" s="146">
        <v>4.0</v>
      </c>
      <c r="M214" s="126">
        <f t="shared" ref="M214:M215" si="30">K214*4</f>
        <v>1000</v>
      </c>
      <c r="N214" s="304" t="s">
        <v>71</v>
      </c>
      <c r="O214" s="185" t="s">
        <v>91</v>
      </c>
      <c r="P214" s="185" t="s">
        <v>72</v>
      </c>
      <c r="Q214" s="146">
        <v>2844.0</v>
      </c>
      <c r="R214" s="185" t="s">
        <v>73</v>
      </c>
      <c r="S214" s="304" t="s">
        <v>2208</v>
      </c>
      <c r="T214" s="295"/>
      <c r="U214" s="295" t="s">
        <v>1867</v>
      </c>
      <c r="V214" s="314"/>
      <c r="W214" s="314"/>
      <c r="X214" s="314"/>
      <c r="Y214" s="314"/>
      <c r="Z214" s="314"/>
      <c r="AA214" s="314"/>
      <c r="AB214" s="314"/>
      <c r="AC214" s="314"/>
      <c r="AD214" s="314"/>
      <c r="AE214" s="314"/>
      <c r="AF214" s="314"/>
      <c r="AG214" s="314"/>
      <c r="AH214" s="314"/>
      <c r="AI214" s="314"/>
      <c r="AJ214" s="314"/>
      <c r="AK214" s="314"/>
      <c r="AL214" s="314"/>
      <c r="AM214" s="314"/>
      <c r="AN214" s="314"/>
      <c r="AO214" s="314"/>
      <c r="AP214" s="314"/>
      <c r="AQ214" s="314"/>
      <c r="AR214" s="314"/>
      <c r="AS214" s="314"/>
      <c r="AT214" s="314"/>
      <c r="AU214" s="314"/>
      <c r="AV214" s="314"/>
    </row>
    <row r="215">
      <c r="A215" s="12">
        <v>211.0</v>
      </c>
      <c r="B215" s="123" t="s">
        <v>2640</v>
      </c>
      <c r="C215" s="123" t="s">
        <v>2641</v>
      </c>
      <c r="D215" s="123" t="s">
        <v>2642</v>
      </c>
      <c r="E215" s="123" t="s">
        <v>2643</v>
      </c>
      <c r="F215" s="123" t="s">
        <v>2644</v>
      </c>
      <c r="G215" s="146">
        <v>3.0</v>
      </c>
      <c r="H215" s="103" t="s">
        <v>2402</v>
      </c>
      <c r="I215" s="321">
        <v>6693553.0</v>
      </c>
      <c r="J215" s="321">
        <v>46140.0</v>
      </c>
      <c r="K215" s="197">
        <v>250.0</v>
      </c>
      <c r="L215" s="146">
        <v>4.0</v>
      </c>
      <c r="M215" s="126">
        <f t="shared" si="30"/>
        <v>1000</v>
      </c>
      <c r="N215" s="304" t="s">
        <v>71</v>
      </c>
      <c r="O215" s="185" t="s">
        <v>91</v>
      </c>
      <c r="P215" s="185" t="s">
        <v>72</v>
      </c>
      <c r="Q215" s="146">
        <v>2841.0</v>
      </c>
      <c r="R215" s="185" t="s">
        <v>73</v>
      </c>
      <c r="S215" s="304" t="s">
        <v>2208</v>
      </c>
      <c r="T215" s="295"/>
      <c r="U215" s="295" t="s">
        <v>1867</v>
      </c>
      <c r="V215" s="314"/>
      <c r="W215" s="314"/>
      <c r="X215" s="314"/>
      <c r="Y215" s="314"/>
      <c r="Z215" s="314"/>
      <c r="AA215" s="314"/>
      <c r="AB215" s="314"/>
      <c r="AC215" s="314"/>
      <c r="AD215" s="314"/>
      <c r="AE215" s="314"/>
      <c r="AF215" s="314"/>
      <c r="AG215" s="314"/>
      <c r="AH215" s="314"/>
      <c r="AI215" s="314"/>
      <c r="AJ215" s="314"/>
      <c r="AK215" s="314"/>
      <c r="AL215" s="314"/>
      <c r="AM215" s="314"/>
      <c r="AN215" s="314"/>
      <c r="AO215" s="314"/>
      <c r="AP215" s="314"/>
      <c r="AQ215" s="314"/>
      <c r="AR215" s="314"/>
      <c r="AS215" s="314"/>
      <c r="AT215" s="314"/>
      <c r="AU215" s="314"/>
      <c r="AV215" s="314"/>
    </row>
    <row r="216">
      <c r="A216" s="12">
        <v>212.0</v>
      </c>
      <c r="B216" s="86" t="s">
        <v>673</v>
      </c>
      <c r="C216" s="86" t="s">
        <v>674</v>
      </c>
      <c r="D216" s="86" t="s">
        <v>675</v>
      </c>
      <c r="E216" s="86" t="s">
        <v>676</v>
      </c>
      <c r="F216" s="86" t="s">
        <v>677</v>
      </c>
      <c r="G216" s="86">
        <v>13.0</v>
      </c>
      <c r="H216" s="86" t="s">
        <v>65</v>
      </c>
      <c r="I216" s="87">
        <v>46058.0</v>
      </c>
      <c r="J216" s="168">
        <v>46080.0</v>
      </c>
      <c r="K216" s="89">
        <v>290.3</v>
      </c>
      <c r="L216" s="123">
        <v>12.0</v>
      </c>
      <c r="M216" s="89">
        <f t="shared" ref="M216:M217" si="31">K216*12</f>
        <v>3483.6</v>
      </c>
      <c r="N216" s="86" t="s">
        <v>71</v>
      </c>
      <c r="O216" s="86" t="s">
        <v>29</v>
      </c>
      <c r="P216" s="120" t="s">
        <v>72</v>
      </c>
      <c r="Q216" s="120">
        <v>2837.0</v>
      </c>
      <c r="R216" s="86" t="s">
        <v>73</v>
      </c>
      <c r="S216" s="120" t="s">
        <v>148</v>
      </c>
      <c r="T216" s="295"/>
      <c r="U216" s="295" t="s">
        <v>2645</v>
      </c>
      <c r="V216" s="314"/>
      <c r="W216" s="314"/>
      <c r="X216" s="314"/>
      <c r="Y216" s="314"/>
      <c r="Z216" s="314"/>
      <c r="AA216" s="314"/>
      <c r="AB216" s="314"/>
      <c r="AC216" s="314"/>
      <c r="AD216" s="314"/>
      <c r="AE216" s="314"/>
      <c r="AF216" s="314"/>
      <c r="AG216" s="314"/>
      <c r="AH216" s="314"/>
      <c r="AI216" s="314"/>
      <c r="AJ216" s="314"/>
      <c r="AK216" s="314"/>
      <c r="AL216" s="314"/>
      <c r="AM216" s="314"/>
      <c r="AN216" s="314"/>
      <c r="AO216" s="314"/>
      <c r="AP216" s="314"/>
      <c r="AQ216" s="314"/>
      <c r="AR216" s="314"/>
      <c r="AS216" s="314"/>
      <c r="AT216" s="314"/>
      <c r="AU216" s="314"/>
      <c r="AV216" s="314"/>
    </row>
    <row r="217">
      <c r="A217" s="12">
        <v>213.0</v>
      </c>
      <c r="B217" s="86" t="s">
        <v>2646</v>
      </c>
      <c r="C217" s="86" t="s">
        <v>2647</v>
      </c>
      <c r="D217" s="86" t="s">
        <v>2648</v>
      </c>
      <c r="E217" s="86" t="s">
        <v>2649</v>
      </c>
      <c r="F217" s="134" t="s">
        <v>2650</v>
      </c>
      <c r="G217" s="86">
        <v>15.0</v>
      </c>
      <c r="H217" s="110" t="s">
        <v>123</v>
      </c>
      <c r="I217" s="108">
        <v>46136.0</v>
      </c>
      <c r="J217" s="108">
        <v>46141.0</v>
      </c>
      <c r="K217" s="89">
        <v>223.05</v>
      </c>
      <c r="L217" s="86">
        <v>12.0</v>
      </c>
      <c r="M217" s="89">
        <f t="shared" si="31"/>
        <v>2676.6</v>
      </c>
      <c r="N217" s="86" t="s">
        <v>71</v>
      </c>
      <c r="O217" s="86" t="s">
        <v>29</v>
      </c>
      <c r="P217" s="86" t="s">
        <v>72</v>
      </c>
      <c r="Q217" s="106">
        <v>2842.0</v>
      </c>
      <c r="R217" s="86" t="s">
        <v>233</v>
      </c>
      <c r="S217" s="86" t="s">
        <v>110</v>
      </c>
      <c r="T217" s="251"/>
      <c r="U217" s="295" t="s">
        <v>1867</v>
      </c>
      <c r="V217" s="314"/>
      <c r="W217" s="314"/>
      <c r="X217" s="314"/>
      <c r="Y217" s="314"/>
      <c r="Z217" s="314"/>
      <c r="AA217" s="314"/>
      <c r="AB217" s="314"/>
      <c r="AC217" s="314"/>
      <c r="AD217" s="314"/>
      <c r="AE217" s="314"/>
      <c r="AF217" s="314"/>
      <c r="AG217" s="314"/>
      <c r="AH217" s="314"/>
      <c r="AI217" s="314"/>
      <c r="AJ217" s="314"/>
      <c r="AK217" s="314"/>
      <c r="AL217" s="314"/>
      <c r="AM217" s="314"/>
      <c r="AN217" s="314"/>
      <c r="AO217" s="314"/>
      <c r="AP217" s="314"/>
      <c r="AQ217" s="314"/>
      <c r="AR217" s="314"/>
      <c r="AS217" s="314"/>
      <c r="AT217" s="314"/>
      <c r="AU217" s="314"/>
      <c r="AV217" s="314"/>
    </row>
    <row r="218">
      <c r="A218" s="12">
        <v>214.0</v>
      </c>
      <c r="B218" s="86" t="s">
        <v>2651</v>
      </c>
      <c r="C218" s="86" t="s">
        <v>2652</v>
      </c>
      <c r="D218" s="86" t="s">
        <v>2653</v>
      </c>
      <c r="E218" s="86" t="s">
        <v>2654</v>
      </c>
      <c r="F218" s="134" t="s">
        <v>2655</v>
      </c>
      <c r="G218" s="86">
        <v>1.0</v>
      </c>
      <c r="H218" s="86" t="s">
        <v>254</v>
      </c>
      <c r="I218" s="108">
        <v>46118.0</v>
      </c>
      <c r="J218" s="109"/>
      <c r="K218" s="89" t="s">
        <v>57</v>
      </c>
      <c r="L218" s="86">
        <v>1.0</v>
      </c>
      <c r="M218" s="89">
        <v>800.0</v>
      </c>
      <c r="N218" s="86" t="s">
        <v>58</v>
      </c>
      <c r="O218" s="86" t="s">
        <v>29</v>
      </c>
      <c r="P218" s="86" t="s">
        <v>40</v>
      </c>
      <c r="Q218" s="91"/>
      <c r="R218" s="86" t="s">
        <v>73</v>
      </c>
      <c r="S218" s="86" t="s">
        <v>110</v>
      </c>
      <c r="T218" s="90" t="s">
        <v>2656</v>
      </c>
      <c r="U218" s="295" t="s">
        <v>1867</v>
      </c>
      <c r="V218" s="314"/>
      <c r="W218" s="314"/>
      <c r="X218" s="314"/>
      <c r="Y218" s="314"/>
      <c r="Z218" s="314"/>
      <c r="AA218" s="314"/>
      <c r="AB218" s="314"/>
      <c r="AC218" s="314"/>
      <c r="AD218" s="314"/>
      <c r="AE218" s="314"/>
      <c r="AF218" s="314"/>
      <c r="AG218" s="314"/>
      <c r="AH218" s="314"/>
      <c r="AI218" s="314"/>
      <c r="AJ218" s="314"/>
      <c r="AK218" s="314"/>
      <c r="AL218" s="314"/>
      <c r="AM218" s="314"/>
      <c r="AN218" s="314"/>
      <c r="AO218" s="314"/>
      <c r="AP218" s="314"/>
      <c r="AQ218" s="314"/>
      <c r="AR218" s="314"/>
      <c r="AS218" s="314"/>
      <c r="AT218" s="314"/>
      <c r="AU218" s="314"/>
      <c r="AV218" s="314"/>
    </row>
    <row r="219">
      <c r="A219" s="12">
        <v>215.0</v>
      </c>
      <c r="B219" s="86" t="s">
        <v>2228</v>
      </c>
      <c r="C219" s="86" t="s">
        <v>2229</v>
      </c>
      <c r="D219" s="86" t="s">
        <v>2657</v>
      </c>
      <c r="E219" s="86">
        <v>1.1957161279E10</v>
      </c>
      <c r="F219" s="86" t="s">
        <v>2658</v>
      </c>
      <c r="G219" s="86" t="s">
        <v>26</v>
      </c>
      <c r="H219" s="86" t="s">
        <v>1083</v>
      </c>
      <c r="I219" s="108">
        <v>46141.0</v>
      </c>
      <c r="J219" s="109"/>
      <c r="K219" s="89" t="s">
        <v>57</v>
      </c>
      <c r="L219" s="86">
        <v>1.0</v>
      </c>
      <c r="M219" s="89">
        <v>2100.0</v>
      </c>
      <c r="N219" s="86" t="s">
        <v>58</v>
      </c>
      <c r="O219" s="86" t="s">
        <v>29</v>
      </c>
      <c r="P219" s="86" t="s">
        <v>72</v>
      </c>
      <c r="Q219" s="91"/>
      <c r="R219" s="86" t="s">
        <v>73</v>
      </c>
      <c r="S219" s="86" t="s">
        <v>110</v>
      </c>
      <c r="T219" s="86" t="s">
        <v>99</v>
      </c>
      <c r="U219" s="295" t="s">
        <v>1867</v>
      </c>
      <c r="V219" s="314"/>
      <c r="W219" s="314"/>
      <c r="X219" s="314"/>
      <c r="Y219" s="314"/>
      <c r="Z219" s="314"/>
      <c r="AA219" s="314"/>
      <c r="AB219" s="314"/>
      <c r="AC219" s="314"/>
      <c r="AD219" s="314"/>
      <c r="AE219" s="314"/>
      <c r="AF219" s="314"/>
      <c r="AG219" s="314"/>
      <c r="AH219" s="314"/>
      <c r="AI219" s="314"/>
      <c r="AJ219" s="314"/>
      <c r="AK219" s="314"/>
      <c r="AL219" s="314"/>
      <c r="AM219" s="314"/>
      <c r="AN219" s="314"/>
      <c r="AO219" s="314"/>
      <c r="AP219" s="314"/>
      <c r="AQ219" s="314"/>
      <c r="AR219" s="314"/>
      <c r="AS219" s="314"/>
      <c r="AT219" s="314"/>
      <c r="AU219" s="314"/>
      <c r="AV219" s="314"/>
    </row>
    <row r="220">
      <c r="A220" s="12">
        <v>216.0</v>
      </c>
      <c r="B220" s="212" t="s">
        <v>2659</v>
      </c>
      <c r="C220" s="212" t="s">
        <v>2660</v>
      </c>
      <c r="D220" s="404" t="s">
        <v>2661</v>
      </c>
      <c r="E220" s="212" t="s">
        <v>2662</v>
      </c>
      <c r="F220" s="212" t="s">
        <v>2663</v>
      </c>
      <c r="G220" s="295">
        <v>5.0</v>
      </c>
      <c r="H220" s="110" t="s">
        <v>123</v>
      </c>
      <c r="I220" s="108">
        <v>46139.0</v>
      </c>
      <c r="J220" s="368">
        <v>46140.0</v>
      </c>
      <c r="K220" s="125">
        <v>180.0</v>
      </c>
      <c r="L220" s="86">
        <v>12.0</v>
      </c>
      <c r="M220" s="290">
        <f>K220*12</f>
        <v>2160</v>
      </c>
      <c r="N220" s="286" t="s">
        <v>71</v>
      </c>
      <c r="O220" s="353" t="s">
        <v>29</v>
      </c>
      <c r="P220" s="353" t="s">
        <v>72</v>
      </c>
      <c r="Q220" s="295">
        <v>2834.0</v>
      </c>
      <c r="R220" s="353" t="s">
        <v>73</v>
      </c>
      <c r="S220" s="286" t="s">
        <v>31</v>
      </c>
      <c r="T220" s="295"/>
      <c r="U220" s="295" t="s">
        <v>1867</v>
      </c>
      <c r="V220" s="314"/>
      <c r="W220" s="314"/>
      <c r="X220" s="314"/>
      <c r="Y220" s="314"/>
      <c r="Z220" s="314"/>
      <c r="AA220" s="314"/>
      <c r="AB220" s="314"/>
      <c r="AC220" s="314"/>
      <c r="AD220" s="314"/>
      <c r="AE220" s="314"/>
      <c r="AF220" s="314"/>
      <c r="AG220" s="314"/>
      <c r="AH220" s="314"/>
      <c r="AI220" s="314"/>
      <c r="AJ220" s="314"/>
      <c r="AK220" s="314"/>
      <c r="AL220" s="314"/>
      <c r="AM220" s="314"/>
      <c r="AN220" s="314"/>
      <c r="AO220" s="314"/>
      <c r="AP220" s="314"/>
      <c r="AQ220" s="314"/>
      <c r="AR220" s="314"/>
      <c r="AS220" s="314"/>
      <c r="AT220" s="314"/>
      <c r="AU220" s="314"/>
      <c r="AV220" s="314"/>
    </row>
    <row r="221">
      <c r="A221" s="12">
        <v>217.0</v>
      </c>
      <c r="B221" s="295" t="s">
        <v>2664</v>
      </c>
      <c r="C221" s="316" t="s">
        <v>2665</v>
      </c>
      <c r="D221" s="404" t="s">
        <v>2661</v>
      </c>
      <c r="E221" s="212" t="s">
        <v>2662</v>
      </c>
      <c r="F221" s="212" t="s">
        <v>2663</v>
      </c>
      <c r="G221" s="295" t="s">
        <v>26</v>
      </c>
      <c r="H221" s="136" t="s">
        <v>711</v>
      </c>
      <c r="I221" s="108">
        <v>46139.0</v>
      </c>
      <c r="J221" s="368">
        <v>46141.0</v>
      </c>
      <c r="K221" s="125">
        <v>252.0</v>
      </c>
      <c r="L221" s="295">
        <v>3.0</v>
      </c>
      <c r="M221" s="290">
        <f>K221*3</f>
        <v>756</v>
      </c>
      <c r="N221" s="286" t="s">
        <v>71</v>
      </c>
      <c r="O221" s="353" t="s">
        <v>91</v>
      </c>
      <c r="P221" s="353" t="s">
        <v>72</v>
      </c>
      <c r="Q221" s="295">
        <v>2838.0</v>
      </c>
      <c r="R221" s="353" t="s">
        <v>73</v>
      </c>
      <c r="S221" s="286" t="s">
        <v>31</v>
      </c>
      <c r="T221" s="295"/>
      <c r="U221" s="295" t="s">
        <v>1867</v>
      </c>
      <c r="V221" s="314"/>
      <c r="W221" s="314"/>
      <c r="X221" s="314"/>
      <c r="Y221" s="314"/>
      <c r="Z221" s="314"/>
      <c r="AA221" s="314"/>
      <c r="AB221" s="314"/>
      <c r="AC221" s="314"/>
      <c r="AD221" s="314"/>
      <c r="AE221" s="314"/>
      <c r="AF221" s="314"/>
      <c r="AG221" s="314"/>
      <c r="AH221" s="314"/>
      <c r="AI221" s="314"/>
      <c r="AJ221" s="314"/>
      <c r="AK221" s="314"/>
      <c r="AL221" s="314"/>
      <c r="AM221" s="314"/>
      <c r="AN221" s="314"/>
      <c r="AO221" s="314"/>
      <c r="AP221" s="314"/>
      <c r="AQ221" s="314"/>
      <c r="AR221" s="314"/>
      <c r="AS221" s="314"/>
      <c r="AT221" s="314"/>
      <c r="AU221" s="314"/>
      <c r="AV221" s="314"/>
    </row>
    <row r="222">
      <c r="A222" s="12">
        <v>218.0</v>
      </c>
      <c r="B222" s="295" t="s">
        <v>2666</v>
      </c>
      <c r="C222" s="316" t="s">
        <v>2667</v>
      </c>
      <c r="D222" s="404" t="s">
        <v>2668</v>
      </c>
      <c r="E222" s="212" t="s">
        <v>2669</v>
      </c>
      <c r="F222" s="212" t="s">
        <v>2670</v>
      </c>
      <c r="G222" s="295">
        <v>1.0</v>
      </c>
      <c r="H222" s="136" t="s">
        <v>2402</v>
      </c>
      <c r="I222" s="317">
        <v>46136.0</v>
      </c>
      <c r="J222" s="368">
        <v>46141.0</v>
      </c>
      <c r="K222" s="125" t="s">
        <v>211</v>
      </c>
      <c r="L222" s="295">
        <v>1.0</v>
      </c>
      <c r="M222" s="290">
        <v>600.0</v>
      </c>
      <c r="N222" s="286" t="s">
        <v>71</v>
      </c>
      <c r="O222" s="353" t="s">
        <v>91</v>
      </c>
      <c r="P222" s="353" t="s">
        <v>72</v>
      </c>
      <c r="Q222" s="295">
        <v>2850.0</v>
      </c>
      <c r="R222" s="353" t="s">
        <v>41</v>
      </c>
      <c r="S222" s="286" t="s">
        <v>2208</v>
      </c>
      <c r="T222" s="295"/>
      <c r="U222" s="295" t="s">
        <v>1867</v>
      </c>
      <c r="V222" s="314"/>
      <c r="W222" s="314"/>
      <c r="X222" s="314"/>
      <c r="Y222" s="314"/>
      <c r="Z222" s="314"/>
      <c r="AA222" s="314"/>
      <c r="AB222" s="314"/>
      <c r="AC222" s="314"/>
      <c r="AD222" s="314"/>
      <c r="AE222" s="314"/>
      <c r="AF222" s="314"/>
      <c r="AG222" s="314"/>
      <c r="AH222" s="314"/>
      <c r="AI222" s="314"/>
      <c r="AJ222" s="314"/>
      <c r="AK222" s="314"/>
      <c r="AL222" s="314"/>
      <c r="AM222" s="314"/>
      <c r="AN222" s="314"/>
      <c r="AO222" s="314"/>
      <c r="AP222" s="314"/>
      <c r="AQ222" s="314"/>
      <c r="AR222" s="314"/>
      <c r="AS222" s="314"/>
      <c r="AT222" s="314"/>
      <c r="AU222" s="314"/>
      <c r="AV222" s="314"/>
    </row>
    <row r="223">
      <c r="A223" s="12">
        <v>219.0</v>
      </c>
      <c r="B223" s="295" t="s">
        <v>2671</v>
      </c>
      <c r="C223" s="193" t="s">
        <v>2672</v>
      </c>
      <c r="D223" s="404" t="s">
        <v>2673</v>
      </c>
      <c r="E223" s="212" t="s">
        <v>2674</v>
      </c>
      <c r="F223" s="212" t="s">
        <v>2675</v>
      </c>
      <c r="G223" s="295">
        <v>2.0</v>
      </c>
      <c r="H223" s="136" t="s">
        <v>2402</v>
      </c>
      <c r="I223" s="317">
        <v>46139.0</v>
      </c>
      <c r="J223" s="368">
        <v>46141.0</v>
      </c>
      <c r="K223" s="409">
        <v>300.0</v>
      </c>
      <c r="L223" s="295">
        <v>2.0</v>
      </c>
      <c r="M223" s="290">
        <f>K223*2</f>
        <v>600</v>
      </c>
      <c r="N223" s="286" t="s">
        <v>71</v>
      </c>
      <c r="O223" s="353" t="s">
        <v>91</v>
      </c>
      <c r="P223" s="353" t="s">
        <v>72</v>
      </c>
      <c r="Q223" s="295">
        <v>2851.0</v>
      </c>
      <c r="R223" s="353" t="s">
        <v>41</v>
      </c>
      <c r="S223" s="286" t="s">
        <v>2208</v>
      </c>
      <c r="T223" s="295"/>
      <c r="U223" s="295" t="s">
        <v>1867</v>
      </c>
      <c r="V223" s="314"/>
      <c r="W223" s="314"/>
      <c r="X223" s="314"/>
      <c r="Y223" s="314"/>
      <c r="Z223" s="314"/>
      <c r="AA223" s="314"/>
      <c r="AB223" s="314"/>
      <c r="AC223" s="314"/>
      <c r="AD223" s="314"/>
      <c r="AE223" s="314"/>
      <c r="AF223" s="314"/>
      <c r="AG223" s="314"/>
      <c r="AH223" s="314"/>
      <c r="AI223" s="314"/>
      <c r="AJ223" s="314"/>
      <c r="AK223" s="314"/>
      <c r="AL223" s="314"/>
      <c r="AM223" s="314"/>
      <c r="AN223" s="314"/>
      <c r="AO223" s="314"/>
      <c r="AP223" s="314"/>
      <c r="AQ223" s="314"/>
      <c r="AR223" s="314"/>
      <c r="AS223" s="314"/>
      <c r="AT223" s="314"/>
      <c r="AU223" s="314"/>
      <c r="AV223" s="314"/>
    </row>
    <row r="224">
      <c r="A224" s="12">
        <v>220.0</v>
      </c>
      <c r="B224" s="295" t="s">
        <v>2676</v>
      </c>
      <c r="C224" s="193" t="s">
        <v>2677</v>
      </c>
      <c r="D224" s="404" t="s">
        <v>2678</v>
      </c>
      <c r="E224" s="212" t="s">
        <v>2679</v>
      </c>
      <c r="F224" s="212" t="s">
        <v>2658</v>
      </c>
      <c r="G224" s="286">
        <v>24.0</v>
      </c>
      <c r="H224" s="286" t="s">
        <v>2680</v>
      </c>
      <c r="I224" s="288">
        <v>46140.0</v>
      </c>
      <c r="J224" s="288">
        <v>46142.0</v>
      </c>
      <c r="K224" s="290" t="s">
        <v>2681</v>
      </c>
      <c r="L224" s="453" t="s">
        <v>1218</v>
      </c>
      <c r="M224" s="290">
        <v>4225.0</v>
      </c>
      <c r="N224" s="286" t="s">
        <v>71</v>
      </c>
      <c r="O224" s="286" t="s">
        <v>29</v>
      </c>
      <c r="P224" s="286" t="s">
        <v>72</v>
      </c>
      <c r="Q224" s="286">
        <v>2865.0</v>
      </c>
      <c r="R224" s="286" t="s">
        <v>73</v>
      </c>
      <c r="S224" s="286" t="s">
        <v>129</v>
      </c>
      <c r="T224" s="450"/>
      <c r="U224" s="295" t="s">
        <v>1867</v>
      </c>
      <c r="V224" s="314"/>
      <c r="W224" s="314"/>
      <c r="X224" s="314"/>
      <c r="Y224" s="314"/>
      <c r="Z224" s="314"/>
      <c r="AA224" s="314"/>
      <c r="AB224" s="314"/>
      <c r="AC224" s="314"/>
      <c r="AD224" s="314"/>
      <c r="AE224" s="314"/>
      <c r="AF224" s="314"/>
      <c r="AG224" s="314"/>
      <c r="AH224" s="314"/>
      <c r="AI224" s="314"/>
      <c r="AJ224" s="314"/>
      <c r="AK224" s="314"/>
      <c r="AL224" s="314"/>
      <c r="AM224" s="314"/>
      <c r="AN224" s="314"/>
      <c r="AO224" s="314"/>
      <c r="AP224" s="314"/>
      <c r="AQ224" s="314"/>
      <c r="AR224" s="314"/>
      <c r="AS224" s="314"/>
      <c r="AT224" s="314"/>
      <c r="AU224" s="314"/>
      <c r="AV224" s="314"/>
    </row>
    <row r="225">
      <c r="A225" s="12">
        <v>221.0</v>
      </c>
      <c r="B225" s="295" t="s">
        <v>2682</v>
      </c>
      <c r="C225" s="193" t="s">
        <v>2683</v>
      </c>
      <c r="D225" s="404" t="s">
        <v>2684</v>
      </c>
      <c r="E225" s="212" t="s">
        <v>2685</v>
      </c>
      <c r="F225" s="454" t="s">
        <v>2686</v>
      </c>
      <c r="G225" s="295">
        <v>25.0</v>
      </c>
      <c r="H225" s="136" t="s">
        <v>711</v>
      </c>
      <c r="I225" s="368">
        <v>46141.0</v>
      </c>
      <c r="J225" s="368">
        <v>46141.0</v>
      </c>
      <c r="K225" s="409">
        <v>250.0</v>
      </c>
      <c r="L225" s="295">
        <v>4.0</v>
      </c>
      <c r="M225" s="290">
        <f>K225*4</f>
        <v>1000</v>
      </c>
      <c r="N225" s="286" t="s">
        <v>71</v>
      </c>
      <c r="O225" s="353" t="s">
        <v>91</v>
      </c>
      <c r="P225" s="353" t="s">
        <v>72</v>
      </c>
      <c r="Q225" s="295">
        <v>2862.0</v>
      </c>
      <c r="R225" s="353" t="s">
        <v>233</v>
      </c>
      <c r="S225" s="286" t="s">
        <v>2529</v>
      </c>
      <c r="T225" s="295"/>
      <c r="U225" s="295" t="s">
        <v>1867</v>
      </c>
      <c r="V225" s="314"/>
      <c r="W225" s="314"/>
      <c r="X225" s="314"/>
      <c r="Y225" s="314"/>
      <c r="Z225" s="314"/>
      <c r="AA225" s="314"/>
      <c r="AB225" s="314"/>
      <c r="AC225" s="314"/>
      <c r="AD225" s="314"/>
      <c r="AE225" s="314"/>
      <c r="AF225" s="314"/>
      <c r="AG225" s="314"/>
      <c r="AH225" s="314"/>
      <c r="AI225" s="314"/>
      <c r="AJ225" s="314"/>
      <c r="AK225" s="314"/>
      <c r="AL225" s="314"/>
      <c r="AM225" s="314"/>
      <c r="AN225" s="314"/>
      <c r="AO225" s="314"/>
      <c r="AP225" s="314"/>
      <c r="AQ225" s="314"/>
      <c r="AR225" s="314"/>
      <c r="AS225" s="314"/>
      <c r="AT225" s="314"/>
      <c r="AU225" s="314"/>
      <c r="AV225" s="314"/>
    </row>
    <row r="226">
      <c r="A226" s="12">
        <v>222.0</v>
      </c>
      <c r="B226" s="86" t="s">
        <v>2687</v>
      </c>
      <c r="C226" s="86" t="s">
        <v>2688</v>
      </c>
      <c r="D226" s="86" t="s">
        <v>2689</v>
      </c>
      <c r="E226" s="212">
        <v>4.888502559E9</v>
      </c>
      <c r="F226" s="86" t="s">
        <v>2690</v>
      </c>
      <c r="G226" s="86">
        <v>10.0</v>
      </c>
      <c r="H226" s="110" t="s">
        <v>123</v>
      </c>
      <c r="I226" s="108">
        <v>46141.0</v>
      </c>
      <c r="J226" s="108">
        <v>46141.0</v>
      </c>
      <c r="K226" s="89">
        <v>193.0</v>
      </c>
      <c r="L226" s="86">
        <v>12.0</v>
      </c>
      <c r="M226" s="89">
        <f>K226*12</f>
        <v>2316</v>
      </c>
      <c r="N226" s="86" t="s">
        <v>71</v>
      </c>
      <c r="O226" s="86" t="s">
        <v>29</v>
      </c>
      <c r="P226" s="86" t="s">
        <v>72</v>
      </c>
      <c r="Q226" s="106">
        <v>2843.0</v>
      </c>
      <c r="R226" s="86" t="s">
        <v>233</v>
      </c>
      <c r="S226" s="86" t="s">
        <v>110</v>
      </c>
      <c r="T226" s="90"/>
      <c r="U226" s="120" t="s">
        <v>1867</v>
      </c>
      <c r="V226" s="24"/>
      <c r="W226" s="24"/>
      <c r="X226" s="24"/>
      <c r="Y226" s="24"/>
      <c r="Z226" s="24"/>
      <c r="AA226" s="24"/>
      <c r="AB226" s="24"/>
      <c r="AC226" s="314"/>
      <c r="AD226" s="314"/>
      <c r="AE226" s="314"/>
      <c r="AF226" s="314"/>
      <c r="AG226" s="314"/>
      <c r="AH226" s="314"/>
      <c r="AI226" s="314"/>
      <c r="AJ226" s="314"/>
      <c r="AK226" s="314"/>
      <c r="AL226" s="314"/>
      <c r="AM226" s="314"/>
      <c r="AN226" s="314"/>
      <c r="AO226" s="314"/>
      <c r="AP226" s="314"/>
      <c r="AQ226" s="314"/>
      <c r="AR226" s="314"/>
      <c r="AS226" s="314"/>
      <c r="AT226" s="314"/>
      <c r="AU226" s="314"/>
      <c r="AV226" s="314"/>
    </row>
    <row r="227">
      <c r="A227" s="12">
        <v>223.0</v>
      </c>
      <c r="B227" s="123" t="s">
        <v>2691</v>
      </c>
      <c r="C227" s="123" t="s">
        <v>2692</v>
      </c>
      <c r="D227" s="123" t="s">
        <v>2693</v>
      </c>
      <c r="E227" s="212" t="s">
        <v>2694</v>
      </c>
      <c r="F227" s="123" t="s">
        <v>2695</v>
      </c>
      <c r="G227" s="120">
        <v>1.0</v>
      </c>
      <c r="H227" s="136" t="s">
        <v>711</v>
      </c>
      <c r="I227" s="317">
        <v>46140.0</v>
      </c>
      <c r="J227" s="317">
        <v>46141.0</v>
      </c>
      <c r="K227" s="125">
        <v>200.0</v>
      </c>
      <c r="L227" s="120">
        <v>3.0</v>
      </c>
      <c r="M227" s="125">
        <f>K227*3</f>
        <v>600</v>
      </c>
      <c r="N227" s="120" t="s">
        <v>71</v>
      </c>
      <c r="O227" s="120" t="s">
        <v>91</v>
      </c>
      <c r="P227" s="120" t="s">
        <v>72</v>
      </c>
      <c r="Q227" s="120">
        <v>2853.0</v>
      </c>
      <c r="R227" s="120" t="s">
        <v>73</v>
      </c>
      <c r="S227" s="120" t="s">
        <v>2208</v>
      </c>
      <c r="T227" s="86"/>
      <c r="U227" s="120" t="s">
        <v>1867</v>
      </c>
      <c r="V227" s="24"/>
      <c r="W227" s="24"/>
      <c r="X227" s="24"/>
      <c r="Y227" s="24"/>
      <c r="Z227" s="24"/>
      <c r="AA227" s="24"/>
      <c r="AB227" s="24"/>
      <c r="AC227" s="314"/>
      <c r="AD227" s="314"/>
      <c r="AE227" s="314"/>
      <c r="AF227" s="314"/>
      <c r="AG227" s="314"/>
      <c r="AH227" s="314"/>
      <c r="AI227" s="314"/>
      <c r="AJ227" s="314"/>
      <c r="AK227" s="314"/>
      <c r="AL227" s="314"/>
      <c r="AM227" s="314"/>
      <c r="AN227" s="314"/>
      <c r="AO227" s="314"/>
      <c r="AP227" s="314"/>
      <c r="AQ227" s="314"/>
      <c r="AR227" s="314"/>
      <c r="AS227" s="314"/>
      <c r="AT227" s="314"/>
      <c r="AU227" s="314"/>
      <c r="AV227" s="314"/>
    </row>
    <row r="228">
      <c r="A228" s="12">
        <v>224.0</v>
      </c>
      <c r="B228" s="86" t="s">
        <v>2696</v>
      </c>
      <c r="C228" s="86" t="s">
        <v>2697</v>
      </c>
      <c r="D228" s="86" t="s">
        <v>2698</v>
      </c>
      <c r="E228" s="86">
        <v>1.1999131323E10</v>
      </c>
      <c r="F228" s="86" t="s">
        <v>2699</v>
      </c>
      <c r="G228" s="86">
        <v>8.0</v>
      </c>
      <c r="H228" s="86" t="s">
        <v>254</v>
      </c>
      <c r="I228" s="108">
        <v>46141.0</v>
      </c>
      <c r="J228" s="109"/>
      <c r="K228" s="89" t="s">
        <v>57</v>
      </c>
      <c r="L228" s="86">
        <v>1.0</v>
      </c>
      <c r="M228" s="89">
        <v>600.0</v>
      </c>
      <c r="N228" s="86" t="s">
        <v>58</v>
      </c>
      <c r="O228" s="86" t="s">
        <v>29</v>
      </c>
      <c r="P228" s="86" t="s">
        <v>72</v>
      </c>
      <c r="Q228" s="91"/>
      <c r="R228" s="86" t="s">
        <v>73</v>
      </c>
      <c r="S228" s="86" t="s">
        <v>110</v>
      </c>
      <c r="T228" s="90"/>
      <c r="U228" s="120" t="s">
        <v>1867</v>
      </c>
      <c r="V228" s="92"/>
      <c r="W228" s="92"/>
      <c r="X228" s="92"/>
      <c r="Y228" s="92"/>
      <c r="Z228" s="92"/>
      <c r="AA228" s="92"/>
      <c r="AB228" s="92"/>
      <c r="AC228" s="314"/>
      <c r="AD228" s="314"/>
      <c r="AE228" s="314"/>
      <c r="AF228" s="314"/>
      <c r="AG228" s="314"/>
      <c r="AH228" s="314"/>
      <c r="AI228" s="314"/>
      <c r="AJ228" s="314"/>
      <c r="AK228" s="314"/>
      <c r="AL228" s="314"/>
      <c r="AM228" s="314"/>
      <c r="AN228" s="314"/>
      <c r="AO228" s="314"/>
      <c r="AP228" s="314"/>
      <c r="AQ228" s="314"/>
      <c r="AR228" s="314"/>
      <c r="AS228" s="314"/>
      <c r="AT228" s="314"/>
      <c r="AU228" s="314"/>
      <c r="AV228" s="314"/>
    </row>
    <row r="229">
      <c r="A229" s="12">
        <v>225.0</v>
      </c>
      <c r="B229" s="295" t="s">
        <v>2700</v>
      </c>
      <c r="C229" s="193" t="s">
        <v>2701</v>
      </c>
      <c r="D229" s="123" t="s">
        <v>2702</v>
      </c>
      <c r="E229" s="212" t="s">
        <v>1701</v>
      </c>
      <c r="F229" s="123" t="s">
        <v>1702</v>
      </c>
      <c r="G229" s="295" t="s">
        <v>26</v>
      </c>
      <c r="H229" s="136" t="s">
        <v>711</v>
      </c>
      <c r="I229" s="108">
        <v>46141.0</v>
      </c>
      <c r="J229" s="368">
        <v>46141.0</v>
      </c>
      <c r="K229" s="125" t="s">
        <v>211</v>
      </c>
      <c r="L229" s="254">
        <v>1.0</v>
      </c>
      <c r="M229" s="290">
        <v>700.0</v>
      </c>
      <c r="N229" s="286" t="s">
        <v>71</v>
      </c>
      <c r="O229" s="353" t="s">
        <v>29</v>
      </c>
      <c r="P229" s="353" t="s">
        <v>72</v>
      </c>
      <c r="Q229" s="295">
        <v>2848.0</v>
      </c>
      <c r="R229" s="353" t="s">
        <v>233</v>
      </c>
      <c r="S229" s="286" t="s">
        <v>31</v>
      </c>
      <c r="T229" s="295"/>
      <c r="U229" s="295" t="s">
        <v>1867</v>
      </c>
      <c r="V229" s="314"/>
      <c r="W229" s="314"/>
      <c r="X229" s="314"/>
      <c r="Y229" s="314"/>
      <c r="Z229" s="314"/>
      <c r="AA229" s="314"/>
      <c r="AB229" s="314"/>
      <c r="AC229" s="314"/>
      <c r="AD229" s="314"/>
      <c r="AE229" s="314"/>
      <c r="AF229" s="314"/>
      <c r="AG229" s="314"/>
      <c r="AH229" s="314"/>
      <c r="AI229" s="314"/>
      <c r="AJ229" s="314"/>
      <c r="AK229" s="314"/>
      <c r="AL229" s="314"/>
      <c r="AM229" s="314"/>
      <c r="AN229" s="314"/>
      <c r="AO229" s="314"/>
      <c r="AP229" s="314"/>
      <c r="AQ229" s="314"/>
      <c r="AR229" s="314"/>
      <c r="AS229" s="314"/>
      <c r="AT229" s="314"/>
      <c r="AU229" s="314"/>
      <c r="AV229" s="314"/>
    </row>
    <row r="230">
      <c r="A230" s="12">
        <v>226.0</v>
      </c>
      <c r="B230" s="286" t="s">
        <v>522</v>
      </c>
      <c r="C230" s="193" t="s">
        <v>523</v>
      </c>
      <c r="D230" s="286" t="s">
        <v>2703</v>
      </c>
      <c r="E230" s="212" t="s">
        <v>2704</v>
      </c>
      <c r="F230" s="286" t="s">
        <v>2705</v>
      </c>
      <c r="G230" s="295">
        <v>1.0</v>
      </c>
      <c r="H230" s="286" t="s">
        <v>2706</v>
      </c>
      <c r="I230" s="108">
        <v>46141.0</v>
      </c>
      <c r="J230" s="108">
        <v>46141.0</v>
      </c>
      <c r="K230" s="125" t="s">
        <v>211</v>
      </c>
      <c r="L230" s="453" t="s">
        <v>1218</v>
      </c>
      <c r="M230" s="125">
        <v>200.0</v>
      </c>
      <c r="N230" s="286" t="s">
        <v>71</v>
      </c>
      <c r="O230" s="286" t="s">
        <v>91</v>
      </c>
      <c r="P230" s="286" t="s">
        <v>72</v>
      </c>
      <c r="Q230" s="286">
        <v>2836.0</v>
      </c>
      <c r="R230" s="286" t="s">
        <v>233</v>
      </c>
      <c r="S230" s="286" t="s">
        <v>31</v>
      </c>
      <c r="T230" s="450"/>
      <c r="U230" s="295" t="s">
        <v>1867</v>
      </c>
      <c r="V230" s="314"/>
      <c r="W230" s="314"/>
      <c r="X230" s="314"/>
      <c r="Y230" s="314"/>
      <c r="Z230" s="314"/>
      <c r="AA230" s="314"/>
      <c r="AB230" s="314"/>
      <c r="AC230" s="314"/>
      <c r="AD230" s="314"/>
      <c r="AE230" s="314"/>
      <c r="AF230" s="314"/>
      <c r="AG230" s="314"/>
      <c r="AH230" s="314"/>
      <c r="AI230" s="314"/>
      <c r="AJ230" s="314"/>
      <c r="AK230" s="314"/>
      <c r="AL230" s="314"/>
      <c r="AM230" s="314"/>
      <c r="AN230" s="314"/>
      <c r="AO230" s="314"/>
      <c r="AP230" s="314"/>
      <c r="AQ230" s="314"/>
      <c r="AR230" s="314"/>
      <c r="AS230" s="314"/>
      <c r="AT230" s="314"/>
      <c r="AU230" s="314"/>
      <c r="AV230" s="314"/>
    </row>
    <row r="231">
      <c r="A231" s="12">
        <v>227.0</v>
      </c>
      <c r="B231" s="86" t="s">
        <v>500</v>
      </c>
      <c r="C231" s="86">
        <v>6.41509890001E13</v>
      </c>
      <c r="D231" s="404" t="s">
        <v>2707</v>
      </c>
      <c r="E231" s="404">
        <v>1.1968479264E10</v>
      </c>
      <c r="F231" s="455" t="s">
        <v>2708</v>
      </c>
      <c r="G231" s="295">
        <v>22.0</v>
      </c>
      <c r="H231" s="136" t="s">
        <v>2709</v>
      </c>
      <c r="I231" s="368">
        <v>46142.0</v>
      </c>
      <c r="J231" s="368"/>
      <c r="K231" s="290">
        <v>266.66</v>
      </c>
      <c r="L231" s="295">
        <v>3.0</v>
      </c>
      <c r="M231" s="290">
        <v>800.0</v>
      </c>
      <c r="N231" s="286" t="s">
        <v>58</v>
      </c>
      <c r="O231" s="353" t="s">
        <v>91</v>
      </c>
      <c r="P231" s="353" t="s">
        <v>40</v>
      </c>
      <c r="Q231" s="293"/>
      <c r="R231" s="353" t="s">
        <v>73</v>
      </c>
      <c r="S231" s="286" t="s">
        <v>129</v>
      </c>
      <c r="T231" s="295"/>
      <c r="U231" s="293"/>
      <c r="V231" s="314"/>
      <c r="W231" s="314"/>
      <c r="X231" s="314"/>
      <c r="Y231" s="314"/>
      <c r="Z231" s="314"/>
      <c r="AA231" s="314"/>
      <c r="AB231" s="314"/>
      <c r="AC231" s="314"/>
      <c r="AD231" s="314"/>
      <c r="AE231" s="314"/>
      <c r="AF231" s="314"/>
      <c r="AG231" s="314"/>
      <c r="AH231" s="314"/>
      <c r="AI231" s="314"/>
      <c r="AJ231" s="314"/>
      <c r="AK231" s="314"/>
      <c r="AL231" s="314"/>
      <c r="AM231" s="314"/>
      <c r="AN231" s="314"/>
      <c r="AO231" s="314"/>
      <c r="AP231" s="314"/>
      <c r="AQ231" s="314"/>
      <c r="AR231" s="314"/>
      <c r="AS231" s="314"/>
      <c r="AT231" s="314"/>
      <c r="AU231" s="314"/>
      <c r="AV231" s="314"/>
    </row>
    <row r="232">
      <c r="A232" s="12">
        <v>228.0</v>
      </c>
      <c r="B232" s="86" t="s">
        <v>2710</v>
      </c>
      <c r="C232" s="86" t="s">
        <v>2711</v>
      </c>
      <c r="D232" s="86" t="s">
        <v>2698</v>
      </c>
      <c r="E232" s="86">
        <v>1.1999131323E10</v>
      </c>
      <c r="F232" s="86" t="s">
        <v>2699</v>
      </c>
      <c r="G232" s="176">
        <v>6.0</v>
      </c>
      <c r="H232" s="86" t="s">
        <v>254</v>
      </c>
      <c r="I232" s="108">
        <v>46141.0</v>
      </c>
      <c r="J232" s="109"/>
      <c r="K232" s="89" t="s">
        <v>57</v>
      </c>
      <c r="L232" s="86">
        <v>1.0</v>
      </c>
      <c r="M232" s="89">
        <v>600.0</v>
      </c>
      <c r="N232" s="86" t="s">
        <v>58</v>
      </c>
      <c r="O232" s="86" t="s">
        <v>29</v>
      </c>
      <c r="P232" s="86" t="s">
        <v>72</v>
      </c>
      <c r="Q232" s="91"/>
      <c r="R232" s="86" t="s">
        <v>73</v>
      </c>
      <c r="S232" s="86" t="s">
        <v>110</v>
      </c>
      <c r="T232" s="90"/>
      <c r="U232" s="120" t="s">
        <v>1867</v>
      </c>
      <c r="V232" s="92"/>
      <c r="W232" s="92"/>
      <c r="X232" s="92"/>
      <c r="Y232" s="92"/>
      <c r="Z232" s="92"/>
      <c r="AA232" s="92"/>
      <c r="AB232" s="92"/>
      <c r="AC232" s="314"/>
      <c r="AD232" s="314"/>
      <c r="AE232" s="314"/>
      <c r="AF232" s="314"/>
      <c r="AG232" s="314"/>
      <c r="AH232" s="314"/>
      <c r="AI232" s="314"/>
      <c r="AJ232" s="314"/>
      <c r="AK232" s="314"/>
      <c r="AL232" s="314"/>
      <c r="AM232" s="314"/>
      <c r="AN232" s="314"/>
      <c r="AO232" s="314"/>
      <c r="AP232" s="314"/>
      <c r="AQ232" s="314"/>
      <c r="AR232" s="314"/>
      <c r="AS232" s="314"/>
      <c r="AT232" s="314"/>
      <c r="AU232" s="314"/>
      <c r="AV232" s="314"/>
    </row>
    <row r="233">
      <c r="A233" s="12">
        <v>229.0</v>
      </c>
      <c r="B233" s="106" t="s">
        <v>2712</v>
      </c>
      <c r="C233" s="106" t="s">
        <v>2713</v>
      </c>
      <c r="D233" s="106" t="s">
        <v>2714</v>
      </c>
      <c r="E233" s="212">
        <v>1.1932966191E10</v>
      </c>
      <c r="F233" s="106" t="s">
        <v>2715</v>
      </c>
      <c r="G233" s="106">
        <v>5.0</v>
      </c>
      <c r="H233" s="107" t="s">
        <v>123</v>
      </c>
      <c r="I233" s="108">
        <v>46141.0</v>
      </c>
      <c r="J233" s="108">
        <v>46141.0</v>
      </c>
      <c r="K233" s="89">
        <v>163.0</v>
      </c>
      <c r="L233" s="254">
        <v>12.0</v>
      </c>
      <c r="M233" s="89">
        <f>K233*12</f>
        <v>1956</v>
      </c>
      <c r="N233" s="106" t="s">
        <v>71</v>
      </c>
      <c r="O233" s="106" t="s">
        <v>29</v>
      </c>
      <c r="P233" s="106" t="s">
        <v>72</v>
      </c>
      <c r="Q233" s="286">
        <v>2893.0</v>
      </c>
      <c r="R233" s="106" t="s">
        <v>73</v>
      </c>
      <c r="S233" s="106" t="s">
        <v>110</v>
      </c>
      <c r="T233" s="91"/>
      <c r="U233" s="120" t="s">
        <v>1867</v>
      </c>
      <c r="V233" s="92"/>
      <c r="W233" s="92"/>
      <c r="X233" s="92"/>
      <c r="Y233" s="92"/>
      <c r="Z233" s="92"/>
      <c r="AA233" s="92"/>
      <c r="AB233" s="92"/>
      <c r="AC233" s="314"/>
      <c r="AD233" s="314"/>
      <c r="AE233" s="314"/>
      <c r="AF233" s="314"/>
      <c r="AG233" s="314"/>
      <c r="AH233" s="314"/>
      <c r="AI233" s="314"/>
      <c r="AJ233" s="314"/>
      <c r="AK233" s="314"/>
      <c r="AL233" s="314"/>
      <c r="AM233" s="314"/>
      <c r="AN233" s="314"/>
      <c r="AO233" s="314"/>
      <c r="AP233" s="314"/>
      <c r="AQ233" s="314"/>
      <c r="AR233" s="314"/>
      <c r="AS233" s="314"/>
      <c r="AT233" s="314"/>
      <c r="AU233" s="314"/>
      <c r="AV233" s="314"/>
    </row>
    <row r="234">
      <c r="A234" s="12">
        <v>230.0</v>
      </c>
      <c r="B234" s="123" t="s">
        <v>2716</v>
      </c>
      <c r="C234" s="193" t="s">
        <v>2717</v>
      </c>
      <c r="D234" s="286" t="s">
        <v>2718</v>
      </c>
      <c r="E234" s="212" t="s">
        <v>2719</v>
      </c>
      <c r="F234" s="106" t="s">
        <v>2720</v>
      </c>
      <c r="G234" s="120">
        <v>2.0</v>
      </c>
      <c r="H234" s="120" t="s">
        <v>711</v>
      </c>
      <c r="I234" s="317">
        <v>46142.0</v>
      </c>
      <c r="J234" s="317">
        <v>46142.0</v>
      </c>
      <c r="K234" s="125">
        <v>200.0</v>
      </c>
      <c r="L234" s="456" t="s">
        <v>1191</v>
      </c>
      <c r="M234" s="125">
        <f t="shared" ref="M234:M236" si="32">K234*3</f>
        <v>600</v>
      </c>
      <c r="N234" s="120" t="s">
        <v>71</v>
      </c>
      <c r="O234" s="120" t="s">
        <v>91</v>
      </c>
      <c r="P234" s="120" t="s">
        <v>72</v>
      </c>
      <c r="Q234" s="106">
        <v>2856.0</v>
      </c>
      <c r="R234" s="120" t="s">
        <v>73</v>
      </c>
      <c r="S234" s="120" t="s">
        <v>2208</v>
      </c>
      <c r="T234" s="91"/>
      <c r="U234" s="120" t="s">
        <v>1867</v>
      </c>
      <c r="V234" s="92"/>
      <c r="W234" s="92"/>
      <c r="X234" s="92"/>
      <c r="Y234" s="92"/>
      <c r="Z234" s="92"/>
      <c r="AA234" s="92"/>
      <c r="AB234" s="92"/>
      <c r="AC234" s="314"/>
      <c r="AD234" s="314"/>
      <c r="AE234" s="314"/>
      <c r="AF234" s="314"/>
      <c r="AG234" s="314"/>
      <c r="AH234" s="314"/>
      <c r="AI234" s="314"/>
      <c r="AJ234" s="314"/>
      <c r="AK234" s="314"/>
      <c r="AL234" s="314"/>
      <c r="AM234" s="314"/>
      <c r="AN234" s="314"/>
      <c r="AO234" s="314"/>
      <c r="AP234" s="314"/>
      <c r="AQ234" s="314"/>
      <c r="AR234" s="314"/>
      <c r="AS234" s="314"/>
      <c r="AT234" s="314"/>
      <c r="AU234" s="314"/>
      <c r="AV234" s="314"/>
    </row>
    <row r="235">
      <c r="A235" s="12">
        <v>231.0</v>
      </c>
      <c r="B235" s="350" t="s">
        <v>2721</v>
      </c>
      <c r="C235" s="433" t="s">
        <v>2722</v>
      </c>
      <c r="D235" s="286" t="s">
        <v>2723</v>
      </c>
      <c r="E235" s="212" t="s">
        <v>2724</v>
      </c>
      <c r="F235" s="107" t="s">
        <v>2725</v>
      </c>
      <c r="G235" s="167">
        <v>2.0</v>
      </c>
      <c r="H235" s="167" t="s">
        <v>711</v>
      </c>
      <c r="I235" s="457">
        <v>46141.0</v>
      </c>
      <c r="J235" s="457">
        <v>46142.0</v>
      </c>
      <c r="K235" s="458">
        <v>200.0</v>
      </c>
      <c r="L235" s="459" t="s">
        <v>1191</v>
      </c>
      <c r="M235" s="458">
        <f t="shared" si="32"/>
        <v>600</v>
      </c>
      <c r="N235" s="167" t="s">
        <v>71</v>
      </c>
      <c r="O235" s="167" t="s">
        <v>91</v>
      </c>
      <c r="P235" s="167" t="s">
        <v>72</v>
      </c>
      <c r="Q235" s="107">
        <v>2859.0</v>
      </c>
      <c r="R235" s="167" t="s">
        <v>73</v>
      </c>
      <c r="S235" s="167" t="s">
        <v>2208</v>
      </c>
      <c r="T235" s="246"/>
      <c r="U235" s="167" t="s">
        <v>1867</v>
      </c>
      <c r="V235" s="93"/>
      <c r="W235" s="93"/>
      <c r="X235" s="93"/>
      <c r="Y235" s="93"/>
      <c r="Z235" s="93"/>
      <c r="AA235" s="93"/>
      <c r="AB235" s="93"/>
      <c r="AC235" s="393"/>
      <c r="AD235" s="393"/>
      <c r="AE235" s="393"/>
      <c r="AF235" s="393"/>
      <c r="AG235" s="393"/>
      <c r="AH235" s="393"/>
      <c r="AI235" s="393"/>
      <c r="AJ235" s="393"/>
      <c r="AK235" s="393"/>
      <c r="AL235" s="393"/>
      <c r="AM235" s="393"/>
      <c r="AN235" s="393"/>
      <c r="AO235" s="393"/>
      <c r="AP235" s="393"/>
      <c r="AQ235" s="393"/>
      <c r="AR235" s="393"/>
      <c r="AS235" s="393"/>
      <c r="AT235" s="393"/>
      <c r="AU235" s="393"/>
      <c r="AV235" s="393"/>
    </row>
    <row r="236">
      <c r="A236" s="12">
        <v>232.0</v>
      </c>
      <c r="B236" s="350" t="s">
        <v>1304</v>
      </c>
      <c r="C236" s="433" t="s">
        <v>1305</v>
      </c>
      <c r="D236" s="286" t="s">
        <v>2726</v>
      </c>
      <c r="E236" s="212" t="s">
        <v>2727</v>
      </c>
      <c r="F236" s="167" t="s">
        <v>2728</v>
      </c>
      <c r="G236" s="167">
        <v>2.0</v>
      </c>
      <c r="H236" s="167" t="s">
        <v>711</v>
      </c>
      <c r="I236" s="457">
        <v>46141.0</v>
      </c>
      <c r="J236" s="457">
        <v>46142.0</v>
      </c>
      <c r="K236" s="458">
        <v>200.0</v>
      </c>
      <c r="L236" s="459" t="s">
        <v>1191</v>
      </c>
      <c r="M236" s="458">
        <f t="shared" si="32"/>
        <v>600</v>
      </c>
      <c r="N236" s="167" t="s">
        <v>71</v>
      </c>
      <c r="O236" s="167" t="s">
        <v>91</v>
      </c>
      <c r="P236" s="167" t="s">
        <v>72</v>
      </c>
      <c r="Q236" s="107">
        <v>2857.0</v>
      </c>
      <c r="R236" s="167" t="s">
        <v>73</v>
      </c>
      <c r="S236" s="167" t="s">
        <v>2208</v>
      </c>
      <c r="T236" s="246"/>
      <c r="U236" s="167" t="s">
        <v>1867</v>
      </c>
      <c r="V236" s="93"/>
      <c r="W236" s="93"/>
      <c r="X236" s="93"/>
      <c r="Y236" s="93"/>
      <c r="Z236" s="93"/>
      <c r="AA236" s="93"/>
      <c r="AB236" s="93"/>
      <c r="AC236" s="393"/>
      <c r="AD236" s="393"/>
      <c r="AE236" s="393"/>
      <c r="AF236" s="393"/>
      <c r="AG236" s="393"/>
      <c r="AH236" s="393"/>
      <c r="AI236" s="393"/>
      <c r="AJ236" s="393"/>
      <c r="AK236" s="393"/>
      <c r="AL236" s="393"/>
      <c r="AM236" s="393"/>
      <c r="AN236" s="393"/>
      <c r="AO236" s="393"/>
      <c r="AP236" s="393"/>
      <c r="AQ236" s="393"/>
      <c r="AR236" s="393"/>
      <c r="AS236" s="393"/>
      <c r="AT236" s="393"/>
      <c r="AU236" s="393"/>
      <c r="AV236" s="393"/>
    </row>
    <row r="237">
      <c r="A237" s="12">
        <v>233.0</v>
      </c>
      <c r="B237" s="123" t="s">
        <v>2729</v>
      </c>
      <c r="C237" s="123">
        <v>5.9486605000187E13</v>
      </c>
      <c r="D237" s="286" t="s">
        <v>2730</v>
      </c>
      <c r="E237" s="212">
        <v>1.143809522E9</v>
      </c>
      <c r="F237" s="120" t="s">
        <v>2731</v>
      </c>
      <c r="G237" s="123">
        <v>10.0</v>
      </c>
      <c r="H237" s="86" t="s">
        <v>1083</v>
      </c>
      <c r="I237" s="177">
        <v>46142.0</v>
      </c>
      <c r="J237" s="177">
        <v>46142.0</v>
      </c>
      <c r="K237" s="179">
        <v>193.0</v>
      </c>
      <c r="L237" s="123">
        <v>12.0</v>
      </c>
      <c r="M237" s="180">
        <f>K237*12</f>
        <v>2316</v>
      </c>
      <c r="N237" s="286" t="s">
        <v>71</v>
      </c>
      <c r="O237" s="353" t="s">
        <v>29</v>
      </c>
      <c r="P237" s="353" t="s">
        <v>72</v>
      </c>
      <c r="Q237" s="106">
        <v>2864.0</v>
      </c>
      <c r="R237" s="353" t="s">
        <v>73</v>
      </c>
      <c r="S237" s="286" t="s">
        <v>148</v>
      </c>
      <c r="T237" s="295"/>
      <c r="U237" s="120" t="s">
        <v>1867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 ht="15.0" customHeight="1">
      <c r="A238" s="12">
        <v>234.0</v>
      </c>
      <c r="B238" s="286" t="s">
        <v>2732</v>
      </c>
      <c r="C238" s="448" t="s">
        <v>2733</v>
      </c>
      <c r="D238" s="286" t="s">
        <v>2734</v>
      </c>
      <c r="E238" s="212" t="s">
        <v>2735</v>
      </c>
      <c r="F238" s="286" t="s">
        <v>2736</v>
      </c>
      <c r="G238" s="295">
        <v>1.0</v>
      </c>
      <c r="H238" s="286" t="s">
        <v>2737</v>
      </c>
      <c r="I238" s="317">
        <v>46142.0</v>
      </c>
      <c r="J238" s="317">
        <v>46142.0</v>
      </c>
      <c r="K238" s="125" t="s">
        <v>344</v>
      </c>
      <c r="L238" s="453" t="s">
        <v>1218</v>
      </c>
      <c r="M238" s="125">
        <v>900.0</v>
      </c>
      <c r="N238" s="286" t="s">
        <v>71</v>
      </c>
      <c r="O238" s="286" t="s">
        <v>29</v>
      </c>
      <c r="P238" s="286" t="s">
        <v>72</v>
      </c>
      <c r="Q238" s="295">
        <v>2854.0</v>
      </c>
      <c r="R238" s="286" t="s">
        <v>41</v>
      </c>
      <c r="S238" s="286" t="s">
        <v>31</v>
      </c>
      <c r="T238" s="450"/>
      <c r="U238" s="120" t="s">
        <v>1867</v>
      </c>
      <c r="V238" s="314"/>
      <c r="W238" s="314"/>
      <c r="X238" s="314"/>
      <c r="Y238" s="314"/>
      <c r="Z238" s="314"/>
      <c r="AA238" s="314"/>
      <c r="AB238" s="314"/>
      <c r="AC238" s="314"/>
      <c r="AD238" s="314"/>
      <c r="AE238" s="314"/>
      <c r="AF238" s="314"/>
      <c r="AG238" s="314"/>
      <c r="AH238" s="314"/>
      <c r="AI238" s="314"/>
      <c r="AJ238" s="314"/>
      <c r="AK238" s="314"/>
      <c r="AL238" s="314"/>
      <c r="AM238" s="314"/>
      <c r="AN238" s="314"/>
      <c r="AO238" s="314"/>
      <c r="AP238" s="314"/>
      <c r="AQ238" s="314"/>
      <c r="AR238" s="314"/>
      <c r="AS238" s="314"/>
      <c r="AT238" s="314"/>
      <c r="AU238" s="314"/>
      <c r="AV238" s="314"/>
    </row>
    <row r="239">
      <c r="A239" s="12">
        <v>235.0</v>
      </c>
      <c r="B239" s="123" t="s">
        <v>2738</v>
      </c>
      <c r="C239" s="123" t="s">
        <v>2739</v>
      </c>
      <c r="D239" s="123" t="s">
        <v>2740</v>
      </c>
      <c r="E239" s="212" t="s">
        <v>2741</v>
      </c>
      <c r="F239" s="120" t="s">
        <v>2742</v>
      </c>
      <c r="G239" s="123">
        <v>50.0</v>
      </c>
      <c r="H239" s="123" t="s">
        <v>813</v>
      </c>
      <c r="I239" s="317">
        <v>46142.0</v>
      </c>
      <c r="J239" s="177">
        <v>46142.0</v>
      </c>
      <c r="K239" s="125">
        <v>1600.0</v>
      </c>
      <c r="L239" s="453" t="s">
        <v>1218</v>
      </c>
      <c r="M239" s="125">
        <f>K239*1</f>
        <v>1600</v>
      </c>
      <c r="N239" s="286" t="s">
        <v>71</v>
      </c>
      <c r="O239" s="286" t="s">
        <v>29</v>
      </c>
      <c r="P239" s="286" t="s">
        <v>72</v>
      </c>
      <c r="Q239" s="286" t="s">
        <v>399</v>
      </c>
      <c r="R239" s="286" t="s">
        <v>233</v>
      </c>
      <c r="S239" s="286" t="s">
        <v>31</v>
      </c>
      <c r="T239" s="123" t="s">
        <v>2743</v>
      </c>
      <c r="U239" s="120" t="s">
        <v>1867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</row>
    <row r="240">
      <c r="A240" s="12">
        <v>236.0</v>
      </c>
      <c r="B240" s="86" t="s">
        <v>2744</v>
      </c>
      <c r="C240" s="86" t="s">
        <v>2745</v>
      </c>
      <c r="D240" s="86" t="s">
        <v>2746</v>
      </c>
      <c r="E240" s="86">
        <v>1.1976668301E10</v>
      </c>
      <c r="F240" s="86" t="s">
        <v>2747</v>
      </c>
      <c r="G240" s="86">
        <v>9.0</v>
      </c>
      <c r="H240" s="86" t="s">
        <v>254</v>
      </c>
      <c r="I240" s="108">
        <v>59289.0</v>
      </c>
      <c r="J240" s="108">
        <v>46142.0</v>
      </c>
      <c r="K240" s="89">
        <v>80.0</v>
      </c>
      <c r="L240" s="86">
        <v>12.0</v>
      </c>
      <c r="M240" s="89">
        <f>K240*10</f>
        <v>800</v>
      </c>
      <c r="N240" s="86" t="s">
        <v>71</v>
      </c>
      <c r="O240" s="86" t="s">
        <v>29</v>
      </c>
      <c r="P240" s="86" t="s">
        <v>72</v>
      </c>
      <c r="Q240" s="123">
        <v>2896.0</v>
      </c>
      <c r="R240" s="86" t="s">
        <v>233</v>
      </c>
      <c r="S240" s="86" t="s">
        <v>110</v>
      </c>
      <c r="T240" s="91"/>
      <c r="U240" s="120" t="s">
        <v>1867</v>
      </c>
    </row>
    <row r="241">
      <c r="A241" s="12">
        <v>237.0</v>
      </c>
      <c r="B241" s="123" t="s">
        <v>2748</v>
      </c>
      <c r="C241" s="123" t="s">
        <v>2749</v>
      </c>
      <c r="D241" s="212" t="s">
        <v>2750</v>
      </c>
      <c r="E241" s="404">
        <v>5.511947887281E12</v>
      </c>
      <c r="F241" s="212" t="s">
        <v>2751</v>
      </c>
      <c r="G241" s="123">
        <v>2.0</v>
      </c>
      <c r="H241" s="110" t="s">
        <v>123</v>
      </c>
      <c r="I241" s="317">
        <v>46142.0</v>
      </c>
      <c r="J241" s="177">
        <v>46142.0</v>
      </c>
      <c r="K241" s="179">
        <v>153.8</v>
      </c>
      <c r="L241" s="123">
        <v>12.0</v>
      </c>
      <c r="M241" s="125">
        <f>K241*L241</f>
        <v>1845.6</v>
      </c>
      <c r="N241" s="286" t="s">
        <v>71</v>
      </c>
      <c r="O241" s="353" t="s">
        <v>29</v>
      </c>
      <c r="P241" s="353" t="s">
        <v>72</v>
      </c>
      <c r="Q241" s="295">
        <v>2866.0</v>
      </c>
      <c r="R241" s="353" t="s">
        <v>73</v>
      </c>
      <c r="S241" s="286" t="s">
        <v>129</v>
      </c>
      <c r="T241" s="178"/>
      <c r="U241" s="120" t="s">
        <v>1867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>
      <c r="A242" s="12">
        <v>238.0</v>
      </c>
      <c r="B242" s="123" t="s">
        <v>2752</v>
      </c>
      <c r="C242" s="193">
        <v>6.41509890001E13</v>
      </c>
      <c r="D242" s="123" t="s">
        <v>2753</v>
      </c>
      <c r="E242" s="193">
        <v>1.1968479264E10</v>
      </c>
      <c r="F242" s="193" t="s">
        <v>2708</v>
      </c>
      <c r="G242" s="123">
        <v>22.0</v>
      </c>
      <c r="H242" s="120" t="s">
        <v>2754</v>
      </c>
      <c r="I242" s="177">
        <v>46142.0</v>
      </c>
      <c r="J242" s="177"/>
      <c r="K242" s="125">
        <f t="shared" ref="K242:K243" si="33">M242/L242</f>
        <v>266.6666667</v>
      </c>
      <c r="L242" s="453" t="s">
        <v>1191</v>
      </c>
      <c r="M242" s="125">
        <v>800.0</v>
      </c>
      <c r="N242" s="286" t="s">
        <v>58</v>
      </c>
      <c r="O242" s="353" t="s">
        <v>91</v>
      </c>
      <c r="P242" s="353" t="s">
        <v>40</v>
      </c>
      <c r="Q242" s="178"/>
      <c r="R242" s="353" t="s">
        <v>73</v>
      </c>
      <c r="S242" s="286" t="s">
        <v>129</v>
      </c>
      <c r="T242" s="178"/>
      <c r="U242" s="192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</row>
    <row r="243">
      <c r="A243" s="12">
        <v>239.0</v>
      </c>
      <c r="B243" s="106" t="s">
        <v>2755</v>
      </c>
      <c r="C243" s="106" t="s">
        <v>2756</v>
      </c>
      <c r="D243" s="106" t="s">
        <v>2750</v>
      </c>
      <c r="E243" s="107">
        <v>5.511947887281E12</v>
      </c>
      <c r="F243" s="106" t="s">
        <v>2751</v>
      </c>
      <c r="G243" s="106">
        <v>2.0</v>
      </c>
      <c r="H243" s="107" t="s">
        <v>123</v>
      </c>
      <c r="I243" s="108">
        <v>46142.0</v>
      </c>
      <c r="J243" s="108">
        <v>46142.0</v>
      </c>
      <c r="K243" s="89">
        <f t="shared" si="33"/>
        <v>153.8</v>
      </c>
      <c r="L243" s="86">
        <v>12.0</v>
      </c>
      <c r="M243" s="125">
        <v>1845.6</v>
      </c>
      <c r="N243" s="106" t="s">
        <v>71</v>
      </c>
      <c r="O243" s="106" t="s">
        <v>29</v>
      </c>
      <c r="P243" s="106" t="s">
        <v>72</v>
      </c>
      <c r="Q243" s="107">
        <v>2898.0</v>
      </c>
      <c r="R243" s="106" t="s">
        <v>73</v>
      </c>
      <c r="S243" s="106" t="s">
        <v>110</v>
      </c>
      <c r="T243" s="91"/>
      <c r="U243" s="120" t="s">
        <v>1867</v>
      </c>
      <c r="V243" s="92"/>
      <c r="W243" s="92"/>
      <c r="X243" s="92"/>
      <c r="Y243" s="92"/>
      <c r="Z243" s="92"/>
      <c r="AA243" s="92"/>
      <c r="AB243" s="92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</row>
    <row r="244">
      <c r="A244" s="12">
        <v>240.0</v>
      </c>
      <c r="B244" s="123" t="s">
        <v>2757</v>
      </c>
      <c r="C244" s="123" t="s">
        <v>2758</v>
      </c>
      <c r="D244" s="123" t="s">
        <v>2759</v>
      </c>
      <c r="E244" s="123" t="s">
        <v>2760</v>
      </c>
      <c r="F244" s="212" t="s">
        <v>2761</v>
      </c>
      <c r="G244" s="123">
        <v>2.0</v>
      </c>
      <c r="H244" s="123" t="s">
        <v>154</v>
      </c>
      <c r="I244" s="317">
        <v>46142.0</v>
      </c>
      <c r="J244" s="317">
        <v>46142.0</v>
      </c>
      <c r="K244" s="125">
        <v>1000.0</v>
      </c>
      <c r="L244" s="453" t="s">
        <v>1791</v>
      </c>
      <c r="M244" s="89">
        <f>K244*5</f>
        <v>5000</v>
      </c>
      <c r="N244" s="106" t="s">
        <v>71</v>
      </c>
      <c r="O244" s="120" t="s">
        <v>91</v>
      </c>
      <c r="P244" s="106" t="s">
        <v>72</v>
      </c>
      <c r="Q244" s="286">
        <v>2849.0</v>
      </c>
      <c r="R244" s="286" t="s">
        <v>73</v>
      </c>
      <c r="S244" s="286" t="s">
        <v>31</v>
      </c>
      <c r="T244" s="123" t="s">
        <v>2762</v>
      </c>
      <c r="U244" s="120" t="s">
        <v>1867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</row>
    <row r="245">
      <c r="A245" s="12">
        <v>241.0</v>
      </c>
      <c r="B245" s="123" t="s">
        <v>853</v>
      </c>
      <c r="C245" s="123" t="s">
        <v>2763</v>
      </c>
      <c r="D245" s="123" t="s">
        <v>2764</v>
      </c>
      <c r="E245" s="178"/>
      <c r="F245" s="123" t="s">
        <v>2765</v>
      </c>
      <c r="G245" s="123" t="s">
        <v>26</v>
      </c>
      <c r="H245" s="123" t="s">
        <v>2766</v>
      </c>
      <c r="I245" s="317">
        <v>45677.0</v>
      </c>
      <c r="J245" s="178"/>
      <c r="K245" s="179">
        <v>65002.51</v>
      </c>
      <c r="L245" s="123">
        <v>4.0</v>
      </c>
      <c r="M245" s="125">
        <v>260010.06</v>
      </c>
      <c r="N245" s="286" t="s">
        <v>71</v>
      </c>
      <c r="O245" s="86" t="s">
        <v>29</v>
      </c>
      <c r="P245" s="353" t="s">
        <v>72</v>
      </c>
      <c r="Q245" s="178"/>
      <c r="R245" s="353" t="s">
        <v>73</v>
      </c>
      <c r="S245" s="286" t="s">
        <v>99</v>
      </c>
      <c r="T245" s="178"/>
      <c r="U245" s="178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</row>
    <row r="246">
      <c r="A246" s="12">
        <v>242.0</v>
      </c>
      <c r="B246" s="123" t="s">
        <v>2767</v>
      </c>
      <c r="C246" s="123" t="s">
        <v>2768</v>
      </c>
      <c r="D246" s="123" t="s">
        <v>2769</v>
      </c>
      <c r="E246" s="123" t="s">
        <v>2770</v>
      </c>
      <c r="F246" s="123" t="s">
        <v>2771</v>
      </c>
      <c r="G246" s="123">
        <v>500.0</v>
      </c>
      <c r="H246" s="123" t="s">
        <v>2772</v>
      </c>
      <c r="I246" s="317">
        <v>46104.0</v>
      </c>
      <c r="J246" s="177">
        <v>46125.0</v>
      </c>
      <c r="K246" s="125">
        <v>975.0</v>
      </c>
      <c r="L246" s="123">
        <v>4.0</v>
      </c>
      <c r="M246" s="125">
        <v>3900.0</v>
      </c>
      <c r="N246" s="286" t="s">
        <v>71</v>
      </c>
      <c r="O246" s="120" t="s">
        <v>91</v>
      </c>
      <c r="P246" s="353" t="s">
        <v>72</v>
      </c>
      <c r="Q246" s="123">
        <v>2456.0</v>
      </c>
      <c r="R246" s="353" t="s">
        <v>73</v>
      </c>
      <c r="S246" s="286" t="s">
        <v>99</v>
      </c>
      <c r="T246" s="178"/>
      <c r="U246" s="178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</row>
    <row r="247">
      <c r="A247" s="12">
        <v>243.0</v>
      </c>
      <c r="B247" s="123" t="s">
        <v>2773</v>
      </c>
      <c r="C247" s="123" t="s">
        <v>2774</v>
      </c>
      <c r="D247" s="123" t="s">
        <v>2775</v>
      </c>
      <c r="E247" s="123" t="s">
        <v>2776</v>
      </c>
      <c r="F247" s="326" t="s">
        <v>2777</v>
      </c>
      <c r="G247" s="123" t="s">
        <v>26</v>
      </c>
      <c r="H247" s="123" t="s">
        <v>27</v>
      </c>
      <c r="I247" s="317">
        <v>46108.0</v>
      </c>
      <c r="J247" s="123"/>
      <c r="K247" s="125" t="s">
        <v>2778</v>
      </c>
      <c r="L247" s="123">
        <v>12.0</v>
      </c>
      <c r="M247" s="125">
        <v>203139.96</v>
      </c>
      <c r="N247" s="286" t="s">
        <v>58</v>
      </c>
      <c r="O247" s="86" t="s">
        <v>29</v>
      </c>
      <c r="P247" s="353" t="s">
        <v>72</v>
      </c>
      <c r="Q247" s="460" t="s">
        <v>2779</v>
      </c>
      <c r="R247" s="353" t="s">
        <v>73</v>
      </c>
      <c r="S247" s="286" t="s">
        <v>99</v>
      </c>
      <c r="T247" s="123"/>
      <c r="U247" s="315" t="s">
        <v>2780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</row>
    <row r="248">
      <c r="A248" s="12">
        <v>244.0</v>
      </c>
      <c r="B248" s="123" t="s">
        <v>1859</v>
      </c>
      <c r="C248" s="123" t="s">
        <v>985</v>
      </c>
      <c r="D248" s="123" t="s">
        <v>986</v>
      </c>
      <c r="E248" s="123" t="s">
        <v>987</v>
      </c>
      <c r="F248" s="326" t="s">
        <v>2781</v>
      </c>
      <c r="G248" s="123" t="s">
        <v>26</v>
      </c>
      <c r="H248" s="123" t="s">
        <v>2782</v>
      </c>
      <c r="I248" s="317">
        <v>46101.0</v>
      </c>
      <c r="J248" s="177">
        <v>46119.0</v>
      </c>
      <c r="K248" s="89" t="s">
        <v>57</v>
      </c>
      <c r="L248" s="123" t="s">
        <v>399</v>
      </c>
      <c r="M248" s="125">
        <v>900.0</v>
      </c>
      <c r="N248" s="286" t="s">
        <v>71</v>
      </c>
      <c r="O248" s="120" t="s">
        <v>91</v>
      </c>
      <c r="P248" s="353" t="s">
        <v>72</v>
      </c>
      <c r="Q248" s="123">
        <v>2713.0</v>
      </c>
      <c r="R248" s="353" t="s">
        <v>73</v>
      </c>
      <c r="S248" s="286" t="s">
        <v>99</v>
      </c>
      <c r="T248" s="123"/>
      <c r="U248" s="12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</row>
    <row r="249">
      <c r="A249" s="12">
        <v>245.0</v>
      </c>
      <c r="B249" s="123" t="s">
        <v>1859</v>
      </c>
      <c r="C249" s="123" t="s">
        <v>985</v>
      </c>
      <c r="D249" s="123" t="s">
        <v>986</v>
      </c>
      <c r="E249" s="123" t="s">
        <v>987</v>
      </c>
      <c r="F249" s="326" t="s">
        <v>2783</v>
      </c>
      <c r="G249" s="123" t="s">
        <v>26</v>
      </c>
      <c r="H249" s="123" t="s">
        <v>2784</v>
      </c>
      <c r="I249" s="317">
        <v>46126.0</v>
      </c>
      <c r="J249" s="177">
        <v>46132.0</v>
      </c>
      <c r="K249" s="125">
        <v>1393.33</v>
      </c>
      <c r="L249" s="123">
        <v>12.0</v>
      </c>
      <c r="M249" s="125">
        <v>16720.0</v>
      </c>
      <c r="N249" s="286" t="s">
        <v>71</v>
      </c>
      <c r="O249" s="120" t="s">
        <v>91</v>
      </c>
      <c r="P249" s="353" t="s">
        <v>72</v>
      </c>
      <c r="Q249" s="123" t="s">
        <v>2785</v>
      </c>
      <c r="R249" s="353" t="s">
        <v>73</v>
      </c>
      <c r="S249" s="286" t="s">
        <v>99</v>
      </c>
      <c r="T249" s="123"/>
      <c r="U249" s="12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</row>
    <row r="250">
      <c r="A250" s="12">
        <v>246.0</v>
      </c>
      <c r="B250" s="123" t="s">
        <v>2786</v>
      </c>
      <c r="C250" s="123" t="s">
        <v>2787</v>
      </c>
      <c r="D250" s="123" t="s">
        <v>2788</v>
      </c>
      <c r="E250" s="123" t="s">
        <v>2789</v>
      </c>
      <c r="F250" s="123" t="s">
        <v>2790</v>
      </c>
      <c r="G250" s="123">
        <v>40.0</v>
      </c>
      <c r="H250" s="123" t="s">
        <v>39</v>
      </c>
      <c r="I250" s="317">
        <v>46127.0</v>
      </c>
      <c r="J250" s="177">
        <v>46127.0</v>
      </c>
      <c r="K250" s="125" t="s">
        <v>2791</v>
      </c>
      <c r="L250" s="123">
        <v>12.0</v>
      </c>
      <c r="M250" s="125">
        <v>5409.6</v>
      </c>
      <c r="N250" s="286" t="s">
        <v>71</v>
      </c>
      <c r="O250" s="86" t="s">
        <v>29</v>
      </c>
      <c r="P250" s="353" t="s">
        <v>72</v>
      </c>
      <c r="Q250" s="123">
        <v>2774.0</v>
      </c>
      <c r="R250" s="353" t="s">
        <v>73</v>
      </c>
      <c r="S250" s="286" t="s">
        <v>99</v>
      </c>
      <c r="T250" s="123"/>
      <c r="U250" s="123" t="s">
        <v>2792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</row>
    <row r="251">
      <c r="A251" s="12">
        <v>247.0</v>
      </c>
      <c r="B251" s="123" t="s">
        <v>2793</v>
      </c>
      <c r="C251" s="123" t="s">
        <v>2794</v>
      </c>
      <c r="D251" s="123" t="s">
        <v>2795</v>
      </c>
      <c r="E251" s="123" t="s">
        <v>2796</v>
      </c>
      <c r="F251" s="123" t="s">
        <v>2797</v>
      </c>
      <c r="G251" s="123">
        <v>175.0</v>
      </c>
      <c r="H251" s="123" t="s">
        <v>39</v>
      </c>
      <c r="I251" s="317">
        <v>46127.0</v>
      </c>
      <c r="J251" s="177">
        <v>46127.0</v>
      </c>
      <c r="K251" s="125">
        <v>2625.0</v>
      </c>
      <c r="L251" s="123">
        <v>12.0</v>
      </c>
      <c r="M251" s="125">
        <v>31500.0</v>
      </c>
      <c r="N251" s="286" t="s">
        <v>71</v>
      </c>
      <c r="O251" s="120" t="s">
        <v>91</v>
      </c>
      <c r="P251" s="353" t="s">
        <v>72</v>
      </c>
      <c r="Q251" s="123">
        <v>2758.0</v>
      </c>
      <c r="R251" s="353" t="s">
        <v>73</v>
      </c>
      <c r="S251" s="286" t="s">
        <v>99</v>
      </c>
      <c r="T251" s="123"/>
      <c r="U251" s="123" t="s">
        <v>2798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</row>
    <row r="252">
      <c r="A252" s="12">
        <v>248.0</v>
      </c>
      <c r="B252" s="461" t="s">
        <v>2799</v>
      </c>
      <c r="C252" s="461" t="s">
        <v>2800</v>
      </c>
      <c r="D252" s="461" t="s">
        <v>2801</v>
      </c>
      <c r="E252" s="461" t="s">
        <v>2802</v>
      </c>
      <c r="F252" s="461" t="s">
        <v>2761</v>
      </c>
      <c r="G252" s="461">
        <v>3030.0</v>
      </c>
      <c r="H252" s="461" t="s">
        <v>2772</v>
      </c>
      <c r="I252" s="462">
        <v>46141.0</v>
      </c>
      <c r="J252" s="463">
        <v>46142.0</v>
      </c>
      <c r="K252" s="464" t="s">
        <v>2803</v>
      </c>
      <c r="L252" s="461">
        <v>12.0</v>
      </c>
      <c r="M252" s="464">
        <v>69084.0</v>
      </c>
      <c r="N252" s="465" t="s">
        <v>71</v>
      </c>
      <c r="O252" s="466" t="s">
        <v>91</v>
      </c>
      <c r="P252" s="391" t="s">
        <v>72</v>
      </c>
      <c r="Q252" s="461">
        <v>2867.0</v>
      </c>
      <c r="R252" s="391" t="s">
        <v>73</v>
      </c>
      <c r="S252" s="465" t="s">
        <v>99</v>
      </c>
      <c r="T252" s="461"/>
      <c r="U252" s="461" t="s">
        <v>2804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</row>
    <row r="253">
      <c r="A253" s="12">
        <v>249.0</v>
      </c>
      <c r="B253" s="123" t="s">
        <v>2296</v>
      </c>
      <c r="C253" s="123" t="s">
        <v>2297</v>
      </c>
      <c r="D253" s="123" t="s">
        <v>36</v>
      </c>
      <c r="E253" s="123" t="s">
        <v>2805</v>
      </c>
      <c r="F253" s="337" t="s">
        <v>2806</v>
      </c>
      <c r="G253" s="123">
        <v>10.0</v>
      </c>
      <c r="H253" s="123" t="s">
        <v>2807</v>
      </c>
      <c r="I253" s="177">
        <v>46129.0</v>
      </c>
      <c r="J253" s="177">
        <v>46136.0</v>
      </c>
      <c r="K253" s="179">
        <v>319.0</v>
      </c>
      <c r="L253" s="123">
        <v>12.0</v>
      </c>
      <c r="M253" s="180">
        <f>K253*12</f>
        <v>3828</v>
      </c>
      <c r="N253" s="286" t="s">
        <v>71</v>
      </c>
      <c r="O253" s="120" t="s">
        <v>29</v>
      </c>
      <c r="P253" s="353" t="s">
        <v>72</v>
      </c>
      <c r="Q253" s="123">
        <v>2818.0</v>
      </c>
      <c r="R253" s="353" t="s">
        <v>73</v>
      </c>
      <c r="S253" s="286" t="s">
        <v>148</v>
      </c>
      <c r="T253" s="178"/>
      <c r="U253" s="123" t="s">
        <v>1867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221"/>
      <c r="L254" s="222"/>
      <c r="M254" s="221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221"/>
      <c r="L255" s="222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221"/>
      <c r="L256" s="222"/>
      <c r="M256" s="221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221"/>
      <c r="L257" s="222"/>
      <c r="M257" s="221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221"/>
      <c r="L258" s="222"/>
      <c r="M258" s="221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221"/>
      <c r="L259" s="222"/>
      <c r="M259" s="221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221"/>
      <c r="L260" s="222"/>
      <c r="M260" s="221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221"/>
      <c r="L261" s="222"/>
      <c r="M261" s="221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221"/>
      <c r="L262" s="222"/>
      <c r="M262" s="221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221"/>
      <c r="L263" s="222"/>
      <c r="M263" s="221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221"/>
      <c r="L264" s="222"/>
      <c r="M264" s="221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221"/>
      <c r="L265" s="222"/>
      <c r="M265" s="221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221"/>
      <c r="L266" s="222"/>
      <c r="M266" s="221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221"/>
      <c r="L267" s="222"/>
      <c r="M267" s="221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221"/>
      <c r="L268" s="222"/>
      <c r="M268" s="221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221"/>
      <c r="L269" s="222"/>
      <c r="M269" s="221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221"/>
      <c r="L270" s="222"/>
      <c r="M270" s="221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221"/>
      <c r="L271" s="222"/>
      <c r="M271" s="221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221"/>
      <c r="L272" s="222"/>
      <c r="M272" s="221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221"/>
      <c r="L273" s="222"/>
      <c r="M273" s="221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221"/>
      <c r="L274" s="222"/>
      <c r="M274" s="221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221"/>
      <c r="L275" s="222"/>
      <c r="M275" s="221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221"/>
      <c r="L276" s="222"/>
      <c r="M276" s="221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221"/>
      <c r="L277" s="222"/>
      <c r="M277" s="221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221"/>
      <c r="L278" s="222"/>
      <c r="M278" s="221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221"/>
      <c r="L279" s="222"/>
      <c r="M279" s="221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221"/>
      <c r="L280" s="222"/>
      <c r="M280" s="221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221"/>
      <c r="L281" s="222"/>
      <c r="M281" s="221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221"/>
      <c r="L282" s="222"/>
      <c r="M282" s="221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221"/>
      <c r="L283" s="222"/>
      <c r="M283" s="221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221"/>
      <c r="L284" s="222"/>
      <c r="M284" s="221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221"/>
      <c r="L285" s="222"/>
      <c r="M285" s="221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221"/>
      <c r="L286" s="222"/>
      <c r="M286" s="221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221"/>
      <c r="L287" s="222"/>
      <c r="M287" s="221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221"/>
      <c r="L288" s="222"/>
      <c r="M288" s="221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221"/>
      <c r="L289" s="222"/>
      <c r="M289" s="221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221"/>
      <c r="L290" s="222"/>
      <c r="M290" s="221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221"/>
      <c r="L291" s="222"/>
      <c r="M291" s="221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221"/>
      <c r="L292" s="222"/>
      <c r="M292" s="221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221"/>
      <c r="L293" s="222"/>
      <c r="M293" s="221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221"/>
      <c r="L294" s="222"/>
      <c r="M294" s="221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221"/>
      <c r="L295" s="222"/>
      <c r="M295" s="221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221"/>
      <c r="L296" s="222"/>
      <c r="M296" s="221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221"/>
      <c r="L297" s="222"/>
      <c r="M297" s="221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221"/>
      <c r="L298" s="222"/>
      <c r="M298" s="221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221"/>
      <c r="L299" s="222"/>
      <c r="M299" s="221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221"/>
      <c r="L300" s="222"/>
      <c r="M300" s="221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221"/>
      <c r="L301" s="222"/>
      <c r="M301" s="221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221"/>
      <c r="L302" s="222"/>
      <c r="M302" s="221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221"/>
      <c r="L303" s="222"/>
      <c r="M303" s="221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221"/>
      <c r="L304" s="222"/>
      <c r="M304" s="221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221"/>
      <c r="L305" s="222"/>
      <c r="M305" s="221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221"/>
      <c r="L306" s="222"/>
      <c r="M306" s="221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221"/>
      <c r="L307" s="222"/>
      <c r="M307" s="221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221"/>
      <c r="L308" s="222"/>
      <c r="M308" s="221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221"/>
      <c r="L309" s="222"/>
      <c r="M309" s="221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221"/>
      <c r="L310" s="222"/>
      <c r="M310" s="221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221"/>
      <c r="L311" s="222"/>
      <c r="M311" s="221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221"/>
      <c r="L312" s="222"/>
      <c r="M312" s="221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221"/>
      <c r="L313" s="222"/>
      <c r="M313" s="221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221"/>
      <c r="L314" s="222"/>
      <c r="M314" s="221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221"/>
      <c r="L315" s="222"/>
      <c r="M315" s="221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221"/>
      <c r="L316" s="222"/>
      <c r="M316" s="221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221"/>
      <c r="L317" s="222"/>
      <c r="M317" s="221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221"/>
      <c r="L318" s="222"/>
      <c r="M318" s="221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221"/>
      <c r="L319" s="222"/>
      <c r="M319" s="221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221"/>
      <c r="L320" s="222"/>
      <c r="M320" s="221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221"/>
      <c r="L321" s="222"/>
      <c r="M321" s="221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221"/>
      <c r="L322" s="222"/>
      <c r="M322" s="221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221"/>
      <c r="L323" s="222"/>
      <c r="M323" s="221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221"/>
      <c r="L324" s="222"/>
      <c r="M324" s="221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221"/>
      <c r="L325" s="222"/>
      <c r="M325" s="221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221"/>
      <c r="L326" s="222"/>
      <c r="M326" s="221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221"/>
      <c r="L327" s="222"/>
      <c r="M327" s="221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221"/>
      <c r="L328" s="222"/>
      <c r="M328" s="221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221"/>
      <c r="L329" s="222"/>
      <c r="M329" s="221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221"/>
      <c r="L330" s="222"/>
      <c r="M330" s="221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221"/>
      <c r="L331" s="222"/>
      <c r="M331" s="221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221"/>
      <c r="L332" s="222"/>
      <c r="M332" s="221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221"/>
      <c r="L333" s="222"/>
      <c r="M333" s="221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221"/>
      <c r="L334" s="222"/>
      <c r="M334" s="221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221"/>
      <c r="L335" s="222"/>
      <c r="M335" s="221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221"/>
      <c r="L336" s="222"/>
      <c r="M336" s="221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221"/>
      <c r="L337" s="222"/>
      <c r="M337" s="221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221"/>
      <c r="L338" s="222"/>
      <c r="M338" s="221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221"/>
      <c r="L339" s="222"/>
      <c r="M339" s="221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221"/>
      <c r="L340" s="222"/>
      <c r="M340" s="221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221"/>
      <c r="L341" s="222"/>
      <c r="M341" s="221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221"/>
      <c r="L342" s="222"/>
      <c r="M342" s="221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221"/>
      <c r="L343" s="222"/>
      <c r="M343" s="221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221"/>
      <c r="L344" s="222"/>
      <c r="M344" s="221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221"/>
      <c r="L345" s="222"/>
      <c r="M345" s="221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221"/>
      <c r="L346" s="222"/>
      <c r="M346" s="221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221"/>
      <c r="L347" s="222"/>
      <c r="M347" s="221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221"/>
      <c r="L348" s="222"/>
      <c r="M348" s="221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221"/>
      <c r="L349" s="222"/>
      <c r="M349" s="221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221"/>
      <c r="L350" s="222"/>
      <c r="M350" s="221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221"/>
      <c r="L351" s="222"/>
      <c r="M351" s="221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221"/>
      <c r="L352" s="222"/>
      <c r="M352" s="221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221"/>
      <c r="L353" s="222"/>
      <c r="M353" s="221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221"/>
      <c r="L354" s="222"/>
      <c r="M354" s="221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221"/>
      <c r="L355" s="222"/>
      <c r="M355" s="221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221"/>
      <c r="L356" s="222"/>
      <c r="M356" s="221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221"/>
      <c r="L357" s="222"/>
      <c r="M357" s="221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221"/>
      <c r="L358" s="222"/>
      <c r="M358" s="221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221"/>
      <c r="L359" s="222"/>
      <c r="M359" s="221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221"/>
      <c r="L360" s="222"/>
      <c r="M360" s="221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221"/>
      <c r="L361" s="222"/>
      <c r="M361" s="221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221"/>
      <c r="L362" s="222"/>
      <c r="M362" s="221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221"/>
      <c r="L363" s="222"/>
      <c r="M363" s="221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221"/>
      <c r="L364" s="222"/>
      <c r="M364" s="221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221"/>
      <c r="L365" s="222"/>
      <c r="M365" s="221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221"/>
      <c r="L366" s="222"/>
      <c r="M366" s="221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221"/>
      <c r="L367" s="222"/>
      <c r="M367" s="221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221"/>
      <c r="L368" s="222"/>
      <c r="M368" s="221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221"/>
      <c r="L369" s="222"/>
      <c r="M369" s="221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221"/>
      <c r="L370" s="222"/>
      <c r="M370" s="221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221"/>
      <c r="L371" s="222"/>
      <c r="M371" s="221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221"/>
      <c r="L372" s="222"/>
      <c r="M372" s="221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221"/>
      <c r="L373" s="222"/>
      <c r="M373" s="221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221"/>
      <c r="L374" s="222"/>
      <c r="M374" s="221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221"/>
      <c r="L375" s="222"/>
      <c r="M375" s="221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221"/>
      <c r="L376" s="222"/>
      <c r="M376" s="221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221"/>
      <c r="L377" s="222"/>
      <c r="M377" s="221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221"/>
      <c r="L378" s="222"/>
      <c r="M378" s="221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221"/>
      <c r="L379" s="222"/>
      <c r="M379" s="221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221"/>
      <c r="L380" s="222"/>
      <c r="M380" s="221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221"/>
      <c r="L381" s="222"/>
      <c r="M381" s="221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221"/>
      <c r="L382" s="222"/>
      <c r="M382" s="221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221"/>
      <c r="L383" s="222"/>
      <c r="M383" s="221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221"/>
      <c r="L384" s="222"/>
      <c r="M384" s="221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221"/>
      <c r="L385" s="222"/>
      <c r="M385" s="221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221"/>
      <c r="L386" s="222"/>
      <c r="M386" s="221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221"/>
      <c r="L387" s="222"/>
      <c r="M387" s="221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221"/>
      <c r="L388" s="222"/>
      <c r="M388" s="221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221"/>
      <c r="L389" s="222"/>
      <c r="M389" s="221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221"/>
      <c r="L390" s="222"/>
      <c r="M390" s="221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221"/>
      <c r="L391" s="222"/>
      <c r="M391" s="221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221"/>
      <c r="L392" s="222"/>
      <c r="M392" s="221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221"/>
      <c r="L393" s="222"/>
      <c r="M393" s="221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221"/>
      <c r="L394" s="222"/>
      <c r="M394" s="221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221"/>
      <c r="L395" s="222"/>
      <c r="M395" s="221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221"/>
      <c r="L396" s="222"/>
      <c r="M396" s="221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221"/>
      <c r="L397" s="222"/>
      <c r="M397" s="221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221"/>
      <c r="L398" s="222"/>
      <c r="M398" s="221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221"/>
      <c r="L399" s="222"/>
      <c r="M399" s="221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221"/>
      <c r="L400" s="222"/>
      <c r="M400" s="221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221"/>
      <c r="L401" s="222"/>
      <c r="M401" s="221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221"/>
      <c r="L402" s="222"/>
      <c r="M402" s="221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221"/>
      <c r="L403" s="222"/>
      <c r="M403" s="221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221"/>
      <c r="L404" s="222"/>
      <c r="M404" s="221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221"/>
      <c r="L405" s="222"/>
      <c r="M405" s="221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221"/>
      <c r="L406" s="222"/>
      <c r="M406" s="221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221"/>
      <c r="L407" s="222"/>
      <c r="M407" s="221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221"/>
      <c r="L408" s="222"/>
      <c r="M408" s="221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221"/>
      <c r="L409" s="222"/>
      <c r="M409" s="221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221"/>
      <c r="L410" s="222"/>
      <c r="M410" s="221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221"/>
      <c r="L411" s="222"/>
      <c r="M411" s="221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221"/>
      <c r="L412" s="222"/>
      <c r="M412" s="221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221"/>
      <c r="L413" s="222"/>
      <c r="M413" s="221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221"/>
      <c r="L414" s="222"/>
      <c r="M414" s="221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221"/>
      <c r="L415" s="222"/>
      <c r="M415" s="221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221"/>
      <c r="L416" s="222"/>
      <c r="M416" s="221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221"/>
      <c r="L417" s="222"/>
      <c r="M417" s="221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221"/>
      <c r="L418" s="222"/>
      <c r="M418" s="221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221"/>
      <c r="L419" s="222"/>
      <c r="M419" s="221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221"/>
      <c r="L420" s="222"/>
      <c r="M420" s="221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221"/>
      <c r="L421" s="222"/>
      <c r="M421" s="221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221"/>
      <c r="L422" s="222"/>
      <c r="M422" s="221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221"/>
      <c r="L423" s="222"/>
      <c r="M423" s="221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221"/>
      <c r="L424" s="222"/>
      <c r="M424" s="221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221"/>
      <c r="L425" s="222"/>
      <c r="M425" s="221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221"/>
      <c r="L426" s="222"/>
      <c r="M426" s="221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221"/>
      <c r="L427" s="222"/>
      <c r="M427" s="221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221"/>
      <c r="L428" s="222"/>
      <c r="M428" s="221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221"/>
      <c r="L429" s="222"/>
      <c r="M429" s="221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221"/>
      <c r="L430" s="222"/>
      <c r="M430" s="221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221"/>
      <c r="L431" s="222"/>
      <c r="M431" s="221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221"/>
      <c r="L432" s="222"/>
      <c r="M432" s="221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221"/>
      <c r="L433" s="222"/>
      <c r="M433" s="221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221"/>
      <c r="L434" s="222"/>
      <c r="M434" s="221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221"/>
      <c r="L435" s="222"/>
      <c r="M435" s="221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221"/>
      <c r="L436" s="222"/>
      <c r="M436" s="221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221"/>
      <c r="L437" s="222"/>
      <c r="M437" s="221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221"/>
      <c r="L438" s="222"/>
      <c r="M438" s="221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221"/>
      <c r="L439" s="222"/>
      <c r="M439" s="221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221"/>
      <c r="L440" s="222"/>
      <c r="M440" s="221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221"/>
      <c r="L441" s="222"/>
      <c r="M441" s="221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221"/>
      <c r="L442" s="222"/>
      <c r="M442" s="221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221"/>
      <c r="L443" s="222"/>
      <c r="M443" s="221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221"/>
      <c r="L444" s="222"/>
      <c r="M444" s="221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221"/>
      <c r="L445" s="222"/>
      <c r="M445" s="221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221"/>
      <c r="L446" s="222"/>
      <c r="M446" s="221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221"/>
      <c r="L447" s="222"/>
      <c r="M447" s="221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221"/>
      <c r="L448" s="222"/>
      <c r="M448" s="221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221"/>
      <c r="L449" s="222"/>
      <c r="M449" s="221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221"/>
      <c r="L450" s="222"/>
      <c r="M450" s="221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221"/>
      <c r="L451" s="222"/>
      <c r="M451" s="221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221"/>
      <c r="L452" s="222"/>
      <c r="M452" s="221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221"/>
      <c r="L453" s="222"/>
      <c r="M453" s="221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221"/>
      <c r="L454" s="222"/>
      <c r="M454" s="221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221"/>
      <c r="L455" s="222"/>
      <c r="M455" s="221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221"/>
      <c r="L456" s="222"/>
      <c r="M456" s="221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221"/>
      <c r="L457" s="222"/>
      <c r="M457" s="221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221"/>
      <c r="L458" s="222"/>
      <c r="M458" s="221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221"/>
      <c r="L459" s="222"/>
      <c r="M459" s="221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221"/>
      <c r="L460" s="222"/>
      <c r="M460" s="221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221"/>
      <c r="L461" s="222"/>
      <c r="M461" s="221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221"/>
      <c r="L462" s="222"/>
      <c r="M462" s="221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221"/>
      <c r="L463" s="222"/>
      <c r="M463" s="221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221"/>
      <c r="L464" s="222"/>
      <c r="M464" s="221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221"/>
      <c r="L465" s="222"/>
      <c r="M465" s="221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221"/>
      <c r="L466" s="222"/>
      <c r="M466" s="221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221"/>
      <c r="L467" s="222"/>
      <c r="M467" s="221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221"/>
      <c r="L468" s="222"/>
      <c r="M468" s="221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221"/>
      <c r="L469" s="222"/>
      <c r="M469" s="221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221"/>
      <c r="L470" s="222"/>
      <c r="M470" s="221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221"/>
      <c r="L471" s="222"/>
      <c r="M471" s="221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221"/>
      <c r="L472" s="222"/>
      <c r="M472" s="221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221"/>
      <c r="L473" s="222"/>
      <c r="M473" s="221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221"/>
      <c r="L474" s="222"/>
      <c r="M474" s="221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221"/>
      <c r="L475" s="222"/>
      <c r="M475" s="221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221"/>
      <c r="L476" s="222"/>
      <c r="M476" s="221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221"/>
      <c r="L477" s="222"/>
      <c r="M477" s="221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221"/>
      <c r="L478" s="222"/>
      <c r="M478" s="221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221"/>
      <c r="L479" s="222"/>
      <c r="M479" s="221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221"/>
      <c r="L480" s="222"/>
      <c r="M480" s="221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221"/>
      <c r="L481" s="222"/>
      <c r="M481" s="221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221"/>
      <c r="L482" s="222"/>
      <c r="M482" s="221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221"/>
      <c r="L483" s="222"/>
      <c r="M483" s="221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221"/>
      <c r="L484" s="222"/>
      <c r="M484" s="221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221"/>
      <c r="L485" s="222"/>
      <c r="M485" s="221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221"/>
      <c r="L486" s="222"/>
      <c r="M486" s="221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221"/>
      <c r="L487" s="222"/>
      <c r="M487" s="221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221"/>
      <c r="L488" s="222"/>
      <c r="M488" s="221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221"/>
      <c r="L489" s="222"/>
      <c r="M489" s="221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221"/>
      <c r="L490" s="222"/>
      <c r="M490" s="221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221"/>
      <c r="L491" s="222"/>
      <c r="M491" s="221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221"/>
      <c r="L492" s="222"/>
      <c r="M492" s="221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221"/>
      <c r="L493" s="222"/>
      <c r="M493" s="221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221"/>
      <c r="L494" s="222"/>
      <c r="M494" s="221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221"/>
      <c r="L495" s="222"/>
      <c r="M495" s="221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221"/>
      <c r="L496" s="222"/>
      <c r="M496" s="221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221"/>
      <c r="L497" s="222"/>
      <c r="M497" s="221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221"/>
      <c r="L498" s="222"/>
      <c r="M498" s="221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221"/>
      <c r="L499" s="222"/>
      <c r="M499" s="221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221"/>
      <c r="L500" s="222"/>
      <c r="M500" s="221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221"/>
      <c r="L501" s="222"/>
      <c r="M501" s="221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221"/>
      <c r="L502" s="222"/>
      <c r="M502" s="221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221"/>
      <c r="L503" s="222"/>
      <c r="M503" s="221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221"/>
      <c r="L504" s="222"/>
      <c r="M504" s="221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221"/>
      <c r="L505" s="222"/>
      <c r="M505" s="221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221"/>
      <c r="L506" s="222"/>
      <c r="M506" s="221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221"/>
      <c r="L507" s="222"/>
      <c r="M507" s="221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221"/>
      <c r="L508" s="222"/>
      <c r="M508" s="221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221"/>
      <c r="L509" s="222"/>
      <c r="M509" s="221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221"/>
      <c r="L510" s="222"/>
      <c r="M510" s="221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221"/>
      <c r="L511" s="222"/>
      <c r="M511" s="221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221"/>
      <c r="L512" s="222"/>
      <c r="M512" s="221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221"/>
      <c r="L513" s="222"/>
      <c r="M513" s="221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221"/>
      <c r="L514" s="222"/>
      <c r="M514" s="221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221"/>
      <c r="L515" s="222"/>
      <c r="M515" s="221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221"/>
      <c r="L516" s="222"/>
      <c r="M516" s="221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221"/>
      <c r="L517" s="222"/>
      <c r="M517" s="221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221"/>
      <c r="L518" s="222"/>
      <c r="M518" s="221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221"/>
      <c r="L519" s="222"/>
      <c r="M519" s="221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221"/>
      <c r="L520" s="222"/>
      <c r="M520" s="221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221"/>
      <c r="L521" s="222"/>
      <c r="M521" s="221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221"/>
      <c r="L522" s="222"/>
      <c r="M522" s="221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221"/>
      <c r="L523" s="222"/>
      <c r="M523" s="221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221"/>
      <c r="L524" s="222"/>
      <c r="M524" s="221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221"/>
      <c r="L525" s="222"/>
      <c r="M525" s="221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221"/>
      <c r="L526" s="222"/>
      <c r="M526" s="221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221"/>
      <c r="L527" s="222"/>
      <c r="M527" s="221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221"/>
      <c r="L528" s="222"/>
      <c r="M528" s="221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221"/>
      <c r="L529" s="222"/>
      <c r="M529" s="221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221"/>
      <c r="L530" s="222"/>
      <c r="M530" s="221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221"/>
      <c r="L531" s="222"/>
      <c r="M531" s="221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221"/>
      <c r="L532" s="222"/>
      <c r="M532" s="221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221"/>
      <c r="L533" s="222"/>
      <c r="M533" s="221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221"/>
      <c r="L534" s="222"/>
      <c r="M534" s="221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221"/>
      <c r="L535" s="222"/>
      <c r="M535" s="221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221"/>
      <c r="L536" s="222"/>
      <c r="M536" s="221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221"/>
      <c r="L537" s="222"/>
      <c r="M537" s="221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221"/>
      <c r="L538" s="222"/>
      <c r="M538" s="221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221"/>
      <c r="L539" s="222"/>
      <c r="M539" s="221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221"/>
      <c r="L540" s="222"/>
      <c r="M540" s="221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221"/>
      <c r="L541" s="222"/>
      <c r="M541" s="221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221"/>
      <c r="L542" s="222"/>
      <c r="M542" s="221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221"/>
      <c r="L543" s="222"/>
      <c r="M543" s="221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221"/>
      <c r="L544" s="222"/>
      <c r="M544" s="221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221"/>
      <c r="L545" s="222"/>
      <c r="M545" s="221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221"/>
      <c r="L546" s="222"/>
      <c r="M546" s="221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221"/>
      <c r="L547" s="222"/>
      <c r="M547" s="221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221"/>
      <c r="L548" s="222"/>
      <c r="M548" s="221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221"/>
      <c r="L549" s="222"/>
      <c r="M549" s="221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221"/>
      <c r="L550" s="222"/>
      <c r="M550" s="221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221"/>
      <c r="L551" s="222"/>
      <c r="M551" s="221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221"/>
      <c r="L552" s="222"/>
      <c r="M552" s="221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221"/>
      <c r="L553" s="222"/>
      <c r="M553" s="221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221"/>
      <c r="L554" s="222"/>
      <c r="M554" s="221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221"/>
      <c r="L555" s="222"/>
      <c r="M555" s="221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221"/>
      <c r="L556" s="222"/>
      <c r="M556" s="221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221"/>
      <c r="L557" s="222"/>
      <c r="M557" s="221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221"/>
      <c r="L558" s="222"/>
      <c r="M558" s="221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221"/>
      <c r="L559" s="222"/>
      <c r="M559" s="221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221"/>
      <c r="L560" s="222"/>
      <c r="M560" s="221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221"/>
      <c r="L561" s="222"/>
      <c r="M561" s="221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221"/>
      <c r="L562" s="222"/>
      <c r="M562" s="221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221"/>
      <c r="L563" s="222"/>
      <c r="M563" s="221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221"/>
      <c r="L564" s="222"/>
      <c r="M564" s="221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221"/>
      <c r="L565" s="222"/>
      <c r="M565" s="221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221"/>
      <c r="L566" s="222"/>
      <c r="M566" s="221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221"/>
      <c r="L567" s="222"/>
      <c r="M567" s="221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221"/>
      <c r="L568" s="222"/>
      <c r="M568" s="221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221"/>
      <c r="L569" s="222"/>
      <c r="M569" s="221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221"/>
      <c r="L570" s="222"/>
      <c r="M570" s="221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221"/>
      <c r="L571" s="222"/>
      <c r="M571" s="221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221"/>
      <c r="L572" s="222"/>
      <c r="M572" s="221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221"/>
      <c r="L573" s="222"/>
      <c r="M573" s="221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221"/>
      <c r="L574" s="222"/>
      <c r="M574" s="221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221"/>
      <c r="L575" s="222"/>
      <c r="M575" s="221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221"/>
      <c r="L576" s="222"/>
      <c r="M576" s="221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221"/>
      <c r="L577" s="222"/>
      <c r="M577" s="221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221"/>
      <c r="L578" s="222"/>
      <c r="M578" s="221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221"/>
      <c r="L579" s="222"/>
      <c r="M579" s="221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221"/>
      <c r="L580" s="222"/>
      <c r="M580" s="221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221"/>
      <c r="L581" s="222"/>
      <c r="M581" s="221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221"/>
      <c r="L582" s="222"/>
      <c r="M582" s="221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221"/>
      <c r="L583" s="222"/>
      <c r="M583" s="221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221"/>
      <c r="L584" s="222"/>
      <c r="M584" s="221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221"/>
      <c r="L585" s="222"/>
      <c r="M585" s="221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221"/>
      <c r="L586" s="222"/>
      <c r="M586" s="221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221"/>
      <c r="L587" s="222"/>
      <c r="M587" s="221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221"/>
      <c r="L588" s="222"/>
      <c r="M588" s="221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221"/>
      <c r="L589" s="222"/>
      <c r="M589" s="221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221"/>
      <c r="L590" s="222"/>
      <c r="M590" s="221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221"/>
      <c r="L591" s="222"/>
      <c r="M591" s="221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221"/>
      <c r="L592" s="222"/>
      <c r="M592" s="221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221"/>
      <c r="L593" s="222"/>
      <c r="M593" s="221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221"/>
      <c r="L594" s="222"/>
      <c r="M594" s="221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221"/>
      <c r="L595" s="222"/>
      <c r="M595" s="221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221"/>
      <c r="L596" s="222"/>
      <c r="M596" s="221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221"/>
      <c r="L597" s="222"/>
      <c r="M597" s="221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221"/>
      <c r="L598" s="222"/>
      <c r="M598" s="221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221"/>
      <c r="L599" s="222"/>
      <c r="M599" s="221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221"/>
      <c r="L600" s="222"/>
      <c r="M600" s="221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221"/>
      <c r="L601" s="222"/>
      <c r="M601" s="221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221"/>
      <c r="L602" s="222"/>
      <c r="M602" s="221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221"/>
      <c r="L603" s="222"/>
      <c r="M603" s="221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221"/>
      <c r="L604" s="222"/>
      <c r="M604" s="221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221"/>
      <c r="L605" s="222"/>
      <c r="M605" s="221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221"/>
      <c r="L606" s="222"/>
      <c r="M606" s="221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221"/>
      <c r="L607" s="222"/>
      <c r="M607" s="221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221"/>
      <c r="L608" s="222"/>
      <c r="M608" s="221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221"/>
      <c r="L609" s="222"/>
      <c r="M609" s="221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221"/>
      <c r="L610" s="222"/>
      <c r="M610" s="221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221"/>
      <c r="L611" s="222"/>
      <c r="M611" s="221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221"/>
      <c r="L612" s="222"/>
      <c r="M612" s="221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221"/>
      <c r="L613" s="222"/>
      <c r="M613" s="221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221"/>
      <c r="L614" s="222"/>
      <c r="M614" s="221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221"/>
      <c r="L615" s="222"/>
      <c r="M615" s="221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221"/>
      <c r="L616" s="222"/>
      <c r="M616" s="221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221"/>
      <c r="L617" s="222"/>
      <c r="M617" s="221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221"/>
      <c r="L618" s="222"/>
      <c r="M618" s="221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221"/>
      <c r="L619" s="222"/>
      <c r="M619" s="221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221"/>
      <c r="L620" s="222"/>
      <c r="M620" s="221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221"/>
      <c r="L621" s="222"/>
      <c r="M621" s="221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221"/>
      <c r="L622" s="222"/>
      <c r="M622" s="221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221"/>
      <c r="L623" s="222"/>
      <c r="M623" s="221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221"/>
      <c r="L624" s="222"/>
      <c r="M624" s="221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221"/>
      <c r="L625" s="222"/>
      <c r="M625" s="221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221"/>
      <c r="L626" s="222"/>
      <c r="M626" s="221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221"/>
      <c r="L627" s="222"/>
      <c r="M627" s="221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221"/>
      <c r="L628" s="222"/>
      <c r="M628" s="221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221"/>
      <c r="L629" s="222"/>
      <c r="M629" s="221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221"/>
      <c r="L630" s="222"/>
      <c r="M630" s="221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221"/>
      <c r="L631" s="222"/>
      <c r="M631" s="221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221"/>
      <c r="L632" s="222"/>
      <c r="M632" s="221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221"/>
      <c r="L633" s="222"/>
      <c r="M633" s="221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221"/>
      <c r="L634" s="222"/>
      <c r="M634" s="221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221"/>
      <c r="L635" s="222"/>
      <c r="M635" s="221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221"/>
      <c r="L636" s="222"/>
      <c r="M636" s="221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221"/>
      <c r="L637" s="222"/>
      <c r="M637" s="221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221"/>
      <c r="L638" s="222"/>
      <c r="M638" s="221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221"/>
      <c r="L639" s="222"/>
      <c r="M639" s="221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221"/>
      <c r="L640" s="222"/>
      <c r="M640" s="221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221"/>
      <c r="L641" s="222"/>
      <c r="M641" s="221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221"/>
      <c r="L642" s="222"/>
      <c r="M642" s="221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221"/>
      <c r="L643" s="222"/>
      <c r="M643" s="221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221"/>
      <c r="L644" s="222"/>
      <c r="M644" s="221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221"/>
      <c r="L645" s="222"/>
      <c r="M645" s="221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221"/>
      <c r="L646" s="222"/>
      <c r="M646" s="221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221"/>
      <c r="L647" s="222"/>
      <c r="M647" s="221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221"/>
      <c r="L648" s="222"/>
      <c r="M648" s="221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221"/>
      <c r="L649" s="222"/>
      <c r="M649" s="221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221"/>
      <c r="L650" s="222"/>
      <c r="M650" s="221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221"/>
      <c r="L651" s="222"/>
      <c r="M651" s="221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221"/>
      <c r="L652" s="222"/>
      <c r="M652" s="221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221"/>
      <c r="L653" s="222"/>
      <c r="M653" s="221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221"/>
      <c r="L654" s="222"/>
      <c r="M654" s="221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221"/>
      <c r="L655" s="222"/>
      <c r="M655" s="221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221"/>
      <c r="L656" s="222"/>
      <c r="M656" s="221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221"/>
      <c r="L657" s="222"/>
      <c r="M657" s="221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221"/>
      <c r="L658" s="222"/>
      <c r="M658" s="221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221"/>
      <c r="L659" s="222"/>
      <c r="M659" s="221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221"/>
      <c r="L660" s="222"/>
      <c r="M660" s="221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221"/>
      <c r="L661" s="222"/>
      <c r="M661" s="221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221"/>
      <c r="L662" s="222"/>
      <c r="M662" s="221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221"/>
      <c r="L663" s="222"/>
      <c r="M663" s="221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221"/>
      <c r="L664" s="222"/>
      <c r="M664" s="221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221"/>
      <c r="L665" s="222"/>
      <c r="M665" s="221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221"/>
      <c r="L666" s="222"/>
      <c r="M666" s="221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221"/>
      <c r="L667" s="222"/>
      <c r="M667" s="221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221"/>
      <c r="L668" s="222"/>
      <c r="M668" s="221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221"/>
      <c r="L669" s="222"/>
      <c r="M669" s="221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221"/>
      <c r="L670" s="222"/>
      <c r="M670" s="221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221"/>
      <c r="L671" s="222"/>
      <c r="M671" s="221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221"/>
      <c r="L672" s="222"/>
      <c r="M672" s="221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221"/>
      <c r="L673" s="222"/>
      <c r="M673" s="221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221"/>
      <c r="L674" s="222"/>
      <c r="M674" s="221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221"/>
      <c r="L675" s="222"/>
      <c r="M675" s="221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221"/>
      <c r="L676" s="222"/>
      <c r="M676" s="221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221"/>
      <c r="L677" s="222"/>
      <c r="M677" s="221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221"/>
      <c r="L678" s="222"/>
      <c r="M678" s="221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221"/>
      <c r="L679" s="222"/>
      <c r="M679" s="221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221"/>
      <c r="L680" s="222"/>
      <c r="M680" s="221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221"/>
      <c r="L681" s="222"/>
      <c r="M681" s="221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221"/>
      <c r="L682" s="222"/>
      <c r="M682" s="221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221"/>
      <c r="L683" s="222"/>
      <c r="M683" s="221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221"/>
      <c r="L684" s="222"/>
      <c r="M684" s="221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221"/>
      <c r="L685" s="222"/>
      <c r="M685" s="221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221"/>
      <c r="L686" s="222"/>
      <c r="M686" s="221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221"/>
      <c r="L687" s="222"/>
      <c r="M687" s="221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221"/>
      <c r="L688" s="222"/>
      <c r="M688" s="221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221"/>
      <c r="L689" s="222"/>
      <c r="M689" s="221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221"/>
      <c r="L690" s="222"/>
      <c r="M690" s="221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221"/>
      <c r="L691" s="222"/>
      <c r="M691" s="221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221"/>
      <c r="L692" s="222"/>
      <c r="M692" s="221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221"/>
      <c r="L693" s="222"/>
      <c r="M693" s="221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221"/>
      <c r="L694" s="222"/>
      <c r="M694" s="221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221"/>
      <c r="L695" s="222"/>
      <c r="M695" s="221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221"/>
      <c r="L696" s="222"/>
      <c r="M696" s="221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221"/>
      <c r="L697" s="222"/>
      <c r="M697" s="221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221"/>
      <c r="L698" s="222"/>
      <c r="M698" s="221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221"/>
      <c r="L699" s="222"/>
      <c r="M699" s="221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221"/>
      <c r="L700" s="222"/>
      <c r="M700" s="221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221"/>
      <c r="L701" s="222"/>
      <c r="M701" s="221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221"/>
      <c r="L702" s="222"/>
      <c r="M702" s="221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221"/>
      <c r="L703" s="222"/>
      <c r="M703" s="221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221"/>
      <c r="L704" s="222"/>
      <c r="M704" s="221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221"/>
      <c r="L705" s="222"/>
      <c r="M705" s="221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221"/>
      <c r="L706" s="222"/>
      <c r="M706" s="221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221"/>
      <c r="L707" s="222"/>
      <c r="M707" s="221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221"/>
      <c r="L708" s="222"/>
      <c r="M708" s="221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221"/>
      <c r="L709" s="222"/>
      <c r="M709" s="221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221"/>
      <c r="L710" s="222"/>
      <c r="M710" s="221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221"/>
      <c r="L711" s="222"/>
      <c r="M711" s="221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221"/>
      <c r="L712" s="222"/>
      <c r="M712" s="221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221"/>
      <c r="L713" s="222"/>
      <c r="M713" s="221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221"/>
      <c r="L714" s="222"/>
      <c r="M714" s="221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221"/>
      <c r="L715" s="222"/>
      <c r="M715" s="221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221"/>
      <c r="L716" s="222"/>
      <c r="M716" s="221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221"/>
      <c r="L717" s="222"/>
      <c r="M717" s="221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221"/>
      <c r="L718" s="222"/>
      <c r="M718" s="221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221"/>
      <c r="L719" s="222"/>
      <c r="M719" s="221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221"/>
      <c r="L720" s="222"/>
      <c r="M720" s="221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221"/>
      <c r="L721" s="222"/>
      <c r="M721" s="221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221"/>
      <c r="L722" s="222"/>
      <c r="M722" s="221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221"/>
      <c r="L723" s="222"/>
      <c r="M723" s="221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221"/>
      <c r="L724" s="222"/>
      <c r="M724" s="221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221"/>
      <c r="L725" s="222"/>
      <c r="M725" s="221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221"/>
      <c r="L726" s="222"/>
      <c r="M726" s="221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221"/>
      <c r="L727" s="222"/>
      <c r="M727" s="221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221"/>
      <c r="L728" s="222"/>
      <c r="M728" s="221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221"/>
      <c r="L729" s="222"/>
      <c r="M729" s="221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221"/>
      <c r="L730" s="222"/>
      <c r="M730" s="221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221"/>
      <c r="L731" s="222"/>
      <c r="M731" s="221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221"/>
      <c r="L732" s="222"/>
      <c r="M732" s="221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221"/>
      <c r="L733" s="222"/>
      <c r="M733" s="221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221"/>
      <c r="L734" s="222"/>
      <c r="M734" s="221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221"/>
      <c r="L735" s="222"/>
      <c r="M735" s="221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221"/>
      <c r="L736" s="222"/>
      <c r="M736" s="221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221"/>
      <c r="L737" s="222"/>
      <c r="M737" s="221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221"/>
      <c r="L738" s="222"/>
      <c r="M738" s="221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221"/>
      <c r="L739" s="222"/>
      <c r="M739" s="221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221"/>
      <c r="L740" s="222"/>
      <c r="M740" s="221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221"/>
      <c r="L741" s="222"/>
      <c r="M741" s="221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221"/>
      <c r="L742" s="222"/>
      <c r="M742" s="221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221"/>
      <c r="L743" s="222"/>
      <c r="M743" s="221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221"/>
      <c r="L744" s="222"/>
      <c r="M744" s="221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221"/>
      <c r="L745" s="222"/>
      <c r="M745" s="221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221"/>
      <c r="L746" s="222"/>
      <c r="M746" s="221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221"/>
      <c r="L747" s="222"/>
      <c r="M747" s="221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221"/>
      <c r="L748" s="222"/>
      <c r="M748" s="221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221"/>
      <c r="L749" s="222"/>
      <c r="M749" s="221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221"/>
      <c r="L750" s="222"/>
      <c r="M750" s="221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221"/>
      <c r="L751" s="222"/>
      <c r="M751" s="221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221"/>
      <c r="L752" s="222"/>
      <c r="M752" s="221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221"/>
      <c r="L753" s="222"/>
      <c r="M753" s="221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221"/>
      <c r="L754" s="222"/>
      <c r="M754" s="221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221"/>
      <c r="L755" s="222"/>
      <c r="M755" s="221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221"/>
      <c r="L756" s="222"/>
      <c r="M756" s="221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221"/>
      <c r="L757" s="222"/>
      <c r="M757" s="221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221"/>
      <c r="L758" s="222"/>
      <c r="M758" s="221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221"/>
      <c r="L759" s="222"/>
      <c r="M759" s="221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221"/>
      <c r="L760" s="222"/>
      <c r="M760" s="221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221"/>
      <c r="L761" s="222"/>
      <c r="M761" s="221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221"/>
      <c r="L762" s="222"/>
      <c r="M762" s="221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221"/>
      <c r="L763" s="222"/>
      <c r="M763" s="221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221"/>
      <c r="L764" s="222"/>
      <c r="M764" s="221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221"/>
      <c r="L765" s="222"/>
      <c r="M765" s="221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221"/>
      <c r="L766" s="222"/>
      <c r="M766" s="221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221"/>
      <c r="L767" s="222"/>
      <c r="M767" s="221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221"/>
      <c r="L768" s="222"/>
      <c r="M768" s="221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221"/>
      <c r="L769" s="222"/>
      <c r="M769" s="221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221"/>
      <c r="L770" s="222"/>
      <c r="M770" s="221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221"/>
      <c r="L771" s="222"/>
      <c r="M771" s="221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221"/>
      <c r="L772" s="222"/>
      <c r="M772" s="221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221"/>
      <c r="L773" s="222"/>
      <c r="M773" s="221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221"/>
      <c r="L774" s="222"/>
      <c r="M774" s="221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221"/>
      <c r="L775" s="222"/>
      <c r="M775" s="221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221"/>
      <c r="L776" s="222"/>
      <c r="M776" s="221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221"/>
      <c r="L777" s="222"/>
      <c r="M777" s="221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221"/>
      <c r="L778" s="222"/>
      <c r="M778" s="221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221"/>
      <c r="L779" s="222"/>
      <c r="M779" s="221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221"/>
      <c r="L780" s="222"/>
      <c r="M780" s="221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221"/>
      <c r="L781" s="222"/>
      <c r="M781" s="221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221"/>
      <c r="L782" s="222"/>
      <c r="M782" s="221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221"/>
      <c r="L783" s="222"/>
      <c r="M783" s="221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221"/>
      <c r="L784" s="222"/>
      <c r="M784" s="221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221"/>
      <c r="L785" s="222"/>
      <c r="M785" s="221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221"/>
      <c r="L786" s="222"/>
      <c r="M786" s="221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221"/>
      <c r="L787" s="222"/>
      <c r="M787" s="221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221"/>
      <c r="L788" s="222"/>
      <c r="M788" s="221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221"/>
      <c r="L789" s="222"/>
      <c r="M789" s="221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221"/>
      <c r="L790" s="222"/>
      <c r="M790" s="221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221"/>
      <c r="L791" s="222"/>
      <c r="M791" s="221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221"/>
      <c r="L792" s="222"/>
      <c r="M792" s="221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221"/>
      <c r="L793" s="222"/>
      <c r="M793" s="221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221"/>
      <c r="L794" s="222"/>
      <c r="M794" s="221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221"/>
      <c r="L795" s="222"/>
      <c r="M795" s="221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221"/>
      <c r="L796" s="222"/>
      <c r="M796" s="221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221"/>
      <c r="L797" s="222"/>
      <c r="M797" s="221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221"/>
      <c r="L798" s="222"/>
      <c r="M798" s="221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221"/>
      <c r="L799" s="222"/>
      <c r="M799" s="221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221"/>
      <c r="L800" s="222"/>
      <c r="M800" s="221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221"/>
      <c r="L801" s="222"/>
      <c r="M801" s="221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221"/>
      <c r="L802" s="222"/>
      <c r="M802" s="221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221"/>
      <c r="L803" s="222"/>
      <c r="M803" s="221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221"/>
      <c r="L804" s="222"/>
      <c r="M804" s="221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221"/>
      <c r="L805" s="222"/>
      <c r="M805" s="221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221"/>
      <c r="L806" s="222"/>
      <c r="M806" s="221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221"/>
      <c r="L807" s="222"/>
      <c r="M807" s="221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221"/>
      <c r="L808" s="222"/>
      <c r="M808" s="221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221"/>
      <c r="L809" s="222"/>
      <c r="M809" s="221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221"/>
      <c r="L810" s="222"/>
      <c r="M810" s="221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221"/>
      <c r="L811" s="222"/>
      <c r="M811" s="221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221"/>
      <c r="L812" s="222"/>
      <c r="M812" s="221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221"/>
      <c r="L813" s="222"/>
      <c r="M813" s="221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221"/>
      <c r="L814" s="222"/>
      <c r="M814" s="221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221"/>
      <c r="L815" s="222"/>
      <c r="M815" s="221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221"/>
      <c r="L816" s="222"/>
      <c r="M816" s="221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221"/>
      <c r="L817" s="222"/>
      <c r="M817" s="221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221"/>
      <c r="L818" s="222"/>
      <c r="M818" s="221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221"/>
      <c r="L819" s="222"/>
      <c r="M819" s="221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221"/>
      <c r="L820" s="222"/>
      <c r="M820" s="221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221"/>
      <c r="L821" s="222"/>
      <c r="M821" s="221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22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22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22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22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22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22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22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22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22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22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22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22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22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22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22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22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22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22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22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22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22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22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22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22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22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22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22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22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22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22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22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22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22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22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22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22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22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22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22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22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22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22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22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22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22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22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22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22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22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22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22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22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22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22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22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22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22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22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22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22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22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22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22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22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22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22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22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22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22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22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22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22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22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22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22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22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22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22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22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22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22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22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22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22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22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22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22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22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22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22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22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22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22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22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22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22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22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22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22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22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22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22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22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22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22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22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22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22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22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22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22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22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22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22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22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22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22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22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22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22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22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22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22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22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22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22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22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22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22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22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22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22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22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22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22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22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22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22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22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22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22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22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22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22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22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22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</row>
  </sheetData>
  <mergeCells count="3">
    <mergeCell ref="A1:G3"/>
    <mergeCell ref="H1:P3"/>
    <mergeCell ref="Q1:T3"/>
  </mergeCells>
  <dataValidations>
    <dataValidation type="list" allowBlank="1" showErrorMessage="1" sqref="N13 N15 N20:N23 N26 N34:N36 N41:N42 N47:N48 N65 N70:N71 N78:N83 N87:N91 N106:N116 N123 N131:N133 N143:N144 N154 N159 N161 N164:N166 N173 N176 N180:N184 N196:N205 N207:N210 N217 N224 N226 N230 N234:N236 N238:N240 N244">
      <formula1>"PROPOSTA ENVIADA,CONTRATO FECHADO,RECUSADO,FECHADO CRISTIANO"</formula1>
    </dataValidation>
    <dataValidation type="list" allowBlank="1" showErrorMessage="1" sqref="S5 S8 S12:S14 S16:S19 S24:S25 S27:S33 S37:S40 S43:S46 S49:S64 S66:S69 S72:S77 S84:S86 S92:S105 S117:S122 S124:S130 S134:S142 S145:S153 S155:S160 S162:S163 S166:S172 S174:S175 S177:S179 S185:S195 S204:S211 S213:S215 S220:S225 S229:S231 S237:S239 S241:S253">
      <formula1>"LUCAS,VITÓRIA,VINICIOS,VINICIUS,ALEXANDRE,MIKAELLE,CRISTIANO,GUSTAVO,CAILLANE,WENDY"</formula1>
    </dataValidation>
    <dataValidation type="list" allowBlank="1" showErrorMessage="1" sqref="S6:S7 S9:S11 S15 S20:S23 S26 S34:S36 S41:S42 S47:S48 S65 S70:S71 S78:S83 S87:S91 S106:S116 S123 S131:S133 S143:S144 S154 S161 S164:S165 S173 S176 S180:S184 S196:S203 S217 S226 S240">
      <formula1>"LUCAS,VITÓRIA,VINICIOS,VINICIUS,ALEXANDRE,MIKAELLE,CRISTIANO,GUSTAVO"</formula1>
    </dataValidation>
    <dataValidation type="list" allowBlank="1" showErrorMessage="1" sqref="R8 R12 R14 R16:R19 R24:R25 R27:R30 R32:R33 R37:R40 R43:R46 R49:R64 R66:R69 R72:R77 R84:R86 R92:R105 AD107 R117:R122 R124:R130 R134:R142 R145:R153 R155:R158 R160 R162:R163 R167:R172 R174:R175 R177:R179 R185:R195 R206 R211 R213:R215 R218:R223 R225 R227:R229 R231:R233 R237 R241:R243 R245:R253">
      <formula1>"E-MAIL,KOMMO,TELEFONE FIXO,WHATSAPP,INDICAÇÃO,CONARH,PLANILHA LEAD,SSOMED / SITE"</formula1>
    </dataValidation>
    <dataValidation type="list" allowBlank="1" showErrorMessage="1" sqref="R5">
      <formula1>"E-MAIL,KOMMO,TELEFONE FIXO,WHATSAPP,INDICAÇÃO,CONARH,PLANILHA LEAD,SSO MED"</formula1>
    </dataValidation>
    <dataValidation type="list" allowBlank="1" showErrorMessage="1" sqref="R13 R15 R20:R23 R26 R34:R36 R41:R42 R47:R48 R65 R70:R71 R78:R83 R87:R91 R106:R116 R123 R131:R133 R143:R144 R154 R159 R161 R164:R166 R173 R176 R180:R184 R196:R205 R207:R210 R217 R224 R226 R230 R234:R236 R238:R240 R244">
      <formula1>"E-MAIL,KOMMO,TELEFONE FIXO,WHATSAPP,INDICAÇÃO,CONARH"</formula1>
    </dataValidation>
    <dataValidation type="list" allowBlank="1" showErrorMessage="1" sqref="O5:O253">
      <formula1>"NOVO,ANTIGO"</formula1>
    </dataValidation>
    <dataValidation type="list" allowBlank="1" showErrorMessage="1" sqref="S212 S216 S218:S219 S227:S228 S232:S236">
      <formula1>"LUCAS,VITÓRIA,VINICIOS,VINICIUS,ALEXANDRE,MIKAELLE,CRISTIANO,GUSTAVO,CAILLANE"</formula1>
    </dataValidation>
    <dataValidation type="list" allowBlank="1" showErrorMessage="1" sqref="R6:R7 R9:R11 R31 R212 R216">
      <formula1>"E-MAIL,KOMMO,TELEFONE FIXO,WHATSAPP,INDICAÇÃO,CONARH,PLANILHA LEAD"</formula1>
    </dataValidation>
    <dataValidation type="list" allowBlank="1" showErrorMessage="1" sqref="N5:N12 N14 N16:N19 N24:N25 N27:N33 N37:N40 N43:N46 N49:N64 N66:N69 N72:N77 N84:N86 N92:N105 N117:N122 N124:N130 N134:N142 N145:N153 N155:N158 N160 N162:N163 N167:N172 N174:N175 N177:N179 N185:N195 N206 N211:N216 N218:N223 N225 N227:N229 N231:N233 N237 N241:N243 N245:N253">
      <formula1>"PROPOSTA ENVIADA,CONTRATO FECHADO,RECUSADO"</formula1>
    </dataValidation>
    <dataValidation type="list" allowBlank="1" showErrorMessage="1" sqref="P5:P167 P169:P253">
      <formula1>"MINUTA ENVIADA,MINUTA ASSINADA"</formula1>
    </dataValidation>
  </dataValidations>
  <hyperlinks>
    <hyperlink r:id="rId2" ref="F11"/>
    <hyperlink r:id="rId3" ref="F15"/>
    <hyperlink r:id="rId4" ref="F16"/>
    <hyperlink r:id="rId5" ref="F17"/>
    <hyperlink r:id="rId6" ref="F33"/>
    <hyperlink r:id="rId7" ref="F42"/>
    <hyperlink r:id="rId8" ref="F44"/>
    <hyperlink r:id="rId9" ref="F48"/>
    <hyperlink r:id="rId10" ref="F50"/>
    <hyperlink r:id="rId11" ref="F60"/>
    <hyperlink r:id="rId12" ref="F61"/>
    <hyperlink r:id="rId13" ref="F67"/>
    <hyperlink r:id="rId14" ref="F68"/>
    <hyperlink r:id="rId15" ref="F73"/>
    <hyperlink r:id="rId16" ref="F74"/>
    <hyperlink r:id="rId17" ref="F77"/>
    <hyperlink r:id="rId18" ref="F81"/>
    <hyperlink r:id="rId19" ref="F93"/>
    <hyperlink r:id="rId20" ref="F94"/>
    <hyperlink r:id="rId21" ref="F95"/>
    <hyperlink r:id="rId22" ref="F96"/>
    <hyperlink r:id="rId23" ref="F97"/>
    <hyperlink r:id="rId24" ref="F107"/>
    <hyperlink r:id="rId25" ref="F112"/>
    <hyperlink r:id="rId26" ref="F113"/>
    <hyperlink r:id="rId27" ref="F114"/>
    <hyperlink r:id="rId28" ref="F115"/>
    <hyperlink r:id="rId29" ref="F129"/>
    <hyperlink r:id="rId30" ref="F130"/>
    <hyperlink r:id="rId31" ref="F131"/>
    <hyperlink r:id="rId32" ref="F132"/>
    <hyperlink r:id="rId33" ref="F136"/>
    <hyperlink r:id="rId34" ref="F137"/>
    <hyperlink r:id="rId35" ref="F139"/>
    <hyperlink r:id="rId36" ref="F144"/>
    <hyperlink r:id="rId37" ref="F146"/>
    <hyperlink r:id="rId38" ref="F147"/>
    <hyperlink r:id="rId39" ref="F148"/>
    <hyperlink r:id="rId40" ref="F156"/>
    <hyperlink r:id="rId41" ref="F164"/>
    <hyperlink r:id="rId42" ref="F166"/>
    <hyperlink r:id="rId43" ref="F167"/>
    <hyperlink r:id="rId44" ref="F168"/>
    <hyperlink r:id="rId45" ref="F173"/>
    <hyperlink r:id="rId46" ref="F177"/>
    <hyperlink r:id="rId47" ref="F178"/>
    <hyperlink r:id="rId48" ref="F201"/>
    <hyperlink r:id="rId49" ref="F217"/>
    <hyperlink r:id="rId50" ref="F218"/>
    <hyperlink r:id="rId51" ref="F247"/>
    <hyperlink r:id="rId52" ref="F248"/>
    <hyperlink r:id="rId53" ref="F249"/>
    <hyperlink r:id="rId54" ref="F253"/>
  </hyperlinks>
  <drawing r:id="rId55"/>
  <legacyDrawing r:id="rId5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87.25"/>
    <col customWidth="1" min="3" max="3" width="17.88"/>
    <col customWidth="1" min="4" max="4" width="26.25"/>
    <col customWidth="1" min="5" max="5" width="23.88"/>
    <col customWidth="1" min="6" max="6" width="42.75"/>
    <col customWidth="1" min="7" max="7" width="16.88"/>
    <col customWidth="1" min="8" max="8" width="32.5"/>
    <col customWidth="1" min="9" max="9" width="10.13"/>
    <col customWidth="1" min="10" max="10" width="15.25"/>
    <col customWidth="1" min="11" max="11" width="16.75"/>
    <col customWidth="1" min="12" max="12" width="17.38"/>
    <col customWidth="1" min="13" max="13" width="15.13"/>
    <col customWidth="1" min="14" max="14" width="23.75"/>
    <col customWidth="1" min="15" max="15" width="20.38"/>
    <col customWidth="1" min="16" max="16" width="22.38"/>
    <col customWidth="1" min="17" max="17" width="6.38"/>
    <col customWidth="1" min="18" max="18" width="20.5"/>
    <col customWidth="1" min="19" max="19" width="19.0"/>
    <col customWidth="1" min="20" max="20" width="125.13"/>
    <col customWidth="1" min="21" max="21" width="20.38"/>
    <col customWidth="1" min="22" max="22" width="17.88"/>
    <col customWidth="1" min="23" max="23" width="18.0"/>
    <col customWidth="1" min="24" max="24" width="14.63"/>
    <col customWidth="1" min="25" max="25" width="21.5"/>
    <col customWidth="1" min="26" max="26" width="14.25"/>
    <col customWidth="1" min="27" max="27" width="12.88"/>
    <col customWidth="1" min="28" max="28" width="11.25"/>
  </cols>
  <sheetData>
    <row r="1">
      <c r="A1" s="1" t="s">
        <v>0</v>
      </c>
      <c r="H1" s="2" t="s">
        <v>1</v>
      </c>
      <c r="Q1" s="2" t="s">
        <v>2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ht="15.0" customHeight="1"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ht="15.0" customHeight="1"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ht="24.75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7" t="s">
        <v>10</v>
      </c>
      <c r="I4" s="8" t="s">
        <v>11</v>
      </c>
      <c r="J4" s="8" t="s">
        <v>12</v>
      </c>
      <c r="K4" s="9" t="s">
        <v>13</v>
      </c>
      <c r="L4" s="8" t="s">
        <v>533</v>
      </c>
      <c r="M4" s="9" t="s">
        <v>14</v>
      </c>
      <c r="N4" s="8" t="s">
        <v>15</v>
      </c>
      <c r="O4" s="8" t="s">
        <v>10</v>
      </c>
      <c r="P4" s="8" t="s">
        <v>16</v>
      </c>
      <c r="Q4" s="8" t="s">
        <v>17</v>
      </c>
      <c r="R4" s="8" t="s">
        <v>18</v>
      </c>
      <c r="S4" s="10" t="s">
        <v>19</v>
      </c>
      <c r="T4" s="10" t="s">
        <v>20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55"/>
    </row>
    <row r="5">
      <c r="A5" s="12">
        <v>1.0</v>
      </c>
      <c r="B5" s="123" t="s">
        <v>2597</v>
      </c>
      <c r="C5" s="123" t="s">
        <v>880</v>
      </c>
      <c r="D5" s="123" t="s">
        <v>881</v>
      </c>
      <c r="E5" s="181" t="s">
        <v>882</v>
      </c>
      <c r="F5" s="123" t="s">
        <v>883</v>
      </c>
      <c r="G5" s="123">
        <v>19.0</v>
      </c>
      <c r="H5" s="123" t="s">
        <v>48</v>
      </c>
      <c r="I5" s="108">
        <v>46147.0</v>
      </c>
      <c r="J5" s="178"/>
      <c r="K5" s="125">
        <v>315.0</v>
      </c>
      <c r="L5" s="467">
        <v>12.0</v>
      </c>
      <c r="M5" s="89">
        <f>K5*12</f>
        <v>3780</v>
      </c>
      <c r="N5" s="106" t="s">
        <v>58</v>
      </c>
      <c r="O5" s="120" t="s">
        <v>91</v>
      </c>
      <c r="P5" s="106" t="s">
        <v>40</v>
      </c>
      <c r="Q5" s="178"/>
      <c r="R5" s="120" t="s">
        <v>73</v>
      </c>
      <c r="S5" s="120" t="s">
        <v>31</v>
      </c>
      <c r="T5" s="315" t="s">
        <v>2808</v>
      </c>
      <c r="U5" s="178"/>
      <c r="V5" s="178"/>
      <c r="W5" s="178"/>
      <c r="X5" s="468"/>
      <c r="Y5" s="468" t="s">
        <v>58</v>
      </c>
      <c r="Z5" s="469">
        <f>SUMIF(N:N,"PROPOSTA ENVIADA",M:M)</f>
        <v>244442.72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>
      <c r="A6" s="12">
        <v>2.0</v>
      </c>
      <c r="B6" s="123" t="s">
        <v>1581</v>
      </c>
      <c r="C6" s="178"/>
      <c r="D6" s="123" t="s">
        <v>1582</v>
      </c>
      <c r="E6" s="470"/>
      <c r="F6" s="178"/>
      <c r="G6" s="123" t="s">
        <v>399</v>
      </c>
      <c r="H6" s="123" t="s">
        <v>1583</v>
      </c>
      <c r="I6" s="177">
        <v>46090.0</v>
      </c>
      <c r="J6" s="178"/>
      <c r="K6" s="179" t="s">
        <v>1268</v>
      </c>
      <c r="L6" s="471">
        <v>1.0</v>
      </c>
      <c r="M6" s="179">
        <v>14000.0</v>
      </c>
      <c r="N6" s="120" t="s">
        <v>28</v>
      </c>
      <c r="O6" s="185" t="s">
        <v>29</v>
      </c>
      <c r="P6" s="185" t="s">
        <v>40</v>
      </c>
      <c r="Q6" s="123"/>
      <c r="R6" s="185" t="s">
        <v>73</v>
      </c>
      <c r="S6" s="120" t="s">
        <v>129</v>
      </c>
      <c r="T6" s="188"/>
      <c r="U6" s="178"/>
      <c r="V6" s="178"/>
      <c r="W6" s="178"/>
      <c r="X6" s="472"/>
      <c r="Y6" s="472" t="s">
        <v>2809</v>
      </c>
      <c r="Z6" s="473">
        <f>Z1-Z3</f>
        <v>0</v>
      </c>
      <c r="AA6" s="474"/>
      <c r="AB6" s="348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>
      <c r="A7" s="12">
        <v>3.0</v>
      </c>
      <c r="B7" s="303" t="s">
        <v>1418</v>
      </c>
      <c r="C7" s="303" t="s">
        <v>1419</v>
      </c>
      <c r="D7" s="303" t="s">
        <v>1420</v>
      </c>
      <c r="E7" s="475" t="s">
        <v>1421</v>
      </c>
      <c r="F7" s="476" t="s">
        <v>1871</v>
      </c>
      <c r="G7" s="303">
        <v>5.0</v>
      </c>
      <c r="H7" s="303" t="s">
        <v>123</v>
      </c>
      <c r="I7" s="305">
        <v>46092.0</v>
      </c>
      <c r="J7" s="477"/>
      <c r="K7" s="128">
        <v>334.93</v>
      </c>
      <c r="L7" s="478">
        <v>12.0</v>
      </c>
      <c r="M7" s="132">
        <f t="shared" ref="M7:M13" si="1">K7*12</f>
        <v>4019.16</v>
      </c>
      <c r="N7" s="303" t="s">
        <v>58</v>
      </c>
      <c r="O7" s="303" t="s">
        <v>29</v>
      </c>
      <c r="P7" s="303" t="s">
        <v>40</v>
      </c>
      <c r="Q7" s="303"/>
      <c r="R7" s="303" t="s">
        <v>73</v>
      </c>
      <c r="S7" s="303" t="s">
        <v>31</v>
      </c>
      <c r="T7" s="323" t="s">
        <v>2810</v>
      </c>
      <c r="U7" s="146"/>
      <c r="V7" s="146"/>
      <c r="W7" s="146"/>
      <c r="X7" s="312"/>
      <c r="Y7" s="314"/>
      <c r="Z7" s="314"/>
      <c r="AA7" s="474"/>
      <c r="AB7" s="348"/>
      <c r="AC7" s="314"/>
      <c r="AD7" s="314"/>
      <c r="AE7" s="314"/>
      <c r="AF7" s="314"/>
      <c r="AG7" s="314"/>
      <c r="AH7" s="314"/>
      <c r="AI7" s="314"/>
      <c r="AJ7" s="314"/>
      <c r="AK7" s="314"/>
      <c r="AL7" s="314"/>
      <c r="AM7" s="314"/>
      <c r="AN7" s="314"/>
      <c r="AO7" s="314"/>
      <c r="AP7" s="314"/>
      <c r="AQ7" s="314"/>
      <c r="AR7" s="314"/>
      <c r="AS7" s="314"/>
      <c r="AT7" s="314"/>
      <c r="AU7" s="314"/>
      <c r="AV7" s="314"/>
      <c r="AW7" s="314"/>
    </row>
    <row r="8">
      <c r="A8" s="12">
        <v>4.0</v>
      </c>
      <c r="B8" s="106" t="s">
        <v>1771</v>
      </c>
      <c r="C8" s="106" t="s">
        <v>1772</v>
      </c>
      <c r="D8" s="106" t="s">
        <v>1773</v>
      </c>
      <c r="E8" s="166" t="s">
        <v>1774</v>
      </c>
      <c r="F8" s="106" t="s">
        <v>1775</v>
      </c>
      <c r="G8" s="106">
        <v>2.0</v>
      </c>
      <c r="H8" s="106" t="s">
        <v>123</v>
      </c>
      <c r="I8" s="108">
        <v>46093.0</v>
      </c>
      <c r="J8" s="108"/>
      <c r="K8" s="89">
        <v>145.0</v>
      </c>
      <c r="L8" s="467">
        <v>12.0</v>
      </c>
      <c r="M8" s="89">
        <f t="shared" si="1"/>
        <v>1740</v>
      </c>
      <c r="N8" s="106" t="s">
        <v>28</v>
      </c>
      <c r="O8" s="106" t="s">
        <v>29</v>
      </c>
      <c r="P8" s="106" t="s">
        <v>40</v>
      </c>
      <c r="Q8" s="106"/>
      <c r="R8" s="106" t="s">
        <v>233</v>
      </c>
      <c r="S8" s="106" t="s">
        <v>110</v>
      </c>
      <c r="T8" s="188"/>
      <c r="U8" s="178"/>
      <c r="V8" s="178"/>
      <c r="W8" s="178"/>
      <c r="X8" s="178"/>
      <c r="Y8" s="3"/>
      <c r="Z8" s="3"/>
      <c r="AA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>
      <c r="A9" s="12">
        <v>5.0</v>
      </c>
      <c r="B9" s="106" t="s">
        <v>1776</v>
      </c>
      <c r="C9" s="106" t="s">
        <v>1777</v>
      </c>
      <c r="D9" s="106" t="s">
        <v>1773</v>
      </c>
      <c r="E9" s="166" t="s">
        <v>1774</v>
      </c>
      <c r="F9" s="106" t="s">
        <v>1775</v>
      </c>
      <c r="G9" s="106">
        <v>2.0</v>
      </c>
      <c r="H9" s="106" t="s">
        <v>123</v>
      </c>
      <c r="I9" s="108">
        <v>46093.0</v>
      </c>
      <c r="J9" s="108"/>
      <c r="K9" s="89">
        <v>145.0</v>
      </c>
      <c r="L9" s="467">
        <v>12.0</v>
      </c>
      <c r="M9" s="89">
        <f t="shared" si="1"/>
        <v>1740</v>
      </c>
      <c r="N9" s="106" t="s">
        <v>28</v>
      </c>
      <c r="O9" s="106" t="s">
        <v>29</v>
      </c>
      <c r="P9" s="106" t="s">
        <v>40</v>
      </c>
      <c r="Q9" s="106"/>
      <c r="R9" s="106" t="s">
        <v>233</v>
      </c>
      <c r="S9" s="106" t="s">
        <v>110</v>
      </c>
      <c r="T9" s="188"/>
      <c r="U9" s="178"/>
      <c r="V9" s="178"/>
      <c r="W9" s="178"/>
      <c r="X9" s="178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>
      <c r="A10" s="12">
        <v>6.0</v>
      </c>
      <c r="B10" s="106" t="s">
        <v>1778</v>
      </c>
      <c r="C10" s="106" t="s">
        <v>1779</v>
      </c>
      <c r="D10" s="106" t="s">
        <v>1773</v>
      </c>
      <c r="E10" s="166" t="s">
        <v>1774</v>
      </c>
      <c r="F10" s="106" t="s">
        <v>1775</v>
      </c>
      <c r="G10" s="106">
        <v>7.0</v>
      </c>
      <c r="H10" s="106" t="s">
        <v>123</v>
      </c>
      <c r="I10" s="108">
        <v>46093.0</v>
      </c>
      <c r="J10" s="108"/>
      <c r="K10" s="89">
        <v>175.0</v>
      </c>
      <c r="L10" s="467">
        <v>12.0</v>
      </c>
      <c r="M10" s="89">
        <f t="shared" si="1"/>
        <v>2100</v>
      </c>
      <c r="N10" s="106" t="s">
        <v>28</v>
      </c>
      <c r="O10" s="106" t="s">
        <v>29</v>
      </c>
      <c r="P10" s="106" t="s">
        <v>40</v>
      </c>
      <c r="Q10" s="106"/>
      <c r="R10" s="106" t="s">
        <v>233</v>
      </c>
      <c r="S10" s="106" t="s">
        <v>110</v>
      </c>
      <c r="T10" s="188"/>
      <c r="U10" s="178"/>
      <c r="V10" s="178"/>
      <c r="W10" s="178"/>
      <c r="X10" s="178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>
      <c r="A11" s="12">
        <v>7.0</v>
      </c>
      <c r="B11" s="123" t="s">
        <v>1445</v>
      </c>
      <c r="C11" s="123" t="s">
        <v>1446</v>
      </c>
      <c r="D11" s="123" t="s">
        <v>1715</v>
      </c>
      <c r="E11" s="181" t="s">
        <v>1448</v>
      </c>
      <c r="F11" s="123" t="s">
        <v>1449</v>
      </c>
      <c r="G11" s="123">
        <v>21.0</v>
      </c>
      <c r="H11" s="123" t="s">
        <v>65</v>
      </c>
      <c r="I11" s="177">
        <v>46097.0</v>
      </c>
      <c r="J11" s="178"/>
      <c r="K11" s="179">
        <v>314.0</v>
      </c>
      <c r="L11" s="471">
        <v>12.0</v>
      </c>
      <c r="M11" s="180">
        <f t="shared" si="1"/>
        <v>3768</v>
      </c>
      <c r="N11" s="120" t="s">
        <v>58</v>
      </c>
      <c r="O11" s="106" t="s">
        <v>29</v>
      </c>
      <c r="P11" s="120" t="s">
        <v>40</v>
      </c>
      <c r="Q11" s="178"/>
      <c r="R11" s="120" t="s">
        <v>41</v>
      </c>
      <c r="S11" s="120" t="s">
        <v>148</v>
      </c>
      <c r="T11" s="188"/>
      <c r="U11" s="178"/>
      <c r="V11" s="178"/>
      <c r="W11" s="178"/>
      <c r="X11" s="178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>
      <c r="A12" s="12">
        <v>8.0</v>
      </c>
      <c r="B12" s="106" t="s">
        <v>1739</v>
      </c>
      <c r="C12" s="106" t="s">
        <v>1740</v>
      </c>
      <c r="D12" s="106" t="s">
        <v>1741</v>
      </c>
      <c r="E12" s="166" t="s">
        <v>1742</v>
      </c>
      <c r="F12" s="106" t="s">
        <v>1743</v>
      </c>
      <c r="G12" s="106">
        <v>229.0</v>
      </c>
      <c r="H12" s="106" t="s">
        <v>123</v>
      </c>
      <c r="I12" s="108">
        <v>46101.0</v>
      </c>
      <c r="J12" s="108"/>
      <c r="K12" s="89">
        <v>2150.75</v>
      </c>
      <c r="L12" s="467">
        <v>12.0</v>
      </c>
      <c r="M12" s="89">
        <f t="shared" si="1"/>
        <v>25809</v>
      </c>
      <c r="N12" s="86" t="s">
        <v>28</v>
      </c>
      <c r="O12" s="106" t="s">
        <v>29</v>
      </c>
      <c r="P12" s="106" t="s">
        <v>40</v>
      </c>
      <c r="Q12" s="106"/>
      <c r="R12" s="106" t="s">
        <v>233</v>
      </c>
      <c r="S12" s="106" t="s">
        <v>110</v>
      </c>
      <c r="T12" s="188"/>
      <c r="U12" s="178"/>
      <c r="V12" s="178"/>
      <c r="W12" s="178"/>
      <c r="X12" s="178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>
      <c r="A13" s="12">
        <v>9.0</v>
      </c>
      <c r="B13" s="106" t="s">
        <v>1811</v>
      </c>
      <c r="C13" s="106" t="s">
        <v>1812</v>
      </c>
      <c r="D13" s="106" t="s">
        <v>2811</v>
      </c>
      <c r="E13" s="166" t="s">
        <v>2812</v>
      </c>
      <c r="F13" s="173" t="s">
        <v>1815</v>
      </c>
      <c r="G13" s="106">
        <v>40.0</v>
      </c>
      <c r="H13" s="86" t="s">
        <v>123</v>
      </c>
      <c r="I13" s="108">
        <v>46105.0</v>
      </c>
      <c r="J13" s="108"/>
      <c r="K13" s="89">
        <v>420.0</v>
      </c>
      <c r="L13" s="467">
        <v>12.0</v>
      </c>
      <c r="M13" s="89">
        <f t="shared" si="1"/>
        <v>5040</v>
      </c>
      <c r="N13" s="106" t="s">
        <v>28</v>
      </c>
      <c r="O13" s="106" t="s">
        <v>29</v>
      </c>
      <c r="P13" s="106" t="s">
        <v>40</v>
      </c>
      <c r="Q13" s="106"/>
      <c r="R13" s="106" t="s">
        <v>73</v>
      </c>
      <c r="S13" s="106" t="s">
        <v>110</v>
      </c>
      <c r="T13" s="188"/>
      <c r="U13" s="178"/>
      <c r="V13" s="178"/>
      <c r="W13" s="178"/>
      <c r="X13" s="178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>
      <c r="A14" s="12">
        <v>10.0</v>
      </c>
      <c r="B14" s="123" t="s">
        <v>1611</v>
      </c>
      <c r="C14" s="120" t="s">
        <v>565</v>
      </c>
      <c r="D14" s="123" t="s">
        <v>1612</v>
      </c>
      <c r="E14" s="181" t="s">
        <v>1613</v>
      </c>
      <c r="F14" s="325" t="s">
        <v>2813</v>
      </c>
      <c r="G14" s="123" t="s">
        <v>26</v>
      </c>
      <c r="H14" s="123" t="s">
        <v>1615</v>
      </c>
      <c r="I14" s="177">
        <v>46106.0</v>
      </c>
      <c r="J14" s="178"/>
      <c r="K14" s="179" t="s">
        <v>57</v>
      </c>
      <c r="L14" s="471">
        <v>1.0</v>
      </c>
      <c r="M14" s="179">
        <v>9130.0</v>
      </c>
      <c r="N14" s="120" t="s">
        <v>28</v>
      </c>
      <c r="O14" s="185" t="s">
        <v>91</v>
      </c>
      <c r="P14" s="185" t="s">
        <v>40</v>
      </c>
      <c r="Q14" s="178"/>
      <c r="R14" s="185" t="s">
        <v>73</v>
      </c>
      <c r="S14" s="120" t="s">
        <v>148</v>
      </c>
      <c r="T14" s="188"/>
      <c r="U14" s="178"/>
      <c r="V14" s="178"/>
      <c r="W14" s="178"/>
      <c r="X14" s="178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>
      <c r="A15" s="12">
        <v>11.0</v>
      </c>
      <c r="B15" s="123" t="s">
        <v>1713</v>
      </c>
      <c r="C15" s="123" t="s">
        <v>1714</v>
      </c>
      <c r="D15" s="123" t="s">
        <v>1715</v>
      </c>
      <c r="E15" s="181" t="s">
        <v>1716</v>
      </c>
      <c r="F15" s="337" t="s">
        <v>1717</v>
      </c>
      <c r="G15" s="123" t="s">
        <v>26</v>
      </c>
      <c r="H15" s="123" t="s">
        <v>1718</v>
      </c>
      <c r="I15" s="298">
        <v>46111.0</v>
      </c>
      <c r="J15" s="81"/>
      <c r="K15" s="102" t="s">
        <v>57</v>
      </c>
      <c r="L15" s="479">
        <v>1.0</v>
      </c>
      <c r="M15" s="102">
        <v>800.0</v>
      </c>
      <c r="N15" s="112" t="s">
        <v>28</v>
      </c>
      <c r="O15" s="137" t="s">
        <v>29</v>
      </c>
      <c r="P15" s="185" t="s">
        <v>40</v>
      </c>
      <c r="Q15" s="81"/>
      <c r="R15" s="137" t="s">
        <v>41</v>
      </c>
      <c r="S15" s="112" t="s">
        <v>148</v>
      </c>
      <c r="T15" s="188"/>
      <c r="U15" s="178"/>
      <c r="V15" s="178"/>
      <c r="W15" s="178"/>
      <c r="X15" s="178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>
      <c r="A16" s="12">
        <v>12.0</v>
      </c>
      <c r="B16" s="103" t="s">
        <v>1924</v>
      </c>
      <c r="C16" s="103" t="s">
        <v>1925</v>
      </c>
      <c r="D16" s="185" t="s">
        <v>1926</v>
      </c>
      <c r="E16" s="182" t="s">
        <v>1927</v>
      </c>
      <c r="F16" s="185" t="s">
        <v>1928</v>
      </c>
      <c r="G16" s="185">
        <v>4.0</v>
      </c>
      <c r="H16" s="185" t="s">
        <v>65</v>
      </c>
      <c r="I16" s="174">
        <v>46112.0</v>
      </c>
      <c r="J16" s="104"/>
      <c r="K16" s="197">
        <v>157.0</v>
      </c>
      <c r="L16" s="480">
        <v>12.0</v>
      </c>
      <c r="M16" s="175">
        <f t="shared" ref="M16:M18" si="2">K16*12</f>
        <v>1884</v>
      </c>
      <c r="N16" s="185" t="s">
        <v>58</v>
      </c>
      <c r="O16" s="185" t="s">
        <v>29</v>
      </c>
      <c r="P16" s="185" t="s">
        <v>40</v>
      </c>
      <c r="Q16" s="104"/>
      <c r="R16" s="185" t="s">
        <v>73</v>
      </c>
      <c r="S16" s="185" t="s">
        <v>148</v>
      </c>
      <c r="T16" s="188"/>
      <c r="U16" s="178"/>
      <c r="V16" s="178"/>
      <c r="W16" s="178"/>
      <c r="X16" s="178"/>
      <c r="Y16" s="3"/>
      <c r="Z16" s="3"/>
      <c r="AA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>
      <c r="A17" s="12">
        <v>13.0</v>
      </c>
      <c r="B17" s="103" t="s">
        <v>1931</v>
      </c>
      <c r="C17" s="103" t="s">
        <v>1932</v>
      </c>
      <c r="D17" s="103" t="s">
        <v>1926</v>
      </c>
      <c r="E17" s="182" t="s">
        <v>1927</v>
      </c>
      <c r="F17" s="185" t="s">
        <v>1928</v>
      </c>
      <c r="G17" s="103">
        <v>23.0</v>
      </c>
      <c r="H17" s="103" t="s">
        <v>65</v>
      </c>
      <c r="I17" s="174">
        <v>46112.0</v>
      </c>
      <c r="J17" s="104"/>
      <c r="K17" s="197">
        <v>322.0</v>
      </c>
      <c r="L17" s="480">
        <v>12.0</v>
      </c>
      <c r="M17" s="175">
        <f t="shared" si="2"/>
        <v>3864</v>
      </c>
      <c r="N17" s="185" t="s">
        <v>58</v>
      </c>
      <c r="O17" s="185" t="s">
        <v>29</v>
      </c>
      <c r="P17" s="185" t="s">
        <v>40</v>
      </c>
      <c r="Q17" s="104"/>
      <c r="R17" s="185" t="s">
        <v>73</v>
      </c>
      <c r="S17" s="185" t="s">
        <v>148</v>
      </c>
      <c r="T17" s="188"/>
      <c r="U17" s="178"/>
      <c r="V17" s="178"/>
      <c r="W17" s="178"/>
      <c r="X17" s="178"/>
      <c r="Y17" s="3"/>
      <c r="Z17" s="3"/>
      <c r="AA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>
      <c r="A18" s="12">
        <v>14.0</v>
      </c>
      <c r="B18" s="103" t="s">
        <v>1933</v>
      </c>
      <c r="C18" s="103" t="s">
        <v>1934</v>
      </c>
      <c r="D18" s="103" t="s">
        <v>1926</v>
      </c>
      <c r="E18" s="182" t="s">
        <v>1927</v>
      </c>
      <c r="F18" s="185" t="s">
        <v>1928</v>
      </c>
      <c r="G18" s="103">
        <v>9.0</v>
      </c>
      <c r="H18" s="103" t="s">
        <v>65</v>
      </c>
      <c r="I18" s="174">
        <v>46112.0</v>
      </c>
      <c r="J18" s="104"/>
      <c r="K18" s="197">
        <v>187.0</v>
      </c>
      <c r="L18" s="480">
        <v>12.0</v>
      </c>
      <c r="M18" s="175">
        <f t="shared" si="2"/>
        <v>2244</v>
      </c>
      <c r="N18" s="185" t="s">
        <v>58</v>
      </c>
      <c r="O18" s="185" t="s">
        <v>29</v>
      </c>
      <c r="P18" s="185" t="s">
        <v>40</v>
      </c>
      <c r="Q18" s="104"/>
      <c r="R18" s="185" t="s">
        <v>73</v>
      </c>
      <c r="S18" s="185" t="s">
        <v>148</v>
      </c>
      <c r="T18" s="188"/>
      <c r="U18" s="178"/>
      <c r="V18" s="178"/>
      <c r="W18" s="178"/>
      <c r="X18" s="178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>
      <c r="A19" s="12">
        <v>15.0</v>
      </c>
      <c r="B19" s="123" t="s">
        <v>1935</v>
      </c>
      <c r="C19" s="123" t="s">
        <v>1936</v>
      </c>
      <c r="D19" s="123" t="s">
        <v>502</v>
      </c>
      <c r="E19" s="181" t="s">
        <v>1937</v>
      </c>
      <c r="F19" s="337" t="s">
        <v>1938</v>
      </c>
      <c r="G19" s="123" t="s">
        <v>26</v>
      </c>
      <c r="H19" s="123" t="s">
        <v>711</v>
      </c>
      <c r="I19" s="177">
        <v>46112.0</v>
      </c>
      <c r="J19" s="178"/>
      <c r="K19" s="179" t="s">
        <v>57</v>
      </c>
      <c r="L19" s="471">
        <v>1.0</v>
      </c>
      <c r="M19" s="179">
        <v>800.0</v>
      </c>
      <c r="N19" s="185" t="s">
        <v>58</v>
      </c>
      <c r="O19" s="185" t="s">
        <v>29</v>
      </c>
      <c r="P19" s="185" t="s">
        <v>40</v>
      </c>
      <c r="Q19" s="178"/>
      <c r="R19" s="185" t="s">
        <v>73</v>
      </c>
      <c r="S19" s="185" t="s">
        <v>148</v>
      </c>
      <c r="T19" s="188"/>
      <c r="U19" s="178"/>
      <c r="V19" s="178"/>
      <c r="W19" s="178"/>
      <c r="X19" s="178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>
      <c r="A20" s="12">
        <v>16.0</v>
      </c>
      <c r="B20" s="123" t="s">
        <v>1611</v>
      </c>
      <c r="C20" s="123" t="s">
        <v>565</v>
      </c>
      <c r="D20" s="123" t="s">
        <v>1612</v>
      </c>
      <c r="E20" s="181" t="s">
        <v>1939</v>
      </c>
      <c r="F20" s="337" t="s">
        <v>1940</v>
      </c>
      <c r="G20" s="123">
        <v>6.0</v>
      </c>
      <c r="H20" s="123" t="s">
        <v>1610</v>
      </c>
      <c r="I20" s="177">
        <v>46112.0</v>
      </c>
      <c r="J20" s="178"/>
      <c r="K20" s="179" t="s">
        <v>57</v>
      </c>
      <c r="L20" s="471">
        <v>1.0</v>
      </c>
      <c r="M20" s="179">
        <v>1800.0</v>
      </c>
      <c r="N20" s="185" t="s">
        <v>28</v>
      </c>
      <c r="O20" s="185" t="s">
        <v>29</v>
      </c>
      <c r="P20" s="185" t="s">
        <v>40</v>
      </c>
      <c r="Q20" s="178"/>
      <c r="R20" s="185" t="s">
        <v>73</v>
      </c>
      <c r="S20" s="185" t="s">
        <v>148</v>
      </c>
      <c r="T20" s="188"/>
      <c r="U20" s="178"/>
      <c r="V20" s="178"/>
      <c r="W20" s="178"/>
      <c r="X20" s="178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>
      <c r="A21" s="12">
        <v>17.0</v>
      </c>
      <c r="B21" s="182" t="s">
        <v>1968</v>
      </c>
      <c r="C21" s="182" t="s">
        <v>1969</v>
      </c>
      <c r="D21" s="185" t="s">
        <v>1970</v>
      </c>
      <c r="E21" s="182" t="s">
        <v>1971</v>
      </c>
      <c r="F21" s="196" t="s">
        <v>2814</v>
      </c>
      <c r="G21" s="185">
        <v>50.0</v>
      </c>
      <c r="H21" s="185" t="s">
        <v>65</v>
      </c>
      <c r="I21" s="174">
        <v>46114.0</v>
      </c>
      <c r="J21" s="104"/>
      <c r="K21" s="197">
        <v>665.0</v>
      </c>
      <c r="L21" s="480">
        <v>12.0</v>
      </c>
      <c r="M21" s="175">
        <f>K21*12</f>
        <v>7980</v>
      </c>
      <c r="N21" s="185" t="s">
        <v>58</v>
      </c>
      <c r="O21" s="185" t="s">
        <v>29</v>
      </c>
      <c r="P21" s="185" t="s">
        <v>40</v>
      </c>
      <c r="Q21" s="104"/>
      <c r="R21" s="185" t="s">
        <v>73</v>
      </c>
      <c r="S21" s="185" t="s">
        <v>148</v>
      </c>
      <c r="T21" s="188"/>
      <c r="U21" s="178"/>
      <c r="V21" s="178"/>
      <c r="W21" s="178"/>
      <c r="X21" s="178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>
      <c r="A22" s="12">
        <v>18.0</v>
      </c>
      <c r="B22" s="86" t="s">
        <v>2651</v>
      </c>
      <c r="C22" s="86" t="s">
        <v>2652</v>
      </c>
      <c r="D22" s="86" t="s">
        <v>2653</v>
      </c>
      <c r="E22" s="481" t="s">
        <v>2654</v>
      </c>
      <c r="F22" s="134" t="s">
        <v>2655</v>
      </c>
      <c r="G22" s="86">
        <v>1.0</v>
      </c>
      <c r="H22" s="146" t="s">
        <v>711</v>
      </c>
      <c r="I22" s="108">
        <v>46118.0</v>
      </c>
      <c r="J22" s="108"/>
      <c r="K22" s="89" t="s">
        <v>57</v>
      </c>
      <c r="L22" s="467">
        <v>1.0</v>
      </c>
      <c r="M22" s="89">
        <v>800.0</v>
      </c>
      <c r="N22" s="86" t="s">
        <v>58</v>
      </c>
      <c r="O22" s="86" t="s">
        <v>29</v>
      </c>
      <c r="P22" s="86" t="s">
        <v>40</v>
      </c>
      <c r="Q22" s="106"/>
      <c r="R22" s="86" t="s">
        <v>73</v>
      </c>
      <c r="S22" s="120" t="s">
        <v>148</v>
      </c>
      <c r="T22" s="188"/>
      <c r="U22" s="178"/>
      <c r="V22" s="178"/>
      <c r="W22" s="178"/>
      <c r="X22" s="178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>
      <c r="A23" s="12">
        <v>19.0</v>
      </c>
      <c r="B23" s="123" t="s">
        <v>2012</v>
      </c>
      <c r="C23" s="123" t="s">
        <v>2013</v>
      </c>
      <c r="D23" s="123" t="s">
        <v>2014</v>
      </c>
      <c r="E23" s="181" t="s">
        <v>2015</v>
      </c>
      <c r="F23" s="123" t="s">
        <v>2016</v>
      </c>
      <c r="G23" s="123">
        <v>1.0</v>
      </c>
      <c r="H23" s="123" t="s">
        <v>65</v>
      </c>
      <c r="I23" s="177">
        <v>46118.0</v>
      </c>
      <c r="J23" s="178"/>
      <c r="K23" s="179">
        <v>139.0</v>
      </c>
      <c r="L23" s="471">
        <v>12.0</v>
      </c>
      <c r="M23" s="180">
        <f t="shared" ref="M23:M32" si="3">K23*12</f>
        <v>1668</v>
      </c>
      <c r="N23" s="185" t="s">
        <v>58</v>
      </c>
      <c r="O23" s="185" t="s">
        <v>29</v>
      </c>
      <c r="P23" s="185" t="s">
        <v>40</v>
      </c>
      <c r="Q23" s="178"/>
      <c r="R23" s="185" t="s">
        <v>1979</v>
      </c>
      <c r="S23" s="185" t="s">
        <v>148</v>
      </c>
      <c r="T23" s="188"/>
      <c r="U23" s="178"/>
      <c r="V23" s="178"/>
      <c r="W23" s="178"/>
      <c r="X23" s="178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>
      <c r="A24" s="12">
        <v>20.0</v>
      </c>
      <c r="B24" s="146" t="s">
        <v>2095</v>
      </c>
      <c r="C24" s="123" t="s">
        <v>2096</v>
      </c>
      <c r="D24" s="123" t="s">
        <v>2097</v>
      </c>
      <c r="E24" s="181" t="s">
        <v>2098</v>
      </c>
      <c r="F24" s="326" t="s">
        <v>2815</v>
      </c>
      <c r="G24" s="123">
        <v>4.0</v>
      </c>
      <c r="H24" s="123" t="s">
        <v>2816</v>
      </c>
      <c r="I24" s="177">
        <v>46120.0</v>
      </c>
      <c r="J24" s="177">
        <v>46164.0</v>
      </c>
      <c r="K24" s="179">
        <v>163.0</v>
      </c>
      <c r="L24" s="471">
        <v>12.0</v>
      </c>
      <c r="M24" s="179">
        <f t="shared" si="3"/>
        <v>1956</v>
      </c>
      <c r="N24" s="185" t="s">
        <v>71</v>
      </c>
      <c r="O24" s="185" t="s">
        <v>91</v>
      </c>
      <c r="P24" s="185" t="s">
        <v>72</v>
      </c>
      <c r="Q24" s="146">
        <v>3024.0</v>
      </c>
      <c r="R24" s="185" t="s">
        <v>233</v>
      </c>
      <c r="S24" s="185" t="s">
        <v>129</v>
      </c>
      <c r="T24" s="188"/>
      <c r="U24" s="146" t="s">
        <v>1867</v>
      </c>
      <c r="V24" s="146" t="s">
        <v>1867</v>
      </c>
      <c r="W24" s="146" t="s">
        <v>1867</v>
      </c>
      <c r="X24" s="466" t="s">
        <v>2817</v>
      </c>
      <c r="Y24" s="3"/>
      <c r="Z24" s="3"/>
      <c r="AA24" s="3"/>
      <c r="AB24" s="3"/>
      <c r="AC24" s="482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>
      <c r="A25" s="12">
        <v>21.0</v>
      </c>
      <c r="B25" s="123" t="s">
        <v>2113</v>
      </c>
      <c r="C25" s="123" t="s">
        <v>2114</v>
      </c>
      <c r="D25" s="123" t="s">
        <v>2115</v>
      </c>
      <c r="E25" s="181" t="s">
        <v>2116</v>
      </c>
      <c r="F25" s="337" t="s">
        <v>2117</v>
      </c>
      <c r="G25" s="123">
        <v>10.0</v>
      </c>
      <c r="H25" s="123" t="s">
        <v>65</v>
      </c>
      <c r="I25" s="177">
        <v>46120.0</v>
      </c>
      <c r="J25" s="178"/>
      <c r="K25" s="179">
        <v>193.0</v>
      </c>
      <c r="L25" s="471">
        <v>12.0</v>
      </c>
      <c r="M25" s="180">
        <f t="shared" si="3"/>
        <v>2316</v>
      </c>
      <c r="N25" s="185" t="s">
        <v>58</v>
      </c>
      <c r="O25" s="185" t="s">
        <v>29</v>
      </c>
      <c r="P25" s="185" t="s">
        <v>40</v>
      </c>
      <c r="Q25" s="178"/>
      <c r="R25" s="185" t="s">
        <v>1979</v>
      </c>
      <c r="S25" s="185" t="s">
        <v>148</v>
      </c>
      <c r="T25" s="188"/>
      <c r="U25" s="178"/>
      <c r="V25" s="178"/>
      <c r="W25" s="178"/>
      <c r="X25" s="178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>
      <c r="A26" s="12">
        <v>22.0</v>
      </c>
      <c r="B26" s="146" t="s">
        <v>2119</v>
      </c>
      <c r="C26" s="123" t="s">
        <v>2120</v>
      </c>
      <c r="D26" s="123" t="s">
        <v>2121</v>
      </c>
      <c r="E26" s="181" t="s">
        <v>2122</v>
      </c>
      <c r="F26" s="337" t="s">
        <v>2123</v>
      </c>
      <c r="G26" s="123">
        <v>50.0</v>
      </c>
      <c r="H26" s="123" t="s">
        <v>65</v>
      </c>
      <c r="I26" s="177">
        <v>46120.0</v>
      </c>
      <c r="J26" s="178"/>
      <c r="K26" s="179">
        <v>750.0</v>
      </c>
      <c r="L26" s="471">
        <v>12.0</v>
      </c>
      <c r="M26" s="180">
        <f t="shared" si="3"/>
        <v>9000</v>
      </c>
      <c r="N26" s="185" t="s">
        <v>58</v>
      </c>
      <c r="O26" s="185" t="s">
        <v>29</v>
      </c>
      <c r="P26" s="185" t="s">
        <v>40</v>
      </c>
      <c r="Q26" s="178"/>
      <c r="R26" s="185" t="s">
        <v>1979</v>
      </c>
      <c r="S26" s="185" t="s">
        <v>148</v>
      </c>
      <c r="T26" s="188"/>
      <c r="U26" s="178"/>
      <c r="V26" s="178"/>
      <c r="W26" s="178"/>
      <c r="X26" s="178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>
      <c r="A27" s="12">
        <v>23.0</v>
      </c>
      <c r="B27" s="123" t="s">
        <v>2138</v>
      </c>
      <c r="C27" s="483" t="s">
        <v>2139</v>
      </c>
      <c r="D27" s="123" t="s">
        <v>2140</v>
      </c>
      <c r="E27" s="181" t="s">
        <v>2141</v>
      </c>
      <c r="F27" s="123" t="s">
        <v>2142</v>
      </c>
      <c r="G27" s="123">
        <v>74.0</v>
      </c>
      <c r="H27" s="123" t="s">
        <v>65</v>
      </c>
      <c r="I27" s="177">
        <v>46120.0</v>
      </c>
      <c r="J27" s="178"/>
      <c r="K27" s="179">
        <v>917.39</v>
      </c>
      <c r="L27" s="471">
        <v>12.0</v>
      </c>
      <c r="M27" s="180">
        <f t="shared" si="3"/>
        <v>11008.68</v>
      </c>
      <c r="N27" s="185" t="s">
        <v>58</v>
      </c>
      <c r="O27" s="185" t="s">
        <v>29</v>
      </c>
      <c r="P27" s="185" t="s">
        <v>40</v>
      </c>
      <c r="Q27" s="178"/>
      <c r="R27" s="185" t="s">
        <v>73</v>
      </c>
      <c r="S27" s="185" t="s">
        <v>31</v>
      </c>
      <c r="T27" s="315" t="s">
        <v>2818</v>
      </c>
      <c r="U27" s="178"/>
      <c r="V27" s="178"/>
      <c r="W27" s="178"/>
      <c r="X27" s="178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>
      <c r="A28" s="12">
        <v>24.0</v>
      </c>
      <c r="B28" s="106" t="s">
        <v>2074</v>
      </c>
      <c r="C28" s="106" t="s">
        <v>2075</v>
      </c>
      <c r="D28" s="106" t="s">
        <v>2819</v>
      </c>
      <c r="E28" s="166" t="s">
        <v>2077</v>
      </c>
      <c r="F28" s="106" t="s">
        <v>2078</v>
      </c>
      <c r="G28" s="106">
        <v>2.0</v>
      </c>
      <c r="H28" s="106" t="s">
        <v>123</v>
      </c>
      <c r="I28" s="108">
        <v>46121.0</v>
      </c>
      <c r="J28" s="108"/>
      <c r="K28" s="89">
        <v>145.0</v>
      </c>
      <c r="L28" s="467">
        <v>12.0</v>
      </c>
      <c r="M28" s="89">
        <f t="shared" si="3"/>
        <v>1740</v>
      </c>
      <c r="N28" s="106" t="s">
        <v>58</v>
      </c>
      <c r="O28" s="106" t="s">
        <v>29</v>
      </c>
      <c r="P28" s="106" t="s">
        <v>40</v>
      </c>
      <c r="Q28" s="106"/>
      <c r="R28" s="106" t="s">
        <v>233</v>
      </c>
      <c r="S28" s="106" t="s">
        <v>110</v>
      </c>
      <c r="T28" s="188"/>
      <c r="U28" s="178"/>
      <c r="V28" s="178"/>
      <c r="W28" s="178"/>
      <c r="X28" s="178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>
      <c r="A29" s="12">
        <v>25.0</v>
      </c>
      <c r="B29" s="106" t="s">
        <v>2080</v>
      </c>
      <c r="C29" s="106" t="s">
        <v>2081</v>
      </c>
      <c r="D29" s="106" t="s">
        <v>2819</v>
      </c>
      <c r="E29" s="166" t="s">
        <v>2077</v>
      </c>
      <c r="F29" s="106" t="s">
        <v>2078</v>
      </c>
      <c r="G29" s="106">
        <v>1.0</v>
      </c>
      <c r="H29" s="106" t="s">
        <v>123</v>
      </c>
      <c r="I29" s="108">
        <v>46121.0</v>
      </c>
      <c r="J29" s="108"/>
      <c r="K29" s="89">
        <v>139.0</v>
      </c>
      <c r="L29" s="467">
        <v>12.0</v>
      </c>
      <c r="M29" s="89">
        <f t="shared" si="3"/>
        <v>1668</v>
      </c>
      <c r="N29" s="106" t="s">
        <v>58</v>
      </c>
      <c r="O29" s="106" t="s">
        <v>29</v>
      </c>
      <c r="P29" s="106" t="s">
        <v>40</v>
      </c>
      <c r="Q29" s="106"/>
      <c r="R29" s="106" t="s">
        <v>233</v>
      </c>
      <c r="S29" s="106" t="s">
        <v>110</v>
      </c>
      <c r="T29" s="188"/>
      <c r="U29" s="178"/>
      <c r="V29" s="178"/>
      <c r="W29" s="178"/>
      <c r="X29" s="178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>
      <c r="A30" s="12">
        <v>26.0</v>
      </c>
      <c r="B30" s="106" t="s">
        <v>2082</v>
      </c>
      <c r="C30" s="106" t="s">
        <v>2083</v>
      </c>
      <c r="D30" s="106" t="s">
        <v>2819</v>
      </c>
      <c r="E30" s="166" t="s">
        <v>2077</v>
      </c>
      <c r="F30" s="106" t="s">
        <v>2078</v>
      </c>
      <c r="G30" s="106">
        <v>10.0</v>
      </c>
      <c r="H30" s="106" t="s">
        <v>123</v>
      </c>
      <c r="I30" s="108">
        <v>46121.0</v>
      </c>
      <c r="J30" s="108"/>
      <c r="K30" s="89">
        <v>193.0</v>
      </c>
      <c r="L30" s="467">
        <v>12.0</v>
      </c>
      <c r="M30" s="89">
        <f t="shared" si="3"/>
        <v>2316</v>
      </c>
      <c r="N30" s="106" t="s">
        <v>58</v>
      </c>
      <c r="O30" s="106" t="s">
        <v>29</v>
      </c>
      <c r="P30" s="106" t="s">
        <v>40</v>
      </c>
      <c r="Q30" s="106"/>
      <c r="R30" s="106" t="s">
        <v>233</v>
      </c>
      <c r="S30" s="106" t="s">
        <v>110</v>
      </c>
      <c r="T30" s="188"/>
      <c r="U30" s="178"/>
      <c r="V30" s="178"/>
      <c r="W30" s="178"/>
      <c r="X30" s="178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>
      <c r="A31" s="12">
        <v>27.0</v>
      </c>
      <c r="B31" s="123" t="s">
        <v>2221</v>
      </c>
      <c r="C31" s="212" t="s">
        <v>2222</v>
      </c>
      <c r="D31" s="123" t="s">
        <v>2223</v>
      </c>
      <c r="E31" s="181" t="s">
        <v>2224</v>
      </c>
      <c r="F31" s="123" t="s">
        <v>2225</v>
      </c>
      <c r="G31" s="123">
        <v>4.0</v>
      </c>
      <c r="H31" s="123" t="s">
        <v>2816</v>
      </c>
      <c r="I31" s="174">
        <v>46122.0</v>
      </c>
      <c r="J31" s="177">
        <v>46153.0</v>
      </c>
      <c r="K31" s="197">
        <v>160.03</v>
      </c>
      <c r="L31" s="480">
        <v>12.0</v>
      </c>
      <c r="M31" s="175">
        <f t="shared" si="3"/>
        <v>1920.36</v>
      </c>
      <c r="N31" s="137" t="s">
        <v>71</v>
      </c>
      <c r="O31" s="137" t="s">
        <v>29</v>
      </c>
      <c r="P31" s="346" t="s">
        <v>72</v>
      </c>
      <c r="Q31" s="146">
        <v>2938.0</v>
      </c>
      <c r="R31" s="400" t="s">
        <v>41</v>
      </c>
      <c r="S31" s="185" t="s">
        <v>31</v>
      </c>
      <c r="T31" s="188"/>
      <c r="U31" s="123" t="s">
        <v>1867</v>
      </c>
      <c r="V31" s="123" t="s">
        <v>1867</v>
      </c>
      <c r="W31" s="123" t="s">
        <v>1867</v>
      </c>
      <c r="X31" s="123" t="s">
        <v>2820</v>
      </c>
      <c r="Y31" s="3"/>
      <c r="Z31" s="484"/>
      <c r="AA31" s="485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>
      <c r="A32" s="12">
        <v>28.0</v>
      </c>
      <c r="B32" s="123" t="s">
        <v>2226</v>
      </c>
      <c r="C32" s="123" t="s">
        <v>2227</v>
      </c>
      <c r="D32" s="123" t="s">
        <v>2223</v>
      </c>
      <c r="E32" s="181" t="s">
        <v>2224</v>
      </c>
      <c r="F32" s="123" t="s">
        <v>2225</v>
      </c>
      <c r="G32" s="123">
        <v>5.0</v>
      </c>
      <c r="H32" s="123" t="s">
        <v>2816</v>
      </c>
      <c r="I32" s="174">
        <v>46122.0</v>
      </c>
      <c r="J32" s="177">
        <v>46153.0</v>
      </c>
      <c r="K32" s="197">
        <v>165.05</v>
      </c>
      <c r="L32" s="480">
        <v>12.0</v>
      </c>
      <c r="M32" s="175">
        <f t="shared" si="3"/>
        <v>1980.6</v>
      </c>
      <c r="N32" s="137" t="s">
        <v>71</v>
      </c>
      <c r="O32" s="137" t="s">
        <v>29</v>
      </c>
      <c r="P32" s="346" t="s">
        <v>72</v>
      </c>
      <c r="Q32" s="146">
        <v>2937.0</v>
      </c>
      <c r="R32" s="400" t="s">
        <v>41</v>
      </c>
      <c r="S32" s="185" t="s">
        <v>31</v>
      </c>
      <c r="T32" s="188"/>
      <c r="U32" s="123" t="s">
        <v>1867</v>
      </c>
      <c r="V32" s="123" t="s">
        <v>1867</v>
      </c>
      <c r="W32" s="123" t="s">
        <v>1867</v>
      </c>
      <c r="X32" s="123" t="s">
        <v>2820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>
      <c r="A33" s="12">
        <v>29.0</v>
      </c>
      <c r="B33" s="486" t="s">
        <v>2234</v>
      </c>
      <c r="C33" s="106" t="s">
        <v>2235</v>
      </c>
      <c r="D33" s="106" t="s">
        <v>2236</v>
      </c>
      <c r="E33" s="166" t="s">
        <v>2237</v>
      </c>
      <c r="F33" s="106" t="s">
        <v>2238</v>
      </c>
      <c r="G33" s="106">
        <v>65.0</v>
      </c>
      <c r="H33" s="146" t="s">
        <v>711</v>
      </c>
      <c r="I33" s="177">
        <v>46125.0</v>
      </c>
      <c r="J33" s="178"/>
      <c r="K33" s="179" t="s">
        <v>57</v>
      </c>
      <c r="L33" s="471">
        <v>1.0</v>
      </c>
      <c r="M33" s="179">
        <v>2800.0</v>
      </c>
      <c r="N33" s="185" t="s">
        <v>58</v>
      </c>
      <c r="O33" s="185" t="s">
        <v>91</v>
      </c>
      <c r="P33" s="185" t="s">
        <v>40</v>
      </c>
      <c r="Q33" s="178"/>
      <c r="R33" s="185" t="s">
        <v>233</v>
      </c>
      <c r="S33" s="185" t="s">
        <v>129</v>
      </c>
      <c r="T33" s="188"/>
      <c r="U33" s="178"/>
      <c r="V33" s="178"/>
      <c r="W33" s="178"/>
      <c r="X33" s="178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>
      <c r="A34" s="12">
        <v>30.0</v>
      </c>
      <c r="B34" s="123" t="s">
        <v>2240</v>
      </c>
      <c r="C34" s="123" t="s">
        <v>2241</v>
      </c>
      <c r="D34" s="123" t="s">
        <v>2242</v>
      </c>
      <c r="E34" s="181" t="s">
        <v>2243</v>
      </c>
      <c r="F34" s="123" t="s">
        <v>2244</v>
      </c>
      <c r="G34" s="123" t="s">
        <v>26</v>
      </c>
      <c r="H34" s="123" t="s">
        <v>711</v>
      </c>
      <c r="I34" s="177">
        <v>46125.0</v>
      </c>
      <c r="J34" s="178"/>
      <c r="K34" s="125">
        <v>1000.0</v>
      </c>
      <c r="L34" s="467">
        <v>1.0</v>
      </c>
      <c r="M34" s="89">
        <f>K34*1</f>
        <v>1000</v>
      </c>
      <c r="N34" s="185" t="s">
        <v>58</v>
      </c>
      <c r="O34" s="185" t="s">
        <v>29</v>
      </c>
      <c r="P34" s="185" t="s">
        <v>40</v>
      </c>
      <c r="Q34" s="178"/>
      <c r="R34" s="185" t="s">
        <v>73</v>
      </c>
      <c r="S34" s="185" t="s">
        <v>31</v>
      </c>
      <c r="T34" s="315" t="s">
        <v>2821</v>
      </c>
      <c r="U34" s="178"/>
      <c r="V34" s="178"/>
      <c r="W34" s="178"/>
      <c r="X34" s="178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>
      <c r="A35" s="12">
        <v>31.0</v>
      </c>
      <c r="B35" s="106" t="s">
        <v>2184</v>
      </c>
      <c r="C35" s="106" t="s">
        <v>2185</v>
      </c>
      <c r="D35" s="106" t="s">
        <v>2186</v>
      </c>
      <c r="E35" s="166" t="s">
        <v>2187</v>
      </c>
      <c r="F35" s="173" t="s">
        <v>2188</v>
      </c>
      <c r="G35" s="106">
        <v>4.0</v>
      </c>
      <c r="H35" s="106" t="s">
        <v>123</v>
      </c>
      <c r="I35" s="108">
        <v>46125.0</v>
      </c>
      <c r="J35" s="108"/>
      <c r="K35" s="89">
        <v>157.0</v>
      </c>
      <c r="L35" s="467">
        <v>12.0</v>
      </c>
      <c r="M35" s="89">
        <f>K35*12</f>
        <v>1884</v>
      </c>
      <c r="N35" s="106" t="s">
        <v>28</v>
      </c>
      <c r="O35" s="106" t="s">
        <v>29</v>
      </c>
      <c r="P35" s="106" t="s">
        <v>40</v>
      </c>
      <c r="Q35" s="106"/>
      <c r="R35" s="106" t="s">
        <v>233</v>
      </c>
      <c r="S35" s="106" t="s">
        <v>110</v>
      </c>
      <c r="T35" s="188"/>
      <c r="U35" s="178"/>
      <c r="V35" s="178"/>
      <c r="W35" s="178"/>
      <c r="X35" s="178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>
      <c r="A36" s="12">
        <v>32.0</v>
      </c>
      <c r="B36" s="182" t="s">
        <v>2301</v>
      </c>
      <c r="C36" s="123" t="s">
        <v>2302</v>
      </c>
      <c r="D36" s="123" t="s">
        <v>2303</v>
      </c>
      <c r="E36" s="181">
        <v>1.132312955E9</v>
      </c>
      <c r="F36" s="123" t="s">
        <v>2304</v>
      </c>
      <c r="G36" s="123">
        <v>3.0</v>
      </c>
      <c r="H36" s="123" t="s">
        <v>711</v>
      </c>
      <c r="I36" s="177">
        <v>46126.0</v>
      </c>
      <c r="J36" s="178"/>
      <c r="K36" s="179" t="s">
        <v>57</v>
      </c>
      <c r="L36" s="471">
        <v>1.0</v>
      </c>
      <c r="M36" s="179">
        <v>600.0</v>
      </c>
      <c r="N36" s="185" t="s">
        <v>28</v>
      </c>
      <c r="O36" s="185" t="s">
        <v>91</v>
      </c>
      <c r="P36" s="185" t="s">
        <v>40</v>
      </c>
      <c r="Q36" s="178"/>
      <c r="R36" s="185" t="s">
        <v>41</v>
      </c>
      <c r="S36" s="185" t="s">
        <v>129</v>
      </c>
      <c r="T36" s="188"/>
      <c r="U36" s="178"/>
      <c r="V36" s="178"/>
      <c r="W36" s="178"/>
      <c r="X36" s="178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>
      <c r="A37" s="12">
        <v>33.0</v>
      </c>
      <c r="B37" s="182" t="s">
        <v>2305</v>
      </c>
      <c r="C37" s="123" t="s">
        <v>2306</v>
      </c>
      <c r="D37" s="123" t="s">
        <v>2303</v>
      </c>
      <c r="E37" s="181">
        <v>1.132312955E9</v>
      </c>
      <c r="F37" s="123" t="s">
        <v>2304</v>
      </c>
      <c r="G37" s="123">
        <v>8.0</v>
      </c>
      <c r="H37" s="123" t="s">
        <v>711</v>
      </c>
      <c r="I37" s="177">
        <v>46126.0</v>
      </c>
      <c r="J37" s="178"/>
      <c r="K37" s="179" t="s">
        <v>57</v>
      </c>
      <c r="L37" s="471">
        <v>1.0</v>
      </c>
      <c r="M37" s="179">
        <v>800.0</v>
      </c>
      <c r="N37" s="185" t="s">
        <v>28</v>
      </c>
      <c r="O37" s="185" t="s">
        <v>91</v>
      </c>
      <c r="P37" s="185" t="s">
        <v>40</v>
      </c>
      <c r="Q37" s="178"/>
      <c r="R37" s="185" t="s">
        <v>41</v>
      </c>
      <c r="S37" s="185" t="s">
        <v>129</v>
      </c>
      <c r="T37" s="188"/>
      <c r="U37" s="178"/>
      <c r="V37" s="178"/>
      <c r="W37" s="178"/>
      <c r="X37" s="178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>
      <c r="A38" s="12">
        <v>34.0</v>
      </c>
      <c r="B38" s="103" t="s">
        <v>2340</v>
      </c>
      <c r="C38" s="103" t="s">
        <v>2341</v>
      </c>
      <c r="D38" s="103" t="s">
        <v>2342</v>
      </c>
      <c r="E38" s="182" t="s">
        <v>2343</v>
      </c>
      <c r="F38" s="196" t="s">
        <v>2822</v>
      </c>
      <c r="G38" s="103" t="s">
        <v>26</v>
      </c>
      <c r="H38" s="103" t="s">
        <v>711</v>
      </c>
      <c r="I38" s="174">
        <v>46127.0</v>
      </c>
      <c r="J38" s="104"/>
      <c r="K38" s="197" t="s">
        <v>57</v>
      </c>
      <c r="L38" s="480">
        <v>1.0</v>
      </c>
      <c r="M38" s="197">
        <v>1000.0</v>
      </c>
      <c r="N38" s="137" t="s">
        <v>58</v>
      </c>
      <c r="O38" s="137" t="s">
        <v>91</v>
      </c>
      <c r="P38" s="137" t="s">
        <v>40</v>
      </c>
      <c r="Q38" s="104"/>
      <c r="R38" s="137" t="s">
        <v>1979</v>
      </c>
      <c r="S38" s="137" t="s">
        <v>148</v>
      </c>
      <c r="T38" s="188"/>
      <c r="U38" s="178"/>
      <c r="V38" s="178"/>
      <c r="W38" s="178"/>
      <c r="X38" s="178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>
      <c r="A39" s="12">
        <v>35.0</v>
      </c>
      <c r="B39" s="487" t="s">
        <v>2435</v>
      </c>
      <c r="C39" s="488" t="s">
        <v>640</v>
      </c>
      <c r="D39" s="97" t="s">
        <v>2436</v>
      </c>
      <c r="E39" s="489" t="s">
        <v>2437</v>
      </c>
      <c r="F39" s="413" t="s">
        <v>2438</v>
      </c>
      <c r="G39" s="97" t="s">
        <v>26</v>
      </c>
      <c r="H39" s="97" t="s">
        <v>2439</v>
      </c>
      <c r="I39" s="298">
        <v>46132.0</v>
      </c>
      <c r="J39" s="81"/>
      <c r="K39" s="102" t="s">
        <v>57</v>
      </c>
      <c r="L39" s="479">
        <v>1.0</v>
      </c>
      <c r="M39" s="102">
        <v>2500.0</v>
      </c>
      <c r="N39" s="112" t="s">
        <v>58</v>
      </c>
      <c r="O39" s="112" t="s">
        <v>91</v>
      </c>
      <c r="P39" s="112" t="s">
        <v>40</v>
      </c>
      <c r="Q39" s="81"/>
      <c r="R39" s="112" t="s">
        <v>73</v>
      </c>
      <c r="S39" s="112" t="s">
        <v>148</v>
      </c>
      <c r="T39" s="188"/>
      <c r="U39" s="178"/>
      <c r="V39" s="178"/>
      <c r="W39" s="178"/>
      <c r="X39" s="178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>
      <c r="A40" s="12">
        <v>36.0</v>
      </c>
      <c r="B40" s="487" t="s">
        <v>2448</v>
      </c>
      <c r="C40" s="487" t="s">
        <v>2449</v>
      </c>
      <c r="D40" s="97" t="s">
        <v>2450</v>
      </c>
      <c r="E40" s="181" t="s">
        <v>2451</v>
      </c>
      <c r="F40" s="413" t="s">
        <v>2452</v>
      </c>
      <c r="G40" s="97">
        <v>9.0</v>
      </c>
      <c r="H40" s="97" t="s">
        <v>39</v>
      </c>
      <c r="I40" s="298">
        <v>46132.0</v>
      </c>
      <c r="J40" s="81"/>
      <c r="K40" s="102">
        <v>187.0</v>
      </c>
      <c r="L40" s="479">
        <v>12.0</v>
      </c>
      <c r="M40" s="111">
        <f t="shared" ref="M40:M42" si="4">K40*12</f>
        <v>2244</v>
      </c>
      <c r="N40" s="400" t="s">
        <v>58</v>
      </c>
      <c r="O40" s="400" t="s">
        <v>29</v>
      </c>
      <c r="P40" s="137" t="s">
        <v>40</v>
      </c>
      <c r="Q40" s="81"/>
      <c r="R40" s="400" t="s">
        <v>73</v>
      </c>
      <c r="S40" s="400" t="s">
        <v>148</v>
      </c>
      <c r="T40" s="188"/>
      <c r="U40" s="178"/>
      <c r="V40" s="178"/>
      <c r="W40" s="178"/>
      <c r="X40" s="178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>
      <c r="A41" s="12">
        <v>37.0</v>
      </c>
      <c r="B41" s="123" t="s">
        <v>2453</v>
      </c>
      <c r="C41" s="123" t="s">
        <v>2454</v>
      </c>
      <c r="D41" s="123" t="s">
        <v>2455</v>
      </c>
      <c r="E41" s="181" t="s">
        <v>2456</v>
      </c>
      <c r="F41" s="123" t="s">
        <v>2457</v>
      </c>
      <c r="G41" s="123">
        <v>15.0</v>
      </c>
      <c r="H41" s="97" t="s">
        <v>65</v>
      </c>
      <c r="I41" s="298">
        <v>46132.0</v>
      </c>
      <c r="J41" s="178"/>
      <c r="K41" s="102">
        <v>252.0</v>
      </c>
      <c r="L41" s="471">
        <v>12.0</v>
      </c>
      <c r="M41" s="111">
        <f t="shared" si="4"/>
        <v>3024</v>
      </c>
      <c r="N41" s="185" t="s">
        <v>58</v>
      </c>
      <c r="O41" s="185" t="s">
        <v>29</v>
      </c>
      <c r="P41" s="185" t="s">
        <v>40</v>
      </c>
      <c r="Q41" s="178"/>
      <c r="R41" s="185" t="s">
        <v>73</v>
      </c>
      <c r="S41" s="185" t="s">
        <v>31</v>
      </c>
      <c r="T41" s="315" t="s">
        <v>2821</v>
      </c>
      <c r="U41" s="178"/>
      <c r="V41" s="178"/>
      <c r="W41" s="178"/>
      <c r="X41" s="178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>
      <c r="A42" s="12">
        <v>38.0</v>
      </c>
      <c r="B42" s="182" t="s">
        <v>2458</v>
      </c>
      <c r="C42" s="182" t="s">
        <v>2459</v>
      </c>
      <c r="D42" s="103" t="s">
        <v>2460</v>
      </c>
      <c r="E42" s="182" t="s">
        <v>2461</v>
      </c>
      <c r="F42" s="103" t="s">
        <v>2462</v>
      </c>
      <c r="G42" s="103">
        <v>5.0</v>
      </c>
      <c r="H42" s="103" t="s">
        <v>39</v>
      </c>
      <c r="I42" s="174">
        <v>46132.0</v>
      </c>
      <c r="J42" s="104"/>
      <c r="K42" s="197">
        <v>163.0</v>
      </c>
      <c r="L42" s="480">
        <v>12.0</v>
      </c>
      <c r="M42" s="175">
        <f t="shared" si="4"/>
        <v>1956</v>
      </c>
      <c r="N42" s="137" t="s">
        <v>58</v>
      </c>
      <c r="O42" s="137" t="s">
        <v>29</v>
      </c>
      <c r="P42" s="346" t="s">
        <v>40</v>
      </c>
      <c r="Q42" s="104"/>
      <c r="R42" s="137" t="s">
        <v>98</v>
      </c>
      <c r="S42" s="185" t="s">
        <v>148</v>
      </c>
      <c r="T42" s="188"/>
      <c r="U42" s="178"/>
      <c r="V42" s="178"/>
      <c r="W42" s="178"/>
      <c r="X42" s="178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>
      <c r="A43" s="12">
        <v>39.0</v>
      </c>
      <c r="B43" s="123" t="s">
        <v>2468</v>
      </c>
      <c r="C43" s="365" t="s">
        <v>2469</v>
      </c>
      <c r="D43" s="212" t="s">
        <v>2470</v>
      </c>
      <c r="E43" s="182" t="s">
        <v>2471</v>
      </c>
      <c r="F43" s="212" t="s">
        <v>2472</v>
      </c>
      <c r="G43" s="123" t="s">
        <v>26</v>
      </c>
      <c r="H43" s="123" t="s">
        <v>711</v>
      </c>
      <c r="I43" s="174">
        <v>46132.0</v>
      </c>
      <c r="J43" s="177">
        <v>46150.0</v>
      </c>
      <c r="K43" s="179" t="s">
        <v>57</v>
      </c>
      <c r="L43" s="479">
        <v>1.0</v>
      </c>
      <c r="M43" s="197">
        <v>950.0</v>
      </c>
      <c r="N43" s="137" t="s">
        <v>71</v>
      </c>
      <c r="O43" s="137" t="s">
        <v>91</v>
      </c>
      <c r="P43" s="346" t="s">
        <v>72</v>
      </c>
      <c r="Q43" s="146">
        <v>2932.0</v>
      </c>
      <c r="R43" s="400" t="s">
        <v>233</v>
      </c>
      <c r="S43" s="185" t="s">
        <v>31</v>
      </c>
      <c r="T43" s="188"/>
      <c r="U43" s="123" t="s">
        <v>1867</v>
      </c>
      <c r="V43" s="123" t="s">
        <v>1867</v>
      </c>
      <c r="W43" s="123" t="s">
        <v>1867</v>
      </c>
      <c r="X43" s="123" t="s">
        <v>2823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>
      <c r="A44" s="12">
        <v>40.0</v>
      </c>
      <c r="B44" s="123" t="s">
        <v>2547</v>
      </c>
      <c r="C44" s="212" t="s">
        <v>2548</v>
      </c>
      <c r="D44" s="212" t="s">
        <v>2549</v>
      </c>
      <c r="E44" s="181" t="s">
        <v>2550</v>
      </c>
      <c r="F44" s="212" t="s">
        <v>2551</v>
      </c>
      <c r="G44" s="123">
        <v>2.0</v>
      </c>
      <c r="H44" s="103" t="s">
        <v>65</v>
      </c>
      <c r="I44" s="177">
        <v>46136.0</v>
      </c>
      <c r="J44" s="178"/>
      <c r="K44" s="197">
        <v>145.0</v>
      </c>
      <c r="L44" s="471">
        <v>12.0</v>
      </c>
      <c r="M44" s="179">
        <f t="shared" ref="M44:M51" si="5">K44*12</f>
        <v>1740</v>
      </c>
      <c r="N44" s="346" t="s">
        <v>58</v>
      </c>
      <c r="O44" s="185" t="s">
        <v>29</v>
      </c>
      <c r="P44" s="185" t="s">
        <v>40</v>
      </c>
      <c r="Q44" s="178"/>
      <c r="R44" s="185" t="s">
        <v>73</v>
      </c>
      <c r="S44" s="106" t="s">
        <v>31</v>
      </c>
      <c r="T44" s="315" t="s">
        <v>2821</v>
      </c>
      <c r="U44" s="178"/>
      <c r="V44" s="178"/>
      <c r="W44" s="178"/>
      <c r="X44" s="178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>
      <c r="A45" s="12">
        <v>41.0</v>
      </c>
      <c r="B45" s="106" t="s">
        <v>2190</v>
      </c>
      <c r="C45" s="106" t="s">
        <v>2191</v>
      </c>
      <c r="D45" s="106" t="s">
        <v>2186</v>
      </c>
      <c r="E45" s="166" t="s">
        <v>2187</v>
      </c>
      <c r="F45" s="173" t="s">
        <v>2188</v>
      </c>
      <c r="G45" s="106">
        <v>3.0</v>
      </c>
      <c r="H45" s="106" t="s">
        <v>123</v>
      </c>
      <c r="I45" s="108">
        <v>46125.0</v>
      </c>
      <c r="J45" s="108"/>
      <c r="K45" s="89">
        <v>151.0</v>
      </c>
      <c r="L45" s="467">
        <v>12.0</v>
      </c>
      <c r="M45" s="89">
        <f t="shared" si="5"/>
        <v>1812</v>
      </c>
      <c r="N45" s="106" t="s">
        <v>28</v>
      </c>
      <c r="O45" s="106" t="s">
        <v>29</v>
      </c>
      <c r="P45" s="106" t="s">
        <v>40</v>
      </c>
      <c r="Q45" s="106"/>
      <c r="R45" s="106" t="s">
        <v>233</v>
      </c>
      <c r="S45" s="106" t="s">
        <v>110</v>
      </c>
      <c r="T45" s="188"/>
      <c r="U45" s="178"/>
      <c r="V45" s="178"/>
      <c r="W45" s="178"/>
      <c r="X45" s="178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>
      <c r="A46" s="12">
        <v>42.0</v>
      </c>
      <c r="B46" s="106" t="s">
        <v>2192</v>
      </c>
      <c r="C46" s="106" t="s">
        <v>2193</v>
      </c>
      <c r="D46" s="106" t="s">
        <v>2186</v>
      </c>
      <c r="E46" s="166" t="s">
        <v>2187</v>
      </c>
      <c r="F46" s="173" t="s">
        <v>2188</v>
      </c>
      <c r="G46" s="106">
        <v>3.0</v>
      </c>
      <c r="H46" s="106" t="s">
        <v>123</v>
      </c>
      <c r="I46" s="108">
        <v>46125.0</v>
      </c>
      <c r="J46" s="108"/>
      <c r="K46" s="89">
        <v>151.0</v>
      </c>
      <c r="L46" s="467">
        <v>12.0</v>
      </c>
      <c r="M46" s="89">
        <f t="shared" si="5"/>
        <v>1812</v>
      </c>
      <c r="N46" s="86" t="s">
        <v>28</v>
      </c>
      <c r="O46" s="106" t="s">
        <v>29</v>
      </c>
      <c r="P46" s="86" t="s">
        <v>40</v>
      </c>
      <c r="Q46" s="106"/>
      <c r="R46" s="106" t="s">
        <v>233</v>
      </c>
      <c r="S46" s="106" t="s">
        <v>110</v>
      </c>
      <c r="T46" s="188"/>
      <c r="U46" s="178"/>
      <c r="V46" s="178"/>
      <c r="W46" s="178"/>
      <c r="X46" s="178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>
      <c r="A47" s="12">
        <v>43.0</v>
      </c>
      <c r="B47" s="146" t="s">
        <v>2605</v>
      </c>
      <c r="C47" s="212" t="s">
        <v>2606</v>
      </c>
      <c r="D47" s="304" t="s">
        <v>2607</v>
      </c>
      <c r="E47" s="182">
        <v>1.199906609E9</v>
      </c>
      <c r="F47" s="365" t="s">
        <v>2608</v>
      </c>
      <c r="G47" s="304">
        <v>5.0</v>
      </c>
      <c r="H47" s="304" t="s">
        <v>2100</v>
      </c>
      <c r="I47" s="338">
        <v>46139.0</v>
      </c>
      <c r="J47" s="305"/>
      <c r="K47" s="128">
        <v>157.0</v>
      </c>
      <c r="L47" s="478">
        <v>12.0</v>
      </c>
      <c r="M47" s="128">
        <f t="shared" si="5"/>
        <v>1884</v>
      </c>
      <c r="N47" s="304" t="s">
        <v>58</v>
      </c>
      <c r="O47" s="304" t="s">
        <v>29</v>
      </c>
      <c r="P47" s="304" t="s">
        <v>40</v>
      </c>
      <c r="Q47" s="303"/>
      <c r="R47" s="304" t="s">
        <v>41</v>
      </c>
      <c r="S47" s="304" t="s">
        <v>129</v>
      </c>
      <c r="T47" s="315" t="s">
        <v>2824</v>
      </c>
      <c r="U47" s="178"/>
      <c r="V47" s="178"/>
      <c r="W47" s="178"/>
      <c r="X47" s="178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>
      <c r="A48" s="12">
        <v>44.0</v>
      </c>
      <c r="B48" s="86" t="s">
        <v>2262</v>
      </c>
      <c r="C48" s="86" t="s">
        <v>2263</v>
      </c>
      <c r="D48" s="86" t="s">
        <v>2186</v>
      </c>
      <c r="E48" s="481" t="s">
        <v>2187</v>
      </c>
      <c r="F48" s="134" t="s">
        <v>2188</v>
      </c>
      <c r="G48" s="86">
        <v>2.0</v>
      </c>
      <c r="H48" s="86" t="s">
        <v>123</v>
      </c>
      <c r="I48" s="108">
        <v>46125.0</v>
      </c>
      <c r="J48" s="108"/>
      <c r="K48" s="89">
        <v>145.0</v>
      </c>
      <c r="L48" s="467">
        <v>12.0</v>
      </c>
      <c r="M48" s="89">
        <f t="shared" si="5"/>
        <v>1740</v>
      </c>
      <c r="N48" s="86" t="s">
        <v>28</v>
      </c>
      <c r="O48" s="86" t="s">
        <v>29</v>
      </c>
      <c r="P48" s="86" t="s">
        <v>40</v>
      </c>
      <c r="Q48" s="106"/>
      <c r="R48" s="86" t="s">
        <v>233</v>
      </c>
      <c r="S48" s="86" t="s">
        <v>110</v>
      </c>
      <c r="T48" s="347"/>
      <c r="U48" s="472"/>
      <c r="V48" s="472"/>
      <c r="W48" s="472"/>
      <c r="X48" s="473"/>
      <c r="Y48" s="348"/>
      <c r="Z48" s="348"/>
      <c r="AA48" s="348"/>
      <c r="AB48" s="348"/>
      <c r="AC48" s="348"/>
      <c r="AD48" s="348"/>
      <c r="AE48" s="348"/>
      <c r="AF48" s="348"/>
      <c r="AG48" s="348"/>
      <c r="AH48" s="348"/>
      <c r="AI48" s="348"/>
      <c r="AJ48" s="348"/>
      <c r="AK48" s="348"/>
      <c r="AL48" s="348"/>
      <c r="AM48" s="348"/>
      <c r="AN48" s="348"/>
      <c r="AO48" s="348"/>
      <c r="AP48" s="348"/>
      <c r="AQ48" s="348"/>
      <c r="AR48" s="348"/>
      <c r="AS48" s="348"/>
      <c r="AT48" s="348"/>
      <c r="AU48" s="348"/>
      <c r="AV48" s="348"/>
      <c r="AW48" s="348"/>
    </row>
    <row r="49">
      <c r="A49" s="12">
        <v>45.0</v>
      </c>
      <c r="B49" s="86" t="s">
        <v>2312</v>
      </c>
      <c r="C49" s="86" t="s">
        <v>2313</v>
      </c>
      <c r="D49" s="86" t="s">
        <v>2314</v>
      </c>
      <c r="E49" s="481" t="s">
        <v>2315</v>
      </c>
      <c r="F49" s="86" t="s">
        <v>2316</v>
      </c>
      <c r="G49" s="86">
        <v>7.0</v>
      </c>
      <c r="H49" s="86" t="s">
        <v>123</v>
      </c>
      <c r="I49" s="108">
        <v>46126.0</v>
      </c>
      <c r="J49" s="108"/>
      <c r="K49" s="89">
        <v>175.0</v>
      </c>
      <c r="L49" s="467">
        <v>12.0</v>
      </c>
      <c r="M49" s="89">
        <f t="shared" si="5"/>
        <v>2100</v>
      </c>
      <c r="N49" s="86" t="s">
        <v>58</v>
      </c>
      <c r="O49" s="86" t="s">
        <v>29</v>
      </c>
      <c r="P49" s="86" t="s">
        <v>40</v>
      </c>
      <c r="Q49" s="86"/>
      <c r="R49" s="86" t="s">
        <v>233</v>
      </c>
      <c r="S49" s="86" t="s">
        <v>110</v>
      </c>
      <c r="T49" s="188"/>
      <c r="U49" s="123"/>
      <c r="V49" s="123"/>
      <c r="W49" s="123"/>
      <c r="X49" s="123"/>
      <c r="Y49" s="176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>
      <c r="A50" s="12">
        <v>46.0</v>
      </c>
      <c r="B50" s="106" t="s">
        <v>2567</v>
      </c>
      <c r="C50" s="106" t="s">
        <v>2568</v>
      </c>
      <c r="D50" s="106" t="s">
        <v>2569</v>
      </c>
      <c r="E50" s="166" t="s">
        <v>2825</v>
      </c>
      <c r="F50" s="106" t="s">
        <v>2570</v>
      </c>
      <c r="G50" s="106">
        <v>10.0</v>
      </c>
      <c r="H50" s="106" t="s">
        <v>2571</v>
      </c>
      <c r="I50" s="108">
        <v>46139.0</v>
      </c>
      <c r="J50" s="108"/>
      <c r="K50" s="89">
        <v>226.33</v>
      </c>
      <c r="L50" s="467">
        <v>12.0</v>
      </c>
      <c r="M50" s="89">
        <f t="shared" si="5"/>
        <v>2715.96</v>
      </c>
      <c r="N50" s="86" t="s">
        <v>28</v>
      </c>
      <c r="O50" s="86" t="s">
        <v>29</v>
      </c>
      <c r="P50" s="86" t="s">
        <v>40</v>
      </c>
      <c r="Q50" s="106"/>
      <c r="R50" s="86" t="s">
        <v>233</v>
      </c>
      <c r="S50" s="86" t="s">
        <v>110</v>
      </c>
      <c r="T50" s="133"/>
      <c r="U50" s="120"/>
      <c r="V50" s="120"/>
      <c r="W50" s="120"/>
      <c r="X50" s="123"/>
      <c r="Y50" s="176"/>
      <c r="Z50" s="348"/>
      <c r="AA50" s="348"/>
      <c r="AB50" s="348"/>
      <c r="AC50" s="348"/>
      <c r="AD50" s="348"/>
      <c r="AE50" s="348"/>
      <c r="AF50" s="348"/>
      <c r="AG50" s="348"/>
      <c r="AH50" s="348"/>
      <c r="AI50" s="348"/>
      <c r="AJ50" s="348"/>
      <c r="AK50" s="348"/>
      <c r="AL50" s="348"/>
      <c r="AM50" s="348"/>
      <c r="AN50" s="348"/>
      <c r="AO50" s="348"/>
      <c r="AP50" s="348"/>
      <c r="AQ50" s="348"/>
      <c r="AR50" s="348"/>
      <c r="AS50" s="348"/>
      <c r="AT50" s="348"/>
      <c r="AU50" s="348"/>
      <c r="AV50" s="348"/>
      <c r="AW50" s="348"/>
    </row>
    <row r="51">
      <c r="A51" s="12">
        <v>47.0</v>
      </c>
      <c r="B51" s="123" t="s">
        <v>2552</v>
      </c>
      <c r="C51" s="212" t="s">
        <v>2553</v>
      </c>
      <c r="D51" s="123" t="s">
        <v>2554</v>
      </c>
      <c r="E51" s="181" t="s">
        <v>2555</v>
      </c>
      <c r="F51" s="212" t="s">
        <v>2556</v>
      </c>
      <c r="G51" s="123">
        <v>6.0</v>
      </c>
      <c r="H51" s="103" t="s">
        <v>65</v>
      </c>
      <c r="I51" s="177">
        <v>46142.0</v>
      </c>
      <c r="J51" s="178"/>
      <c r="K51" s="197">
        <v>154.8</v>
      </c>
      <c r="L51" s="471">
        <v>12.0</v>
      </c>
      <c r="M51" s="179">
        <f t="shared" si="5"/>
        <v>1857.6</v>
      </c>
      <c r="N51" s="346" t="s">
        <v>58</v>
      </c>
      <c r="O51" s="185" t="s">
        <v>29</v>
      </c>
      <c r="P51" s="185" t="s">
        <v>40</v>
      </c>
      <c r="Q51" s="178"/>
      <c r="R51" s="185" t="s">
        <v>233</v>
      </c>
      <c r="S51" s="106" t="s">
        <v>31</v>
      </c>
      <c r="T51" s="315" t="s">
        <v>2826</v>
      </c>
      <c r="U51" s="178"/>
      <c r="V51" s="178"/>
      <c r="W51" s="178"/>
      <c r="X51" s="10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</row>
    <row r="52">
      <c r="A52" s="12">
        <v>48.0</v>
      </c>
      <c r="B52" s="377" t="s">
        <v>2827</v>
      </c>
      <c r="C52" s="377" t="s">
        <v>2828</v>
      </c>
      <c r="D52" s="377" t="s">
        <v>2829</v>
      </c>
      <c r="E52" s="490" t="s">
        <v>2830</v>
      </c>
      <c r="F52" s="491" t="s">
        <v>2831</v>
      </c>
      <c r="G52" s="377" t="s">
        <v>26</v>
      </c>
      <c r="H52" s="492" t="s">
        <v>2832</v>
      </c>
      <c r="I52" s="379">
        <v>46146.0</v>
      </c>
      <c r="J52" s="379">
        <v>46147.0</v>
      </c>
      <c r="K52" s="382">
        <v>700.0</v>
      </c>
      <c r="L52" s="493">
        <v>2.0</v>
      </c>
      <c r="M52" s="494">
        <f>K52*2</f>
        <v>1400</v>
      </c>
      <c r="N52" s="492" t="s">
        <v>71</v>
      </c>
      <c r="O52" s="383" t="s">
        <v>91</v>
      </c>
      <c r="P52" s="383" t="s">
        <v>72</v>
      </c>
      <c r="Q52" s="377">
        <v>2880.0</v>
      </c>
      <c r="R52" s="383" t="s">
        <v>73</v>
      </c>
      <c r="S52" s="492" t="s">
        <v>129</v>
      </c>
      <c r="T52" s="495"/>
      <c r="U52" s="377" t="s">
        <v>1867</v>
      </c>
      <c r="V52" s="377" t="s">
        <v>1867</v>
      </c>
      <c r="W52" s="377" t="s">
        <v>1867</v>
      </c>
      <c r="X52" s="123" t="s">
        <v>2823</v>
      </c>
      <c r="Y52" s="366"/>
      <c r="Z52" s="366"/>
      <c r="AA52" s="366"/>
      <c r="AB52" s="366"/>
      <c r="AC52" s="366"/>
      <c r="AD52" s="366"/>
      <c r="AE52" s="366"/>
      <c r="AF52" s="366"/>
      <c r="AG52" s="366"/>
      <c r="AH52" s="366"/>
      <c r="AI52" s="366"/>
      <c r="AJ52" s="366"/>
      <c r="AK52" s="366"/>
      <c r="AL52" s="366"/>
      <c r="AM52" s="366"/>
      <c r="AN52" s="366"/>
      <c r="AO52" s="366"/>
      <c r="AP52" s="366"/>
      <c r="AQ52" s="366"/>
      <c r="AR52" s="366"/>
      <c r="AS52" s="366"/>
      <c r="AT52" s="366"/>
      <c r="AU52" s="366"/>
      <c r="AV52" s="366"/>
      <c r="AW52" s="366"/>
    </row>
    <row r="53">
      <c r="A53" s="12">
        <v>49.0</v>
      </c>
      <c r="B53" s="212" t="s">
        <v>2833</v>
      </c>
      <c r="C53" s="86" t="s">
        <v>2007</v>
      </c>
      <c r="D53" s="365" t="s">
        <v>2834</v>
      </c>
      <c r="E53" s="182" t="s">
        <v>2835</v>
      </c>
      <c r="F53" s="319" t="s">
        <v>2836</v>
      </c>
      <c r="G53" s="146">
        <v>1.0</v>
      </c>
      <c r="H53" s="123" t="s">
        <v>2837</v>
      </c>
      <c r="I53" s="177">
        <v>46146.0</v>
      </c>
      <c r="J53" s="177">
        <v>46147.0</v>
      </c>
      <c r="K53" s="179" t="s">
        <v>57</v>
      </c>
      <c r="L53" s="471">
        <v>1.0</v>
      </c>
      <c r="M53" s="179">
        <v>700.0</v>
      </c>
      <c r="N53" s="304" t="s">
        <v>71</v>
      </c>
      <c r="O53" s="185" t="s">
        <v>91</v>
      </c>
      <c r="P53" s="185" t="s">
        <v>72</v>
      </c>
      <c r="Q53" s="123">
        <v>2897.0</v>
      </c>
      <c r="R53" s="185" t="s">
        <v>73</v>
      </c>
      <c r="S53" s="304" t="s">
        <v>129</v>
      </c>
      <c r="T53" s="188"/>
      <c r="U53" s="123" t="s">
        <v>1867</v>
      </c>
      <c r="V53" s="496" t="s">
        <v>1867</v>
      </c>
      <c r="W53" s="123" t="s">
        <v>1867</v>
      </c>
      <c r="X53" s="123" t="s">
        <v>2823</v>
      </c>
      <c r="Y53" s="314"/>
      <c r="Z53" s="314"/>
      <c r="AA53" s="314"/>
      <c r="AB53" s="314"/>
      <c r="AC53" s="314"/>
      <c r="AD53" s="314"/>
      <c r="AE53" s="314"/>
      <c r="AF53" s="314"/>
      <c r="AG53" s="314"/>
      <c r="AH53" s="314"/>
      <c r="AI53" s="314"/>
      <c r="AJ53" s="314"/>
      <c r="AK53" s="314"/>
      <c r="AL53" s="314"/>
      <c r="AM53" s="314"/>
      <c r="AN53" s="314"/>
      <c r="AO53" s="314"/>
      <c r="AP53" s="314"/>
      <c r="AQ53" s="314"/>
      <c r="AR53" s="314"/>
      <c r="AS53" s="314"/>
      <c r="AT53" s="314"/>
      <c r="AU53" s="314"/>
      <c r="AV53" s="314"/>
      <c r="AW53" s="314"/>
    </row>
    <row r="54">
      <c r="A54" s="12">
        <v>50.0</v>
      </c>
      <c r="B54" s="103" t="s">
        <v>2838</v>
      </c>
      <c r="C54" s="103" t="s">
        <v>2839</v>
      </c>
      <c r="D54" s="103" t="s">
        <v>2840</v>
      </c>
      <c r="E54" s="182" t="s">
        <v>2841</v>
      </c>
      <c r="F54" s="196" t="s">
        <v>2842</v>
      </c>
      <c r="G54" s="103">
        <v>20.0</v>
      </c>
      <c r="H54" s="103" t="s">
        <v>2816</v>
      </c>
      <c r="I54" s="174">
        <v>46146.0</v>
      </c>
      <c r="J54" s="104"/>
      <c r="K54" s="197">
        <v>283.81</v>
      </c>
      <c r="L54" s="480">
        <v>12.0</v>
      </c>
      <c r="M54" s="175">
        <f t="shared" ref="M54:M56" si="6">K54*12</f>
        <v>3405.72</v>
      </c>
      <c r="N54" s="137" t="s">
        <v>58</v>
      </c>
      <c r="O54" s="137" t="s">
        <v>29</v>
      </c>
      <c r="P54" s="137" t="s">
        <v>40</v>
      </c>
      <c r="Q54" s="104"/>
      <c r="R54" s="137" t="s">
        <v>73</v>
      </c>
      <c r="S54" s="137" t="s">
        <v>148</v>
      </c>
      <c r="T54" s="343" t="s">
        <v>2843</v>
      </c>
      <c r="U54" s="103"/>
      <c r="V54" s="103"/>
      <c r="W54" s="103"/>
      <c r="X54" s="10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</row>
    <row r="55">
      <c r="A55" s="12">
        <v>51.0</v>
      </c>
      <c r="B55" s="146" t="s">
        <v>2844</v>
      </c>
      <c r="C55" s="146" t="s">
        <v>2845</v>
      </c>
      <c r="D55" s="146" t="s">
        <v>2846</v>
      </c>
      <c r="E55" s="182" t="s">
        <v>2847</v>
      </c>
      <c r="F55" s="367" t="s">
        <v>2848</v>
      </c>
      <c r="G55" s="146">
        <v>1.0</v>
      </c>
      <c r="H55" s="146" t="s">
        <v>1874</v>
      </c>
      <c r="I55" s="321">
        <v>46146.0</v>
      </c>
      <c r="J55" s="312"/>
      <c r="K55" s="126">
        <v>139.0</v>
      </c>
      <c r="L55" s="497">
        <v>12.0</v>
      </c>
      <c r="M55" s="209">
        <f t="shared" si="6"/>
        <v>1668</v>
      </c>
      <c r="N55" s="137" t="s">
        <v>28</v>
      </c>
      <c r="O55" s="137" t="s">
        <v>91</v>
      </c>
      <c r="P55" s="137" t="s">
        <v>40</v>
      </c>
      <c r="Q55" s="312"/>
      <c r="R55" s="137" t="s">
        <v>73</v>
      </c>
      <c r="S55" s="137" t="s">
        <v>148</v>
      </c>
      <c r="T55" s="323" t="s">
        <v>2849</v>
      </c>
      <c r="U55" s="146"/>
      <c r="V55" s="146"/>
      <c r="W55" s="146"/>
      <c r="X55" s="10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</row>
    <row r="56">
      <c r="A56" s="12">
        <v>52.0</v>
      </c>
      <c r="B56" s="123" t="s">
        <v>2850</v>
      </c>
      <c r="C56" s="123" t="s">
        <v>2851</v>
      </c>
      <c r="D56" s="123" t="s">
        <v>2291</v>
      </c>
      <c r="E56" s="181" t="s">
        <v>2852</v>
      </c>
      <c r="F56" s="123" t="s">
        <v>2853</v>
      </c>
      <c r="G56" s="123">
        <v>7.0</v>
      </c>
      <c r="H56" s="123" t="s">
        <v>2816</v>
      </c>
      <c r="I56" s="177">
        <v>46099.0</v>
      </c>
      <c r="J56" s="177">
        <v>46146.0</v>
      </c>
      <c r="K56" s="179">
        <v>150.0</v>
      </c>
      <c r="L56" s="471">
        <v>12.0</v>
      </c>
      <c r="M56" s="180">
        <f t="shared" si="6"/>
        <v>1800</v>
      </c>
      <c r="N56" s="137" t="s">
        <v>71</v>
      </c>
      <c r="O56" s="137" t="s">
        <v>29</v>
      </c>
      <c r="P56" s="137" t="s">
        <v>72</v>
      </c>
      <c r="Q56" s="123">
        <v>2899.0</v>
      </c>
      <c r="R56" s="137" t="s">
        <v>233</v>
      </c>
      <c r="S56" s="137" t="s">
        <v>148</v>
      </c>
      <c r="T56" s="188"/>
      <c r="U56" s="123" t="s">
        <v>1867</v>
      </c>
      <c r="V56" s="123" t="s">
        <v>1867</v>
      </c>
      <c r="W56" s="123" t="s">
        <v>1867</v>
      </c>
      <c r="X56" s="123" t="s">
        <v>2823</v>
      </c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</row>
    <row r="57">
      <c r="A57" s="12">
        <v>53.0</v>
      </c>
      <c r="B57" s="146" t="s">
        <v>2854</v>
      </c>
      <c r="C57" s="146" t="s">
        <v>2855</v>
      </c>
      <c r="D57" s="146" t="s">
        <v>2856</v>
      </c>
      <c r="E57" s="182" t="s">
        <v>2857</v>
      </c>
      <c r="F57" s="367" t="s">
        <v>2858</v>
      </c>
      <c r="G57" s="146" t="s">
        <v>26</v>
      </c>
      <c r="H57" s="146" t="s">
        <v>711</v>
      </c>
      <c r="I57" s="321">
        <v>46134.0</v>
      </c>
      <c r="J57" s="321">
        <v>46147.0</v>
      </c>
      <c r="K57" s="126" t="s">
        <v>57</v>
      </c>
      <c r="L57" s="497">
        <v>1.0</v>
      </c>
      <c r="M57" s="126">
        <v>2300.0</v>
      </c>
      <c r="N57" s="137" t="s">
        <v>28</v>
      </c>
      <c r="O57" s="137" t="s">
        <v>29</v>
      </c>
      <c r="P57" s="137" t="s">
        <v>72</v>
      </c>
      <c r="Q57" s="146">
        <v>2885.0</v>
      </c>
      <c r="R57" s="137" t="s">
        <v>73</v>
      </c>
      <c r="S57" s="137" t="s">
        <v>148</v>
      </c>
      <c r="T57" s="498" t="s">
        <v>2859</v>
      </c>
      <c r="U57" s="146" t="s">
        <v>1867</v>
      </c>
      <c r="V57" s="146" t="s">
        <v>1867</v>
      </c>
      <c r="W57" s="146" t="s">
        <v>1867</v>
      </c>
      <c r="X57" s="123" t="s">
        <v>2823</v>
      </c>
      <c r="Y57" s="499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</row>
    <row r="58">
      <c r="A58" s="12">
        <v>54.0</v>
      </c>
      <c r="B58" s="146" t="s">
        <v>2860</v>
      </c>
      <c r="C58" s="146" t="s">
        <v>2861</v>
      </c>
      <c r="D58" s="146" t="s">
        <v>2856</v>
      </c>
      <c r="E58" s="182" t="s">
        <v>2857</v>
      </c>
      <c r="F58" s="367" t="s">
        <v>2858</v>
      </c>
      <c r="G58" s="146" t="s">
        <v>26</v>
      </c>
      <c r="H58" s="146" t="s">
        <v>711</v>
      </c>
      <c r="I58" s="321">
        <v>46134.0</v>
      </c>
      <c r="J58" s="321">
        <v>46147.0</v>
      </c>
      <c r="K58" s="126" t="s">
        <v>57</v>
      </c>
      <c r="L58" s="497">
        <v>1.0</v>
      </c>
      <c r="M58" s="126">
        <v>400.0</v>
      </c>
      <c r="N58" s="137" t="s">
        <v>28</v>
      </c>
      <c r="O58" s="137" t="s">
        <v>29</v>
      </c>
      <c r="P58" s="137" t="s">
        <v>72</v>
      </c>
      <c r="Q58" s="146">
        <v>2888.0</v>
      </c>
      <c r="R58" s="137" t="s">
        <v>73</v>
      </c>
      <c r="S58" s="137" t="s">
        <v>148</v>
      </c>
      <c r="T58" s="498" t="s">
        <v>2859</v>
      </c>
      <c r="U58" s="146" t="s">
        <v>1867</v>
      </c>
      <c r="V58" s="146" t="s">
        <v>1867</v>
      </c>
      <c r="W58" s="146" t="s">
        <v>1867</v>
      </c>
      <c r="X58" s="123" t="s">
        <v>2823</v>
      </c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</row>
    <row r="59">
      <c r="A59" s="12">
        <v>55.0</v>
      </c>
      <c r="B59" s="182" t="s">
        <v>2862</v>
      </c>
      <c r="C59" s="103" t="s">
        <v>2863</v>
      </c>
      <c r="D59" s="103" t="s">
        <v>2856</v>
      </c>
      <c r="E59" s="182" t="s">
        <v>2857</v>
      </c>
      <c r="F59" s="500" t="s">
        <v>2858</v>
      </c>
      <c r="G59" s="103" t="s">
        <v>26</v>
      </c>
      <c r="H59" s="103" t="s">
        <v>711</v>
      </c>
      <c r="I59" s="174">
        <v>46134.0</v>
      </c>
      <c r="J59" s="174">
        <v>46147.0</v>
      </c>
      <c r="K59" s="197" t="s">
        <v>57</v>
      </c>
      <c r="L59" s="480">
        <v>1.0</v>
      </c>
      <c r="M59" s="197">
        <v>400.0</v>
      </c>
      <c r="N59" s="137" t="s">
        <v>28</v>
      </c>
      <c r="O59" s="137" t="s">
        <v>29</v>
      </c>
      <c r="P59" s="137" t="s">
        <v>72</v>
      </c>
      <c r="Q59" s="103">
        <v>2887.0</v>
      </c>
      <c r="R59" s="137" t="s">
        <v>73</v>
      </c>
      <c r="S59" s="137" t="s">
        <v>148</v>
      </c>
      <c r="T59" s="498" t="s">
        <v>2859</v>
      </c>
      <c r="U59" s="103" t="s">
        <v>1867</v>
      </c>
      <c r="V59" s="103" t="s">
        <v>1867</v>
      </c>
      <c r="W59" s="103" t="s">
        <v>1867</v>
      </c>
      <c r="X59" s="123" t="s">
        <v>2823</v>
      </c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</row>
    <row r="60">
      <c r="A60" s="12">
        <v>56.0</v>
      </c>
      <c r="B60" s="182" t="s">
        <v>2864</v>
      </c>
      <c r="C60" s="103" t="s">
        <v>2865</v>
      </c>
      <c r="D60" s="103" t="s">
        <v>2856</v>
      </c>
      <c r="E60" s="182" t="s">
        <v>2857</v>
      </c>
      <c r="F60" s="500" t="s">
        <v>2858</v>
      </c>
      <c r="G60" s="103" t="s">
        <v>26</v>
      </c>
      <c r="H60" s="103" t="s">
        <v>711</v>
      </c>
      <c r="I60" s="174">
        <v>46134.0</v>
      </c>
      <c r="J60" s="174">
        <v>46147.0</v>
      </c>
      <c r="K60" s="197" t="s">
        <v>57</v>
      </c>
      <c r="L60" s="480">
        <v>1.0</v>
      </c>
      <c r="M60" s="197">
        <v>600.0</v>
      </c>
      <c r="N60" s="137" t="s">
        <v>28</v>
      </c>
      <c r="O60" s="137" t="s">
        <v>29</v>
      </c>
      <c r="P60" s="137" t="s">
        <v>72</v>
      </c>
      <c r="Q60" s="103">
        <v>2889.0</v>
      </c>
      <c r="R60" s="137" t="s">
        <v>73</v>
      </c>
      <c r="S60" s="137" t="s">
        <v>148</v>
      </c>
      <c r="T60" s="498" t="s">
        <v>2859</v>
      </c>
      <c r="U60" s="103" t="s">
        <v>1867</v>
      </c>
      <c r="V60" s="103" t="s">
        <v>1867</v>
      </c>
      <c r="W60" s="103" t="s">
        <v>1867</v>
      </c>
      <c r="X60" s="123" t="s">
        <v>2823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>
      <c r="A61" s="12">
        <v>57.0</v>
      </c>
      <c r="B61" s="146" t="s">
        <v>2866</v>
      </c>
      <c r="C61" s="146" t="s">
        <v>2867</v>
      </c>
      <c r="D61" s="146" t="s">
        <v>2868</v>
      </c>
      <c r="E61" s="182" t="s">
        <v>2869</v>
      </c>
      <c r="F61" s="146" t="s">
        <v>2870</v>
      </c>
      <c r="G61" s="103">
        <v>1.0</v>
      </c>
      <c r="H61" s="103" t="s">
        <v>711</v>
      </c>
      <c r="I61" s="174">
        <v>46142.0</v>
      </c>
      <c r="J61" s="174">
        <v>46146.0</v>
      </c>
      <c r="K61" s="197">
        <v>200.0</v>
      </c>
      <c r="L61" s="480">
        <v>4.0</v>
      </c>
      <c r="M61" s="197">
        <f t="shared" ref="M61:M63" si="7">K61*4</f>
        <v>800</v>
      </c>
      <c r="N61" s="137" t="s">
        <v>71</v>
      </c>
      <c r="O61" s="137" t="s">
        <v>91</v>
      </c>
      <c r="P61" s="137" t="s">
        <v>72</v>
      </c>
      <c r="Q61" s="103">
        <v>2900.0</v>
      </c>
      <c r="R61" s="137" t="s">
        <v>73</v>
      </c>
      <c r="S61" s="137" t="s">
        <v>2208</v>
      </c>
      <c r="T61" s="501"/>
      <c r="U61" s="103" t="s">
        <v>1867</v>
      </c>
      <c r="V61" s="103" t="s">
        <v>1867</v>
      </c>
      <c r="W61" s="103" t="s">
        <v>1867</v>
      </c>
      <c r="X61" s="123" t="s">
        <v>2823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>
      <c r="A62" s="12">
        <v>58.0</v>
      </c>
      <c r="B62" s="146" t="s">
        <v>2871</v>
      </c>
      <c r="C62" s="146" t="s">
        <v>2872</v>
      </c>
      <c r="D62" s="146" t="s">
        <v>2873</v>
      </c>
      <c r="E62" s="182" t="s">
        <v>2874</v>
      </c>
      <c r="F62" s="146" t="s">
        <v>2875</v>
      </c>
      <c r="G62" s="103">
        <v>5.0</v>
      </c>
      <c r="H62" s="103" t="s">
        <v>711</v>
      </c>
      <c r="I62" s="174">
        <v>46142.0</v>
      </c>
      <c r="J62" s="174">
        <v>46146.0</v>
      </c>
      <c r="K62" s="197">
        <v>175.0</v>
      </c>
      <c r="L62" s="480">
        <v>4.0</v>
      </c>
      <c r="M62" s="197">
        <f t="shared" si="7"/>
        <v>700</v>
      </c>
      <c r="N62" s="137" t="s">
        <v>71</v>
      </c>
      <c r="O62" s="137" t="s">
        <v>91</v>
      </c>
      <c r="P62" s="137" t="s">
        <v>72</v>
      </c>
      <c r="Q62" s="103">
        <v>2901.0</v>
      </c>
      <c r="R62" s="137" t="s">
        <v>41</v>
      </c>
      <c r="S62" s="137" t="s">
        <v>2208</v>
      </c>
      <c r="T62" s="198"/>
      <c r="U62" s="103" t="s">
        <v>1867</v>
      </c>
      <c r="V62" s="103" t="s">
        <v>1867</v>
      </c>
      <c r="W62" s="103" t="s">
        <v>1867</v>
      </c>
      <c r="X62" s="123" t="s">
        <v>2823</v>
      </c>
      <c r="Y62" s="3"/>
      <c r="Z62" s="219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>
      <c r="A63" s="12">
        <v>59.0</v>
      </c>
      <c r="B63" s="146" t="s">
        <v>2876</v>
      </c>
      <c r="C63" s="146" t="s">
        <v>2877</v>
      </c>
      <c r="D63" s="146" t="s">
        <v>2878</v>
      </c>
      <c r="E63" s="182" t="s">
        <v>2879</v>
      </c>
      <c r="F63" s="146" t="s">
        <v>2880</v>
      </c>
      <c r="G63" s="103">
        <v>3.0</v>
      </c>
      <c r="H63" s="103" t="s">
        <v>711</v>
      </c>
      <c r="I63" s="174">
        <v>46141.0</v>
      </c>
      <c r="J63" s="174">
        <v>46146.0</v>
      </c>
      <c r="K63" s="197">
        <v>200.0</v>
      </c>
      <c r="L63" s="480">
        <v>4.0</v>
      </c>
      <c r="M63" s="197">
        <f t="shared" si="7"/>
        <v>800</v>
      </c>
      <c r="N63" s="137" t="s">
        <v>71</v>
      </c>
      <c r="O63" s="137" t="s">
        <v>91</v>
      </c>
      <c r="P63" s="137" t="s">
        <v>72</v>
      </c>
      <c r="Q63" s="103">
        <v>2902.0</v>
      </c>
      <c r="R63" s="137" t="s">
        <v>73</v>
      </c>
      <c r="S63" s="137" t="s">
        <v>2208</v>
      </c>
      <c r="T63" s="188"/>
      <c r="U63" s="103" t="s">
        <v>1867</v>
      </c>
      <c r="V63" s="103" t="s">
        <v>1867</v>
      </c>
      <c r="W63" s="103" t="s">
        <v>1867</v>
      </c>
      <c r="X63" s="123" t="s">
        <v>2823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>
      <c r="A64" s="12">
        <v>60.0</v>
      </c>
      <c r="B64" s="146" t="s">
        <v>2881</v>
      </c>
      <c r="C64" s="502" t="s">
        <v>2882</v>
      </c>
      <c r="D64" s="123" t="s">
        <v>2883</v>
      </c>
      <c r="E64" s="181" t="s">
        <v>2884</v>
      </c>
      <c r="F64" s="123" t="s">
        <v>2885</v>
      </c>
      <c r="G64" s="123">
        <v>20.0</v>
      </c>
      <c r="H64" s="123" t="s">
        <v>2816</v>
      </c>
      <c r="I64" s="177">
        <v>46147.0</v>
      </c>
      <c r="J64" s="178"/>
      <c r="K64" s="179">
        <v>253.0</v>
      </c>
      <c r="L64" s="123">
        <v>12.0</v>
      </c>
      <c r="M64" s="180">
        <f>K64*12</f>
        <v>3036</v>
      </c>
      <c r="N64" s="137" t="s">
        <v>58</v>
      </c>
      <c r="O64" s="137" t="s">
        <v>29</v>
      </c>
      <c r="P64" s="137" t="s">
        <v>40</v>
      </c>
      <c r="Q64" s="178"/>
      <c r="R64" s="137" t="s">
        <v>41</v>
      </c>
      <c r="S64" s="137" t="s">
        <v>148</v>
      </c>
      <c r="T64" s="188"/>
      <c r="U64" s="178"/>
      <c r="V64" s="178"/>
      <c r="W64" s="178"/>
      <c r="X64" s="178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>
      <c r="A65" s="12">
        <v>61.0</v>
      </c>
      <c r="B65" s="146" t="s">
        <v>2886</v>
      </c>
      <c r="C65" s="123" t="s">
        <v>2887</v>
      </c>
      <c r="D65" s="123" t="s">
        <v>2888</v>
      </c>
      <c r="E65" s="181">
        <v>1.1973518269E10</v>
      </c>
      <c r="F65" s="123" t="s">
        <v>2889</v>
      </c>
      <c r="G65" s="123">
        <v>20.0</v>
      </c>
      <c r="H65" s="123" t="s">
        <v>2816</v>
      </c>
      <c r="I65" s="177">
        <v>46147.0</v>
      </c>
      <c r="J65" s="178"/>
      <c r="K65" s="179">
        <v>253.0</v>
      </c>
      <c r="L65" s="471">
        <v>12.0</v>
      </c>
      <c r="M65" s="180">
        <f t="shared" ref="M65:M66" si="8">K65*L65</f>
        <v>3036</v>
      </c>
      <c r="N65" s="137" t="s">
        <v>58</v>
      </c>
      <c r="O65" s="137" t="s">
        <v>29</v>
      </c>
      <c r="P65" s="137" t="s">
        <v>40</v>
      </c>
      <c r="Q65" s="178"/>
      <c r="R65" s="137" t="s">
        <v>41</v>
      </c>
      <c r="S65" s="137" t="s">
        <v>129</v>
      </c>
      <c r="T65" s="315" t="s">
        <v>2890</v>
      </c>
      <c r="U65" s="178"/>
      <c r="V65" s="178"/>
      <c r="W65" s="178"/>
      <c r="X65" s="178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>
      <c r="A66" s="12">
        <v>62.0</v>
      </c>
      <c r="B66" s="146" t="s">
        <v>2891</v>
      </c>
      <c r="C66" s="123" t="s">
        <v>2892</v>
      </c>
      <c r="D66" s="123" t="s">
        <v>2893</v>
      </c>
      <c r="E66" s="181">
        <v>1.1973518269E10</v>
      </c>
      <c r="F66" s="123" t="s">
        <v>2889</v>
      </c>
      <c r="G66" s="123">
        <v>10.0</v>
      </c>
      <c r="H66" s="123" t="s">
        <v>2816</v>
      </c>
      <c r="I66" s="177">
        <v>46147.0</v>
      </c>
      <c r="J66" s="178"/>
      <c r="K66" s="179">
        <v>193.0</v>
      </c>
      <c r="L66" s="471">
        <v>12.0</v>
      </c>
      <c r="M66" s="180">
        <f t="shared" si="8"/>
        <v>2316</v>
      </c>
      <c r="N66" s="137" t="s">
        <v>58</v>
      </c>
      <c r="O66" s="137" t="s">
        <v>29</v>
      </c>
      <c r="P66" s="137" t="s">
        <v>40</v>
      </c>
      <c r="Q66" s="178"/>
      <c r="R66" s="137" t="s">
        <v>41</v>
      </c>
      <c r="S66" s="137" t="s">
        <v>129</v>
      </c>
      <c r="T66" s="188"/>
      <c r="U66" s="178"/>
      <c r="V66" s="178"/>
      <c r="W66" s="178"/>
      <c r="X66" s="178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>
      <c r="A67" s="12">
        <v>63.0</v>
      </c>
      <c r="B67" s="103" t="s">
        <v>2864</v>
      </c>
      <c r="C67" s="103" t="s">
        <v>2894</v>
      </c>
      <c r="D67" s="103" t="s">
        <v>2856</v>
      </c>
      <c r="E67" s="182" t="s">
        <v>2857</v>
      </c>
      <c r="F67" s="500" t="s">
        <v>2858</v>
      </c>
      <c r="G67" s="103" t="s">
        <v>26</v>
      </c>
      <c r="H67" s="103" t="s">
        <v>711</v>
      </c>
      <c r="I67" s="174">
        <v>46134.0</v>
      </c>
      <c r="J67" s="174">
        <v>46147.0</v>
      </c>
      <c r="K67" s="197" t="s">
        <v>57</v>
      </c>
      <c r="L67" s="480">
        <v>1.0</v>
      </c>
      <c r="M67" s="197">
        <v>1300.0</v>
      </c>
      <c r="N67" s="137" t="s">
        <v>28</v>
      </c>
      <c r="O67" s="137" t="s">
        <v>29</v>
      </c>
      <c r="P67" s="137" t="s">
        <v>72</v>
      </c>
      <c r="Q67" s="103">
        <v>2890.0</v>
      </c>
      <c r="R67" s="137" t="s">
        <v>73</v>
      </c>
      <c r="S67" s="137" t="s">
        <v>148</v>
      </c>
      <c r="T67" s="498" t="s">
        <v>2859</v>
      </c>
      <c r="U67" s="103" t="s">
        <v>1867</v>
      </c>
      <c r="V67" s="103" t="s">
        <v>1867</v>
      </c>
      <c r="W67" s="103" t="s">
        <v>1867</v>
      </c>
      <c r="X67" s="123" t="s">
        <v>2823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>
      <c r="A68" s="12">
        <v>64.0</v>
      </c>
      <c r="B68" s="123" t="s">
        <v>2895</v>
      </c>
      <c r="C68" s="123" t="s">
        <v>2896</v>
      </c>
      <c r="D68" s="123" t="s">
        <v>2897</v>
      </c>
      <c r="E68" s="181" t="s">
        <v>2898</v>
      </c>
      <c r="F68" s="123" t="s">
        <v>2899</v>
      </c>
      <c r="G68" s="123">
        <v>7.0</v>
      </c>
      <c r="H68" s="123" t="s">
        <v>711</v>
      </c>
      <c r="I68" s="177">
        <v>46147.0</v>
      </c>
      <c r="J68" s="177">
        <v>46147.0</v>
      </c>
      <c r="K68" s="179">
        <v>250.0</v>
      </c>
      <c r="L68" s="471">
        <v>4.0</v>
      </c>
      <c r="M68" s="179">
        <f t="shared" ref="M68:M69" si="9">K68*4</f>
        <v>1000</v>
      </c>
      <c r="N68" s="137" t="s">
        <v>71</v>
      </c>
      <c r="O68" s="137" t="s">
        <v>91</v>
      </c>
      <c r="P68" s="137" t="s">
        <v>72</v>
      </c>
      <c r="Q68" s="123">
        <v>2903.0</v>
      </c>
      <c r="R68" s="137" t="s">
        <v>73</v>
      </c>
      <c r="S68" s="137" t="s">
        <v>2208</v>
      </c>
      <c r="T68" s="188"/>
      <c r="U68" s="123" t="s">
        <v>1867</v>
      </c>
      <c r="V68" s="123" t="s">
        <v>1867</v>
      </c>
      <c r="W68" s="123" t="s">
        <v>1867</v>
      </c>
      <c r="X68" s="123" t="s">
        <v>2823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>
      <c r="A69" s="12">
        <v>65.0</v>
      </c>
      <c r="B69" s="123" t="s">
        <v>2900</v>
      </c>
      <c r="C69" s="123" t="s">
        <v>2901</v>
      </c>
      <c r="D69" s="123" t="s">
        <v>2902</v>
      </c>
      <c r="E69" s="181" t="s">
        <v>2903</v>
      </c>
      <c r="F69" s="123" t="s">
        <v>2904</v>
      </c>
      <c r="G69" s="123">
        <v>15.0</v>
      </c>
      <c r="H69" s="123" t="s">
        <v>711</v>
      </c>
      <c r="I69" s="177">
        <v>46141.0</v>
      </c>
      <c r="J69" s="177">
        <v>46147.0</v>
      </c>
      <c r="K69" s="179">
        <v>250.0</v>
      </c>
      <c r="L69" s="471">
        <v>4.0</v>
      </c>
      <c r="M69" s="179">
        <f t="shared" si="9"/>
        <v>1000</v>
      </c>
      <c r="N69" s="137" t="s">
        <v>71</v>
      </c>
      <c r="O69" s="137" t="s">
        <v>91</v>
      </c>
      <c r="P69" s="137" t="s">
        <v>72</v>
      </c>
      <c r="Q69" s="123">
        <v>2904.0</v>
      </c>
      <c r="R69" s="137" t="s">
        <v>41</v>
      </c>
      <c r="S69" s="137" t="s">
        <v>2208</v>
      </c>
      <c r="T69" s="188"/>
      <c r="U69" s="123" t="s">
        <v>1867</v>
      </c>
      <c r="V69" s="123" t="s">
        <v>1867</v>
      </c>
      <c r="W69" s="123" t="s">
        <v>1867</v>
      </c>
      <c r="X69" s="123" t="s">
        <v>2823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>
      <c r="A70" s="12">
        <v>66.0</v>
      </c>
      <c r="B70" s="123" t="s">
        <v>2905</v>
      </c>
      <c r="C70" s="123" t="s">
        <v>2906</v>
      </c>
      <c r="D70" s="123" t="s">
        <v>2907</v>
      </c>
      <c r="E70" s="181" t="s">
        <v>2908</v>
      </c>
      <c r="F70" s="337" t="s">
        <v>2909</v>
      </c>
      <c r="G70" s="123" t="s">
        <v>26</v>
      </c>
      <c r="H70" s="123" t="s">
        <v>711</v>
      </c>
      <c r="I70" s="177">
        <v>46148.0</v>
      </c>
      <c r="J70" s="177">
        <v>46149.0</v>
      </c>
      <c r="K70" s="179" t="s">
        <v>57</v>
      </c>
      <c r="L70" s="471">
        <v>1.0</v>
      </c>
      <c r="M70" s="179">
        <v>800.0</v>
      </c>
      <c r="N70" s="137" t="s">
        <v>71</v>
      </c>
      <c r="O70" s="137" t="s">
        <v>91</v>
      </c>
      <c r="P70" s="137" t="s">
        <v>72</v>
      </c>
      <c r="Q70" s="123">
        <v>2915.0</v>
      </c>
      <c r="R70" s="137" t="s">
        <v>233</v>
      </c>
      <c r="S70" s="137" t="s">
        <v>148</v>
      </c>
      <c r="T70" s="188"/>
      <c r="U70" s="123" t="s">
        <v>1867</v>
      </c>
      <c r="V70" s="123" t="s">
        <v>1867</v>
      </c>
      <c r="W70" s="123" t="s">
        <v>1867</v>
      </c>
      <c r="X70" s="123" t="s">
        <v>2823</v>
      </c>
      <c r="Y70" s="503"/>
      <c r="Z70" s="348"/>
      <c r="AA70" s="348"/>
      <c r="AB70" s="348"/>
      <c r="AC70" s="348"/>
      <c r="AD70" s="348"/>
      <c r="AE70" s="348"/>
      <c r="AF70" s="348"/>
      <c r="AG70" s="348"/>
      <c r="AH70" s="348"/>
      <c r="AI70" s="348"/>
      <c r="AJ70" s="348"/>
      <c r="AK70" s="348"/>
      <c r="AL70" s="348"/>
      <c r="AM70" s="348"/>
      <c r="AN70" s="348"/>
      <c r="AO70" s="348"/>
      <c r="AP70" s="348"/>
      <c r="AQ70" s="348"/>
      <c r="AR70" s="348"/>
      <c r="AS70" s="348"/>
      <c r="AT70" s="348"/>
      <c r="AU70" s="348"/>
      <c r="AV70" s="348"/>
      <c r="AW70" s="348"/>
    </row>
    <row r="71">
      <c r="A71" s="12">
        <v>67.0</v>
      </c>
      <c r="B71" s="123" t="s">
        <v>2910</v>
      </c>
      <c r="C71" s="123" t="s">
        <v>2911</v>
      </c>
      <c r="D71" s="123" t="s">
        <v>2912</v>
      </c>
      <c r="E71" s="181" t="s">
        <v>2913</v>
      </c>
      <c r="F71" s="123" t="s">
        <v>2914</v>
      </c>
      <c r="G71" s="123">
        <v>10.0</v>
      </c>
      <c r="H71" s="123" t="s">
        <v>711</v>
      </c>
      <c r="I71" s="177">
        <v>46127.0</v>
      </c>
      <c r="J71" s="177">
        <v>46148.0</v>
      </c>
      <c r="K71" s="179">
        <v>250.0</v>
      </c>
      <c r="L71" s="471">
        <v>4.0</v>
      </c>
      <c r="M71" s="179">
        <f>K71*4</f>
        <v>1000</v>
      </c>
      <c r="N71" s="137" t="s">
        <v>71</v>
      </c>
      <c r="O71" s="137" t="s">
        <v>91</v>
      </c>
      <c r="P71" s="137" t="s">
        <v>72</v>
      </c>
      <c r="Q71" s="123">
        <v>2905.0</v>
      </c>
      <c r="R71" s="137" t="s">
        <v>41</v>
      </c>
      <c r="S71" s="137" t="s">
        <v>2208</v>
      </c>
      <c r="T71" s="188"/>
      <c r="U71" s="123" t="s">
        <v>1867</v>
      </c>
      <c r="V71" s="123" t="s">
        <v>1867</v>
      </c>
      <c r="W71" s="123" t="s">
        <v>1867</v>
      </c>
      <c r="X71" s="123" t="s">
        <v>2823</v>
      </c>
      <c r="Y71" s="219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>
      <c r="A72" s="12">
        <v>68.0</v>
      </c>
      <c r="B72" s="377" t="s">
        <v>2915</v>
      </c>
      <c r="C72" s="377" t="s">
        <v>2916</v>
      </c>
      <c r="D72" s="377" t="s">
        <v>2917</v>
      </c>
      <c r="E72" s="490" t="s">
        <v>2918</v>
      </c>
      <c r="F72" s="504" t="s">
        <v>2919</v>
      </c>
      <c r="G72" s="377">
        <v>5.0</v>
      </c>
      <c r="H72" s="377" t="s">
        <v>2816</v>
      </c>
      <c r="I72" s="379">
        <v>46148.0</v>
      </c>
      <c r="J72" s="379">
        <v>46150.0</v>
      </c>
      <c r="K72" s="382">
        <v>216.66</v>
      </c>
      <c r="L72" s="493">
        <v>12.0</v>
      </c>
      <c r="M72" s="505">
        <f t="shared" ref="M72:M73" si="10">K72*12</f>
        <v>2599.92</v>
      </c>
      <c r="N72" s="506" t="s">
        <v>71</v>
      </c>
      <c r="O72" s="506" t="s">
        <v>29</v>
      </c>
      <c r="P72" s="506" t="s">
        <v>72</v>
      </c>
      <c r="Q72" s="377">
        <v>2918.0</v>
      </c>
      <c r="R72" s="506" t="s">
        <v>73</v>
      </c>
      <c r="S72" s="506" t="s">
        <v>148</v>
      </c>
      <c r="T72" s="495"/>
      <c r="U72" s="377" t="s">
        <v>1867</v>
      </c>
      <c r="V72" s="377" t="s">
        <v>1867</v>
      </c>
      <c r="W72" s="377" t="s">
        <v>1867</v>
      </c>
      <c r="X72" s="123" t="s">
        <v>2823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>
      <c r="A73" s="12">
        <v>69.0</v>
      </c>
      <c r="B73" s="106" t="s">
        <v>2574</v>
      </c>
      <c r="C73" s="106" t="s">
        <v>2575</v>
      </c>
      <c r="D73" s="106" t="s">
        <v>2576</v>
      </c>
      <c r="E73" s="166" t="s">
        <v>2920</v>
      </c>
      <c r="F73" s="106" t="s">
        <v>2577</v>
      </c>
      <c r="G73" s="106">
        <v>15.0</v>
      </c>
      <c r="H73" s="106" t="s">
        <v>2578</v>
      </c>
      <c r="I73" s="108">
        <v>46139.0</v>
      </c>
      <c r="J73" s="108"/>
      <c r="K73" s="89">
        <v>560.55</v>
      </c>
      <c r="L73" s="467">
        <v>12.0</v>
      </c>
      <c r="M73" s="89">
        <f t="shared" si="10"/>
        <v>6726.6</v>
      </c>
      <c r="N73" s="86" t="s">
        <v>58</v>
      </c>
      <c r="O73" s="86" t="s">
        <v>29</v>
      </c>
      <c r="P73" s="86" t="s">
        <v>40</v>
      </c>
      <c r="Q73" s="86"/>
      <c r="R73" s="86" t="s">
        <v>233</v>
      </c>
      <c r="S73" s="86" t="s">
        <v>110</v>
      </c>
      <c r="T73" s="133"/>
      <c r="U73" s="106"/>
      <c r="V73" s="106"/>
      <c r="W73" s="106"/>
      <c r="X73" s="106"/>
      <c r="Y73" s="24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>
      <c r="A74" s="12">
        <v>70.0</v>
      </c>
      <c r="B74" s="123" t="s">
        <v>1412</v>
      </c>
      <c r="C74" s="212" t="s">
        <v>1413</v>
      </c>
      <c r="D74" s="212" t="s">
        <v>2921</v>
      </c>
      <c r="E74" s="181" t="s">
        <v>2922</v>
      </c>
      <c r="F74" s="212" t="s">
        <v>2923</v>
      </c>
      <c r="G74" s="123">
        <v>5.0</v>
      </c>
      <c r="H74" s="123" t="s">
        <v>860</v>
      </c>
      <c r="I74" s="177">
        <v>46149.0</v>
      </c>
      <c r="J74" s="177">
        <v>46151.0</v>
      </c>
      <c r="K74" s="179" t="s">
        <v>57</v>
      </c>
      <c r="L74" s="471">
        <v>1.0</v>
      </c>
      <c r="M74" s="125">
        <v>1200.0</v>
      </c>
      <c r="N74" s="137" t="s">
        <v>71</v>
      </c>
      <c r="O74" s="137" t="s">
        <v>91</v>
      </c>
      <c r="P74" s="137" t="s">
        <v>72</v>
      </c>
      <c r="Q74" s="146">
        <v>2936.0</v>
      </c>
      <c r="R74" s="137" t="s">
        <v>73</v>
      </c>
      <c r="S74" s="137" t="s">
        <v>31</v>
      </c>
      <c r="T74" s="315" t="s">
        <v>2924</v>
      </c>
      <c r="U74" s="123" t="s">
        <v>1867</v>
      </c>
      <c r="V74" s="123" t="s">
        <v>1867</v>
      </c>
      <c r="W74" s="120" t="s">
        <v>1867</v>
      </c>
      <c r="X74" s="123" t="s">
        <v>2823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>
      <c r="A75" s="12">
        <v>71.0</v>
      </c>
      <c r="B75" s="507" t="s">
        <v>2925</v>
      </c>
      <c r="C75" s="508" t="s">
        <v>2926</v>
      </c>
      <c r="D75" s="508" t="s">
        <v>2927</v>
      </c>
      <c r="E75" s="509" t="s">
        <v>2928</v>
      </c>
      <c r="F75" s="508" t="s">
        <v>2929</v>
      </c>
      <c r="G75" s="507" t="s">
        <v>399</v>
      </c>
      <c r="H75" s="507" t="s">
        <v>2930</v>
      </c>
      <c r="I75" s="510">
        <v>46149.0</v>
      </c>
      <c r="J75" s="510">
        <v>46149.0</v>
      </c>
      <c r="K75" s="511">
        <v>800.0</v>
      </c>
      <c r="L75" s="512">
        <v>2.0</v>
      </c>
      <c r="M75" s="513">
        <f>K75*2</f>
        <v>1600</v>
      </c>
      <c r="N75" s="514" t="s">
        <v>71</v>
      </c>
      <c r="O75" s="514" t="s">
        <v>29</v>
      </c>
      <c r="P75" s="514" t="s">
        <v>72</v>
      </c>
      <c r="Q75" s="507">
        <v>2923.0</v>
      </c>
      <c r="R75" s="514" t="s">
        <v>41</v>
      </c>
      <c r="S75" s="514" t="s">
        <v>31</v>
      </c>
      <c r="T75" s="515" t="s">
        <v>2931</v>
      </c>
      <c r="U75" s="507" t="s">
        <v>1867</v>
      </c>
      <c r="V75" s="507" t="s">
        <v>1867</v>
      </c>
      <c r="W75" s="507" t="s">
        <v>1867</v>
      </c>
      <c r="X75" s="507" t="s">
        <v>2823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>
      <c r="A76" s="12">
        <v>72.0</v>
      </c>
      <c r="B76" s="365" t="s">
        <v>224</v>
      </c>
      <c r="C76" s="365" t="s">
        <v>225</v>
      </c>
      <c r="D76" s="365" t="s">
        <v>2932</v>
      </c>
      <c r="E76" s="181" t="s">
        <v>2933</v>
      </c>
      <c r="F76" s="365" t="s">
        <v>2934</v>
      </c>
      <c r="G76" s="123">
        <v>3.0</v>
      </c>
      <c r="H76" s="123" t="s">
        <v>2935</v>
      </c>
      <c r="I76" s="108">
        <v>46147.0</v>
      </c>
      <c r="J76" s="178"/>
      <c r="K76" s="125">
        <v>1800.0</v>
      </c>
      <c r="L76" s="471">
        <v>1.0</v>
      </c>
      <c r="M76" s="89">
        <f>K76*1</f>
        <v>1800</v>
      </c>
      <c r="N76" s="137" t="s">
        <v>58</v>
      </c>
      <c r="O76" s="137" t="s">
        <v>91</v>
      </c>
      <c r="P76" s="137" t="s">
        <v>40</v>
      </c>
      <c r="Q76" s="178"/>
      <c r="R76" s="137" t="s">
        <v>233</v>
      </c>
      <c r="S76" s="137" t="s">
        <v>31</v>
      </c>
      <c r="T76" s="315" t="s">
        <v>2936</v>
      </c>
      <c r="U76" s="178"/>
      <c r="V76" s="178"/>
      <c r="W76" s="178"/>
      <c r="X76" s="178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>
      <c r="A77" s="12">
        <v>73.0</v>
      </c>
      <c r="B77" s="123" t="s">
        <v>2937</v>
      </c>
      <c r="C77" s="212" t="s">
        <v>2938</v>
      </c>
      <c r="D77" s="212" t="s">
        <v>2939</v>
      </c>
      <c r="E77" s="181" t="s">
        <v>2940</v>
      </c>
      <c r="F77" s="123" t="s">
        <v>2941</v>
      </c>
      <c r="G77" s="123">
        <v>4.0</v>
      </c>
      <c r="H77" s="120" t="s">
        <v>65</v>
      </c>
      <c r="I77" s="177">
        <v>46149.0</v>
      </c>
      <c r="J77" s="178"/>
      <c r="K77" s="125">
        <v>160.0</v>
      </c>
      <c r="L77" s="471">
        <v>12.0</v>
      </c>
      <c r="M77" s="89">
        <f t="shared" ref="M77:M78" si="11">K77*12</f>
        <v>1920</v>
      </c>
      <c r="N77" s="137" t="s">
        <v>58</v>
      </c>
      <c r="O77" s="137" t="s">
        <v>29</v>
      </c>
      <c r="P77" s="137" t="s">
        <v>40</v>
      </c>
      <c r="Q77" s="178"/>
      <c r="R77" s="137" t="s">
        <v>73</v>
      </c>
      <c r="S77" s="137" t="s">
        <v>31</v>
      </c>
      <c r="T77" s="315" t="s">
        <v>2942</v>
      </c>
      <c r="U77" s="178"/>
      <c r="V77" s="178"/>
      <c r="W77" s="178"/>
      <c r="X77" s="178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>
      <c r="A78" s="12">
        <v>74.0</v>
      </c>
      <c r="B78" s="303" t="s">
        <v>2943</v>
      </c>
      <c r="C78" s="303" t="s">
        <v>2944</v>
      </c>
      <c r="D78" s="303" t="s">
        <v>2945</v>
      </c>
      <c r="E78" s="303" t="s">
        <v>2946</v>
      </c>
      <c r="F78" s="303" t="s">
        <v>2947</v>
      </c>
      <c r="G78" s="303">
        <v>1.0</v>
      </c>
      <c r="H78" s="304" t="s">
        <v>2816</v>
      </c>
      <c r="I78" s="305">
        <v>46149.0</v>
      </c>
      <c r="J78" s="306">
        <v>46169.0</v>
      </c>
      <c r="K78" s="128">
        <v>139.0</v>
      </c>
      <c r="L78" s="307">
        <v>12.0</v>
      </c>
      <c r="M78" s="132">
        <f t="shared" si="11"/>
        <v>1668</v>
      </c>
      <c r="N78" s="304" t="s">
        <v>71</v>
      </c>
      <c r="O78" s="303" t="s">
        <v>29</v>
      </c>
      <c r="P78" s="304" t="s">
        <v>72</v>
      </c>
      <c r="Q78" s="304">
        <v>3089.0</v>
      </c>
      <c r="R78" s="303" t="s">
        <v>98</v>
      </c>
      <c r="S78" s="303" t="s">
        <v>31</v>
      </c>
      <c r="T78" s="309" t="s">
        <v>2948</v>
      </c>
      <c r="U78" s="146" t="s">
        <v>1867</v>
      </c>
      <c r="V78" s="303" t="s">
        <v>1867</v>
      </c>
      <c r="W78" s="303" t="s">
        <v>1867</v>
      </c>
      <c r="X78" s="304" t="s">
        <v>2949</v>
      </c>
      <c r="Y78" s="310"/>
      <c r="Z78" s="310"/>
      <c r="AA78" s="310"/>
      <c r="AB78" s="310"/>
      <c r="AC78" s="310"/>
      <c r="AD78" s="310"/>
      <c r="AE78" s="310"/>
      <c r="AF78" s="310"/>
      <c r="AG78" s="310"/>
      <c r="AH78" s="310"/>
      <c r="AI78" s="310"/>
      <c r="AJ78" s="310"/>
      <c r="AK78" s="310"/>
      <c r="AL78" s="310"/>
      <c r="AM78" s="310"/>
      <c r="AN78" s="310"/>
      <c r="AO78" s="310"/>
      <c r="AP78" s="310"/>
      <c r="AQ78" s="310"/>
      <c r="AR78" s="310"/>
      <c r="AS78" s="310"/>
      <c r="AT78" s="310"/>
      <c r="AU78" s="310"/>
      <c r="AV78" s="310"/>
      <c r="AW78" s="3"/>
    </row>
    <row r="79">
      <c r="A79" s="12">
        <v>75.0</v>
      </c>
      <c r="B79" s="365" t="s">
        <v>2950</v>
      </c>
      <c r="C79" s="123" t="s">
        <v>2951</v>
      </c>
      <c r="D79" s="212" t="s">
        <v>2952</v>
      </c>
      <c r="E79" s="181" t="s">
        <v>2953</v>
      </c>
      <c r="F79" s="212" t="s">
        <v>2954</v>
      </c>
      <c r="G79" s="123">
        <v>1.0</v>
      </c>
      <c r="H79" s="123" t="s">
        <v>2955</v>
      </c>
      <c r="I79" s="177">
        <v>46149.0</v>
      </c>
      <c r="J79" s="178"/>
      <c r="K79" s="125">
        <v>1800.0</v>
      </c>
      <c r="L79" s="471">
        <v>1.0</v>
      </c>
      <c r="M79" s="89">
        <f>K79*1</f>
        <v>1800</v>
      </c>
      <c r="N79" s="137" t="s">
        <v>58</v>
      </c>
      <c r="O79" s="137" t="s">
        <v>91</v>
      </c>
      <c r="P79" s="137" t="s">
        <v>40</v>
      </c>
      <c r="Q79" s="178"/>
      <c r="R79" s="137" t="s">
        <v>73</v>
      </c>
      <c r="S79" s="137" t="s">
        <v>31</v>
      </c>
      <c r="T79" s="315" t="s">
        <v>2956</v>
      </c>
      <c r="U79" s="123"/>
      <c r="V79" s="123"/>
      <c r="W79" s="123"/>
      <c r="X79" s="178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>
      <c r="A80" s="12">
        <v>76.0</v>
      </c>
      <c r="B80" s="86" t="s">
        <v>2560</v>
      </c>
      <c r="C80" s="86" t="s">
        <v>2561</v>
      </c>
      <c r="D80" s="86" t="s">
        <v>2957</v>
      </c>
      <c r="E80" s="161" t="s">
        <v>2958</v>
      </c>
      <c r="F80" s="86" t="s">
        <v>2564</v>
      </c>
      <c r="G80" s="86">
        <v>2.0</v>
      </c>
      <c r="H80" s="123" t="s">
        <v>2816</v>
      </c>
      <c r="I80" s="108">
        <v>46147.0</v>
      </c>
      <c r="J80" s="108">
        <v>46148.0</v>
      </c>
      <c r="K80" s="89">
        <v>752.0</v>
      </c>
      <c r="L80" s="467">
        <v>3.0</v>
      </c>
      <c r="M80" s="89">
        <f>K80*3</f>
        <v>2256</v>
      </c>
      <c r="N80" s="86" t="s">
        <v>71</v>
      </c>
      <c r="O80" s="86" t="s">
        <v>29</v>
      </c>
      <c r="P80" s="86" t="s">
        <v>72</v>
      </c>
      <c r="Q80" s="86">
        <v>2911.0</v>
      </c>
      <c r="R80" s="86" t="s">
        <v>233</v>
      </c>
      <c r="S80" s="86" t="s">
        <v>110</v>
      </c>
      <c r="T80" s="347"/>
      <c r="U80" s="146" t="s">
        <v>1867</v>
      </c>
      <c r="V80" s="377" t="s">
        <v>1867</v>
      </c>
      <c r="W80" s="123" t="s">
        <v>1867</v>
      </c>
      <c r="X80" s="123" t="s">
        <v>2823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>
      <c r="A81" s="12">
        <v>77.0</v>
      </c>
      <c r="B81" s="146" t="s">
        <v>2959</v>
      </c>
      <c r="C81" s="146" t="s">
        <v>2960</v>
      </c>
      <c r="D81" s="146" t="s">
        <v>1670</v>
      </c>
      <c r="E81" s="182" t="s">
        <v>2961</v>
      </c>
      <c r="F81" s="146" t="s">
        <v>2962</v>
      </c>
      <c r="G81" s="146">
        <v>3.0</v>
      </c>
      <c r="H81" s="123" t="s">
        <v>2816</v>
      </c>
      <c r="I81" s="321">
        <v>46150.0</v>
      </c>
      <c r="J81" s="321">
        <v>46150.0</v>
      </c>
      <c r="K81" s="126">
        <v>151.0</v>
      </c>
      <c r="L81" s="497">
        <v>12.0</v>
      </c>
      <c r="M81" s="126">
        <f>K81*12</f>
        <v>1812</v>
      </c>
      <c r="N81" s="304" t="s">
        <v>71</v>
      </c>
      <c r="O81" s="304" t="s">
        <v>29</v>
      </c>
      <c r="P81" s="185" t="s">
        <v>72</v>
      </c>
      <c r="Q81" s="146">
        <v>2925.0</v>
      </c>
      <c r="R81" s="185" t="s">
        <v>73</v>
      </c>
      <c r="S81" s="304" t="s">
        <v>129</v>
      </c>
      <c r="T81" s="313"/>
      <c r="U81" s="146" t="s">
        <v>1867</v>
      </c>
      <c r="V81" s="146" t="s">
        <v>1867</v>
      </c>
      <c r="W81" s="146" t="s">
        <v>1867</v>
      </c>
      <c r="X81" s="507" t="s">
        <v>2823</v>
      </c>
      <c r="Y81" s="314"/>
      <c r="Z81" s="314"/>
      <c r="AA81" s="314"/>
      <c r="AB81" s="314"/>
      <c r="AC81" s="314"/>
      <c r="AD81" s="314"/>
      <c r="AE81" s="314"/>
      <c r="AF81" s="314"/>
      <c r="AG81" s="314"/>
      <c r="AH81" s="314"/>
      <c r="AI81" s="314"/>
      <c r="AJ81" s="314"/>
      <c r="AK81" s="314"/>
      <c r="AL81" s="314"/>
      <c r="AM81" s="314"/>
      <c r="AN81" s="314"/>
      <c r="AO81" s="314"/>
      <c r="AP81" s="314"/>
      <c r="AQ81" s="314"/>
      <c r="AR81" s="314"/>
      <c r="AS81" s="314"/>
      <c r="AT81" s="314"/>
      <c r="AU81" s="314"/>
      <c r="AV81" s="314"/>
      <c r="AW81" s="314"/>
    </row>
    <row r="82">
      <c r="A82" s="12">
        <v>78.0</v>
      </c>
      <c r="B82" s="123" t="s">
        <v>2963</v>
      </c>
      <c r="C82" s="123" t="s">
        <v>2964</v>
      </c>
      <c r="D82" s="507" t="s">
        <v>2965</v>
      </c>
      <c r="E82" s="181" t="s">
        <v>2966</v>
      </c>
      <c r="F82" s="123" t="s">
        <v>2967</v>
      </c>
      <c r="G82" s="123">
        <v>13.0</v>
      </c>
      <c r="H82" s="120" t="s">
        <v>711</v>
      </c>
      <c r="I82" s="177">
        <v>46148.0</v>
      </c>
      <c r="J82" s="177">
        <v>46149.0</v>
      </c>
      <c r="K82" s="179">
        <v>250.0</v>
      </c>
      <c r="L82" s="471">
        <v>4.0</v>
      </c>
      <c r="M82" s="179">
        <f>K82*4</f>
        <v>1000</v>
      </c>
      <c r="N82" s="304" t="s">
        <v>71</v>
      </c>
      <c r="O82" s="120" t="s">
        <v>91</v>
      </c>
      <c r="P82" s="185" t="s">
        <v>72</v>
      </c>
      <c r="Q82" s="123">
        <v>2920.0</v>
      </c>
      <c r="R82" s="185" t="s">
        <v>41</v>
      </c>
      <c r="S82" s="304" t="s">
        <v>2208</v>
      </c>
      <c r="T82" s="188"/>
      <c r="U82" s="123" t="s">
        <v>1867</v>
      </c>
      <c r="V82" s="123" t="s">
        <v>1867</v>
      </c>
      <c r="W82" s="123" t="s">
        <v>1867</v>
      </c>
      <c r="X82" s="123" t="s">
        <v>2823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>
      <c r="A83" s="12">
        <v>79.0</v>
      </c>
      <c r="B83" s="123" t="s">
        <v>2968</v>
      </c>
      <c r="C83" s="123" t="s">
        <v>2969</v>
      </c>
      <c r="D83" s="123" t="s">
        <v>2970</v>
      </c>
      <c r="E83" s="181" t="s">
        <v>2971</v>
      </c>
      <c r="F83" s="123" t="s">
        <v>2972</v>
      </c>
      <c r="G83" s="123" t="s">
        <v>26</v>
      </c>
      <c r="H83" s="123" t="s">
        <v>711</v>
      </c>
      <c r="I83" s="177">
        <v>46128.0</v>
      </c>
      <c r="J83" s="177">
        <v>46153.0</v>
      </c>
      <c r="K83" s="179" t="s">
        <v>57</v>
      </c>
      <c r="L83" s="471">
        <v>1.0</v>
      </c>
      <c r="M83" s="179">
        <v>1000.0</v>
      </c>
      <c r="N83" s="304" t="s">
        <v>71</v>
      </c>
      <c r="O83" s="120" t="s">
        <v>91</v>
      </c>
      <c r="P83" s="185" t="s">
        <v>72</v>
      </c>
      <c r="Q83" s="123">
        <v>2926.0</v>
      </c>
      <c r="R83" s="185" t="s">
        <v>73</v>
      </c>
      <c r="S83" s="304" t="s">
        <v>148</v>
      </c>
      <c r="T83" s="188"/>
      <c r="U83" s="123" t="s">
        <v>1867</v>
      </c>
      <c r="V83" s="123" t="s">
        <v>1867</v>
      </c>
      <c r="W83" s="123" t="s">
        <v>1867</v>
      </c>
      <c r="X83" s="123" t="s">
        <v>2820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>
      <c r="A84" s="12">
        <v>80.0</v>
      </c>
      <c r="B84" s="123" t="s">
        <v>2973</v>
      </c>
      <c r="C84" s="123" t="s">
        <v>2974</v>
      </c>
      <c r="D84" s="123" t="s">
        <v>2970</v>
      </c>
      <c r="E84" s="181" t="s">
        <v>2971</v>
      </c>
      <c r="F84" s="123" t="s">
        <v>2972</v>
      </c>
      <c r="G84" s="123" t="s">
        <v>26</v>
      </c>
      <c r="H84" s="123" t="s">
        <v>711</v>
      </c>
      <c r="I84" s="177">
        <v>46128.0</v>
      </c>
      <c r="J84" s="177">
        <v>46153.0</v>
      </c>
      <c r="K84" s="179" t="s">
        <v>57</v>
      </c>
      <c r="L84" s="471">
        <v>1.0</v>
      </c>
      <c r="M84" s="179">
        <v>1000.0</v>
      </c>
      <c r="N84" s="304" t="s">
        <v>71</v>
      </c>
      <c r="O84" s="120" t="s">
        <v>91</v>
      </c>
      <c r="P84" s="185" t="s">
        <v>72</v>
      </c>
      <c r="Q84" s="123">
        <v>2928.0</v>
      </c>
      <c r="R84" s="185" t="s">
        <v>73</v>
      </c>
      <c r="S84" s="304" t="s">
        <v>148</v>
      </c>
      <c r="T84" s="188"/>
      <c r="U84" s="123" t="s">
        <v>1867</v>
      </c>
      <c r="V84" s="123" t="s">
        <v>1867</v>
      </c>
      <c r="W84" s="123" t="s">
        <v>1867</v>
      </c>
      <c r="X84" s="123" t="s">
        <v>2820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>
      <c r="A85" s="12">
        <v>81.0</v>
      </c>
      <c r="B85" s="123" t="s">
        <v>2975</v>
      </c>
      <c r="C85" s="123" t="s">
        <v>2976</v>
      </c>
      <c r="D85" s="123" t="s">
        <v>2970</v>
      </c>
      <c r="E85" s="181" t="s">
        <v>2971</v>
      </c>
      <c r="F85" s="123" t="s">
        <v>2972</v>
      </c>
      <c r="G85" s="123" t="s">
        <v>26</v>
      </c>
      <c r="H85" s="123" t="s">
        <v>711</v>
      </c>
      <c r="I85" s="177">
        <v>46128.0</v>
      </c>
      <c r="J85" s="177">
        <v>46153.0</v>
      </c>
      <c r="K85" s="179" t="s">
        <v>57</v>
      </c>
      <c r="L85" s="471">
        <v>1.0</v>
      </c>
      <c r="M85" s="179">
        <v>1000.0</v>
      </c>
      <c r="N85" s="304" t="s">
        <v>71</v>
      </c>
      <c r="O85" s="120" t="s">
        <v>91</v>
      </c>
      <c r="P85" s="185" t="s">
        <v>72</v>
      </c>
      <c r="Q85" s="123">
        <v>2929.0</v>
      </c>
      <c r="R85" s="185" t="s">
        <v>73</v>
      </c>
      <c r="S85" s="304" t="s">
        <v>148</v>
      </c>
      <c r="T85" s="188"/>
      <c r="U85" s="123" t="s">
        <v>1867</v>
      </c>
      <c r="V85" s="123" t="s">
        <v>1867</v>
      </c>
      <c r="W85" s="123" t="s">
        <v>1867</v>
      </c>
      <c r="X85" s="123" t="s">
        <v>2820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>
      <c r="A86" s="12">
        <v>82.0</v>
      </c>
      <c r="B86" s="507" t="s">
        <v>2977</v>
      </c>
      <c r="C86" s="507" t="s">
        <v>2978</v>
      </c>
      <c r="D86" s="507" t="s">
        <v>2979</v>
      </c>
      <c r="E86" s="509" t="s">
        <v>2980</v>
      </c>
      <c r="F86" s="516" t="s">
        <v>2981</v>
      </c>
      <c r="G86" s="507">
        <v>1.0</v>
      </c>
      <c r="H86" s="517" t="s">
        <v>711</v>
      </c>
      <c r="I86" s="510">
        <v>46150.0</v>
      </c>
      <c r="J86" s="510">
        <v>46150.0</v>
      </c>
      <c r="K86" s="518">
        <v>200.0</v>
      </c>
      <c r="L86" s="512">
        <v>3.0</v>
      </c>
      <c r="M86" s="511">
        <f>K86*3</f>
        <v>600</v>
      </c>
      <c r="N86" s="517" t="s">
        <v>71</v>
      </c>
      <c r="O86" s="519" t="s">
        <v>91</v>
      </c>
      <c r="P86" s="520" t="s">
        <v>72</v>
      </c>
      <c r="Q86" s="507">
        <v>2930.0</v>
      </c>
      <c r="R86" s="520" t="s">
        <v>41</v>
      </c>
      <c r="S86" s="517" t="s">
        <v>2208</v>
      </c>
      <c r="T86" s="521"/>
      <c r="U86" s="507" t="s">
        <v>1867</v>
      </c>
      <c r="V86" s="507" t="s">
        <v>1867</v>
      </c>
      <c r="W86" s="507" t="s">
        <v>1867</v>
      </c>
      <c r="X86" s="507" t="s">
        <v>2823</v>
      </c>
      <c r="Y86" s="522"/>
      <c r="Z86" s="522"/>
      <c r="AA86" s="522"/>
      <c r="AB86" s="522"/>
      <c r="AC86" s="522"/>
      <c r="AD86" s="522"/>
      <c r="AE86" s="522"/>
      <c r="AF86" s="522"/>
      <c r="AG86" s="522"/>
      <c r="AH86" s="522"/>
      <c r="AI86" s="522"/>
      <c r="AJ86" s="522"/>
      <c r="AK86" s="522"/>
      <c r="AL86" s="522"/>
      <c r="AM86" s="522"/>
      <c r="AN86" s="522"/>
      <c r="AO86" s="522"/>
      <c r="AP86" s="522"/>
      <c r="AQ86" s="522"/>
      <c r="AR86" s="522"/>
      <c r="AS86" s="522"/>
      <c r="AT86" s="522"/>
      <c r="AU86" s="522"/>
      <c r="AV86" s="522"/>
      <c r="AW86" s="522"/>
    </row>
    <row r="87">
      <c r="A87" s="12">
        <v>83.0</v>
      </c>
      <c r="B87" s="123" t="s">
        <v>2982</v>
      </c>
      <c r="C87" s="123" t="s">
        <v>2983</v>
      </c>
      <c r="D87" s="123" t="s">
        <v>2984</v>
      </c>
      <c r="E87" s="181" t="s">
        <v>2332</v>
      </c>
      <c r="F87" s="123" t="s">
        <v>2985</v>
      </c>
      <c r="G87" s="123">
        <v>9.0</v>
      </c>
      <c r="H87" s="304" t="s">
        <v>711</v>
      </c>
      <c r="I87" s="177">
        <v>46153.0</v>
      </c>
      <c r="J87" s="177">
        <v>46153.0</v>
      </c>
      <c r="K87" s="179">
        <v>250.0</v>
      </c>
      <c r="L87" s="471">
        <v>4.0</v>
      </c>
      <c r="M87" s="125">
        <f>K87*4</f>
        <v>1000</v>
      </c>
      <c r="N87" s="304" t="s">
        <v>71</v>
      </c>
      <c r="O87" s="120" t="s">
        <v>91</v>
      </c>
      <c r="P87" s="185" t="s">
        <v>72</v>
      </c>
      <c r="Q87" s="123">
        <v>2931.0</v>
      </c>
      <c r="R87" s="185" t="s">
        <v>73</v>
      </c>
      <c r="S87" s="304" t="s">
        <v>2208</v>
      </c>
      <c r="T87" s="315"/>
      <c r="U87" s="123" t="s">
        <v>1867</v>
      </c>
      <c r="V87" s="123" t="s">
        <v>1867</v>
      </c>
      <c r="W87" s="123" t="s">
        <v>1867</v>
      </c>
      <c r="X87" s="123" t="s">
        <v>2820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>
      <c r="A88" s="12">
        <v>84.0</v>
      </c>
      <c r="B88" s="123" t="s">
        <v>2986</v>
      </c>
      <c r="C88" s="123" t="s">
        <v>2987</v>
      </c>
      <c r="D88" s="123" t="s">
        <v>2988</v>
      </c>
      <c r="E88" s="181" t="s">
        <v>2989</v>
      </c>
      <c r="F88" s="123" t="s">
        <v>2990</v>
      </c>
      <c r="G88" s="123">
        <v>13.0</v>
      </c>
      <c r="H88" s="123" t="s">
        <v>2816</v>
      </c>
      <c r="I88" s="177">
        <v>46150.0</v>
      </c>
      <c r="J88" s="177">
        <v>46153.0</v>
      </c>
      <c r="K88" s="179">
        <v>200.0</v>
      </c>
      <c r="L88" s="471">
        <v>12.0</v>
      </c>
      <c r="M88" s="180">
        <f>K88*12</f>
        <v>2400</v>
      </c>
      <c r="N88" s="304" t="s">
        <v>71</v>
      </c>
      <c r="O88" s="120" t="s">
        <v>29</v>
      </c>
      <c r="P88" s="185" t="s">
        <v>72</v>
      </c>
      <c r="Q88" s="123">
        <v>2934.0</v>
      </c>
      <c r="R88" s="185" t="s">
        <v>233</v>
      </c>
      <c r="S88" s="304" t="s">
        <v>148</v>
      </c>
      <c r="T88" s="188"/>
      <c r="U88" s="123" t="s">
        <v>1867</v>
      </c>
      <c r="V88" s="123" t="s">
        <v>1867</v>
      </c>
      <c r="W88" s="123" t="s">
        <v>1867</v>
      </c>
      <c r="X88" s="123" t="s">
        <v>2820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>
      <c r="A89" s="12">
        <v>85.0</v>
      </c>
      <c r="B89" s="123" t="s">
        <v>2991</v>
      </c>
      <c r="C89" s="123" t="s">
        <v>2992</v>
      </c>
      <c r="D89" s="123" t="s">
        <v>2993</v>
      </c>
      <c r="E89" s="181" t="s">
        <v>2994</v>
      </c>
      <c r="F89" s="523" t="s">
        <v>2995</v>
      </c>
      <c r="G89" s="123">
        <v>27.0</v>
      </c>
      <c r="H89" s="304" t="s">
        <v>711</v>
      </c>
      <c r="I89" s="177">
        <v>46142.0</v>
      </c>
      <c r="J89" s="177">
        <v>46153.0</v>
      </c>
      <c r="K89" s="179">
        <v>250.0</v>
      </c>
      <c r="L89" s="471">
        <v>4.0</v>
      </c>
      <c r="M89" s="125">
        <f t="shared" ref="M89:M90" si="12">K89*4</f>
        <v>1000</v>
      </c>
      <c r="N89" s="304" t="s">
        <v>71</v>
      </c>
      <c r="O89" s="120" t="s">
        <v>91</v>
      </c>
      <c r="P89" s="185" t="s">
        <v>72</v>
      </c>
      <c r="Q89" s="123">
        <v>2935.0</v>
      </c>
      <c r="R89" s="185" t="s">
        <v>73</v>
      </c>
      <c r="S89" s="304" t="s">
        <v>2208</v>
      </c>
      <c r="T89" s="315"/>
      <c r="U89" s="123" t="s">
        <v>1867</v>
      </c>
      <c r="V89" s="123" t="s">
        <v>1867</v>
      </c>
      <c r="W89" s="123" t="s">
        <v>1867</v>
      </c>
      <c r="X89" s="123" t="s">
        <v>2820</v>
      </c>
      <c r="Y89" s="3"/>
      <c r="Z89" s="219"/>
      <c r="AA89" s="3"/>
      <c r="AB89" s="216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>
      <c r="A90" s="12">
        <v>86.0</v>
      </c>
      <c r="B90" s="123" t="s">
        <v>2996</v>
      </c>
      <c r="C90" s="123" t="s">
        <v>2341</v>
      </c>
      <c r="D90" s="123" t="s">
        <v>2997</v>
      </c>
      <c r="E90" s="181" t="s">
        <v>2343</v>
      </c>
      <c r="F90" s="123" t="s">
        <v>2998</v>
      </c>
      <c r="G90" s="123">
        <v>2.0</v>
      </c>
      <c r="H90" s="304" t="s">
        <v>711</v>
      </c>
      <c r="I90" s="177">
        <v>46153.0</v>
      </c>
      <c r="J90" s="177">
        <v>46153.0</v>
      </c>
      <c r="K90" s="179">
        <v>175.0</v>
      </c>
      <c r="L90" s="471">
        <v>4.0</v>
      </c>
      <c r="M90" s="125">
        <f t="shared" si="12"/>
        <v>700</v>
      </c>
      <c r="N90" s="304" t="s">
        <v>71</v>
      </c>
      <c r="O90" s="120" t="s">
        <v>91</v>
      </c>
      <c r="P90" s="185" t="s">
        <v>72</v>
      </c>
      <c r="Q90" s="123">
        <v>2933.0</v>
      </c>
      <c r="R90" s="185" t="s">
        <v>73</v>
      </c>
      <c r="S90" s="304" t="s">
        <v>2208</v>
      </c>
      <c r="T90" s="315"/>
      <c r="U90" s="123" t="s">
        <v>1867</v>
      </c>
      <c r="V90" s="123" t="s">
        <v>1867</v>
      </c>
      <c r="W90" s="123" t="s">
        <v>1867</v>
      </c>
      <c r="X90" s="123" t="s">
        <v>2820</v>
      </c>
      <c r="Y90" s="3"/>
      <c r="Z90" s="219"/>
      <c r="AA90" s="3"/>
      <c r="AB90" s="216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>
      <c r="A91" s="12">
        <v>87.0</v>
      </c>
      <c r="B91" s="103" t="s">
        <v>2999</v>
      </c>
      <c r="C91" s="103" t="s">
        <v>3000</v>
      </c>
      <c r="D91" s="103" t="s">
        <v>285</v>
      </c>
      <c r="E91" s="182" t="s">
        <v>3001</v>
      </c>
      <c r="F91" s="524" t="s">
        <v>3002</v>
      </c>
      <c r="G91" s="103" t="s">
        <v>26</v>
      </c>
      <c r="H91" s="103" t="s">
        <v>3003</v>
      </c>
      <c r="I91" s="174">
        <v>46154.0</v>
      </c>
      <c r="J91" s="174">
        <v>46154.0</v>
      </c>
      <c r="K91" s="197" t="s">
        <v>57</v>
      </c>
      <c r="L91" s="480">
        <v>1.0</v>
      </c>
      <c r="M91" s="197">
        <v>2100.0</v>
      </c>
      <c r="N91" s="137" t="s">
        <v>71</v>
      </c>
      <c r="O91" s="137" t="s">
        <v>91</v>
      </c>
      <c r="P91" s="137" t="s">
        <v>72</v>
      </c>
      <c r="Q91" s="103">
        <v>2975.0</v>
      </c>
      <c r="R91" s="137" t="s">
        <v>98</v>
      </c>
      <c r="S91" s="137" t="s">
        <v>148</v>
      </c>
      <c r="T91" s="343" t="s">
        <v>3004</v>
      </c>
      <c r="U91" s="103" t="s">
        <v>1867</v>
      </c>
      <c r="V91" s="103" t="s">
        <v>1867</v>
      </c>
      <c r="W91" s="123" t="s">
        <v>1867</v>
      </c>
      <c r="X91" s="123" t="s">
        <v>2820</v>
      </c>
      <c r="Y91" s="3"/>
      <c r="Z91" s="54"/>
      <c r="AA91" s="54"/>
      <c r="AB91" s="525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</row>
    <row r="92">
      <c r="A92" s="12">
        <v>88.0</v>
      </c>
      <c r="B92" s="123" t="s">
        <v>3005</v>
      </c>
      <c r="C92" s="123" t="s">
        <v>3006</v>
      </c>
      <c r="D92" s="123" t="s">
        <v>3007</v>
      </c>
      <c r="E92" s="181" t="s">
        <v>3008</v>
      </c>
      <c r="F92" s="123" t="s">
        <v>3009</v>
      </c>
      <c r="G92" s="123">
        <v>5.0</v>
      </c>
      <c r="H92" s="123" t="s">
        <v>711</v>
      </c>
      <c r="I92" s="177">
        <v>46153.0</v>
      </c>
      <c r="J92" s="177">
        <v>46154.0</v>
      </c>
      <c r="K92" s="179">
        <v>250.0</v>
      </c>
      <c r="L92" s="471">
        <v>2.0</v>
      </c>
      <c r="M92" s="180">
        <f>K92*2</f>
        <v>500</v>
      </c>
      <c r="N92" s="304" t="s">
        <v>71</v>
      </c>
      <c r="O92" s="120" t="s">
        <v>91</v>
      </c>
      <c r="P92" s="185" t="s">
        <v>72</v>
      </c>
      <c r="Q92" s="123">
        <v>2956.0</v>
      </c>
      <c r="R92" s="185" t="s">
        <v>41</v>
      </c>
      <c r="S92" s="304" t="s">
        <v>2208</v>
      </c>
      <c r="T92" s="188"/>
      <c r="U92" s="123" t="s">
        <v>1867</v>
      </c>
      <c r="V92" s="123" t="s">
        <v>1867</v>
      </c>
      <c r="W92" s="123" t="s">
        <v>1867</v>
      </c>
      <c r="X92" s="123" t="s">
        <v>2820</v>
      </c>
      <c r="Y92" s="3"/>
      <c r="Z92" s="219"/>
      <c r="AA92" s="3"/>
      <c r="AB92" s="216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>
      <c r="A93" s="12">
        <v>89.0</v>
      </c>
      <c r="B93" s="123" t="s">
        <v>3010</v>
      </c>
      <c r="C93" s="123" t="s">
        <v>3011</v>
      </c>
      <c r="D93" s="123" t="s">
        <v>3012</v>
      </c>
      <c r="E93" s="181" t="s">
        <v>3013</v>
      </c>
      <c r="F93" s="523" t="s">
        <v>3014</v>
      </c>
      <c r="G93" s="123">
        <v>2.0</v>
      </c>
      <c r="H93" s="304" t="s">
        <v>711</v>
      </c>
      <c r="I93" s="177">
        <v>46154.0</v>
      </c>
      <c r="J93" s="177">
        <v>46155.0</v>
      </c>
      <c r="K93" s="179">
        <v>200.0</v>
      </c>
      <c r="L93" s="471">
        <v>3.0</v>
      </c>
      <c r="M93" s="125">
        <f>K93*3</f>
        <v>600</v>
      </c>
      <c r="N93" s="304" t="s">
        <v>71</v>
      </c>
      <c r="O93" s="120" t="s">
        <v>91</v>
      </c>
      <c r="P93" s="185" t="s">
        <v>72</v>
      </c>
      <c r="Q93" s="123">
        <v>2957.0</v>
      </c>
      <c r="R93" s="185" t="s">
        <v>41</v>
      </c>
      <c r="S93" s="304" t="s">
        <v>2208</v>
      </c>
      <c r="T93" s="315"/>
      <c r="U93" s="123" t="s">
        <v>1867</v>
      </c>
      <c r="V93" s="123" t="s">
        <v>1867</v>
      </c>
      <c r="W93" s="123" t="s">
        <v>1867</v>
      </c>
      <c r="X93" s="123" t="s">
        <v>2820</v>
      </c>
      <c r="Y93" s="3"/>
      <c r="Z93" s="219"/>
      <c r="AA93" s="3"/>
      <c r="AB93" s="216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>
      <c r="A94" s="12">
        <v>90.0</v>
      </c>
      <c r="B94" s="106" t="s">
        <v>3015</v>
      </c>
      <c r="C94" s="106" t="s">
        <v>3016</v>
      </c>
      <c r="D94" s="106" t="s">
        <v>3017</v>
      </c>
      <c r="E94" s="166" t="s">
        <v>3018</v>
      </c>
      <c r="F94" s="106" t="s">
        <v>3019</v>
      </c>
      <c r="G94" s="106">
        <v>2.0</v>
      </c>
      <c r="H94" s="106" t="s">
        <v>65</v>
      </c>
      <c r="I94" s="108">
        <v>46140.0</v>
      </c>
      <c r="J94" s="87"/>
      <c r="K94" s="89">
        <v>167.0</v>
      </c>
      <c r="L94" s="254">
        <v>12.0</v>
      </c>
      <c r="M94" s="89">
        <f t="shared" ref="M94:M98" si="13">K94*12</f>
        <v>2004</v>
      </c>
      <c r="N94" s="86" t="s">
        <v>58</v>
      </c>
      <c r="O94" s="86" t="s">
        <v>29</v>
      </c>
      <c r="P94" s="86" t="s">
        <v>40</v>
      </c>
      <c r="Q94" s="86"/>
      <c r="R94" s="86" t="s">
        <v>73</v>
      </c>
      <c r="S94" s="86" t="s">
        <v>31</v>
      </c>
      <c r="T94" s="129" t="s">
        <v>3020</v>
      </c>
      <c r="U94" s="106"/>
      <c r="V94" s="106"/>
      <c r="W94" s="106"/>
      <c r="X94" s="106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</row>
    <row r="95">
      <c r="A95" s="12">
        <v>91.0</v>
      </c>
      <c r="B95" s="106" t="s">
        <v>3021</v>
      </c>
      <c r="C95" s="89" t="s">
        <v>3022</v>
      </c>
      <c r="D95" s="106" t="s">
        <v>3023</v>
      </c>
      <c r="E95" s="166" t="s">
        <v>3018</v>
      </c>
      <c r="F95" s="106" t="s">
        <v>3019</v>
      </c>
      <c r="G95" s="106">
        <v>1.0</v>
      </c>
      <c r="H95" s="106" t="s">
        <v>65</v>
      </c>
      <c r="I95" s="108">
        <v>46140.0</v>
      </c>
      <c r="J95" s="87"/>
      <c r="K95" s="89">
        <v>145.84</v>
      </c>
      <c r="L95" s="254">
        <v>12.0</v>
      </c>
      <c r="M95" s="89">
        <f t="shared" si="13"/>
        <v>1750.08</v>
      </c>
      <c r="N95" s="120" t="s">
        <v>28</v>
      </c>
      <c r="O95" s="86" t="s">
        <v>29</v>
      </c>
      <c r="P95" s="86" t="s">
        <v>40</v>
      </c>
      <c r="Q95" s="86"/>
      <c r="R95" s="86" t="s">
        <v>73</v>
      </c>
      <c r="S95" s="86" t="s">
        <v>31</v>
      </c>
      <c r="T95" s="129" t="s">
        <v>3024</v>
      </c>
      <c r="U95" s="106"/>
      <c r="V95" s="106"/>
      <c r="W95" s="106"/>
      <c r="X95" s="106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</row>
    <row r="96">
      <c r="A96" s="12">
        <v>92.0</v>
      </c>
      <c r="B96" s="123" t="s">
        <v>3025</v>
      </c>
      <c r="C96" s="123" t="s">
        <v>3026</v>
      </c>
      <c r="D96" s="123" t="s">
        <v>3027</v>
      </c>
      <c r="E96" s="181" t="s">
        <v>3028</v>
      </c>
      <c r="F96" s="123" t="s">
        <v>3029</v>
      </c>
      <c r="G96" s="123">
        <v>1.0</v>
      </c>
      <c r="H96" s="304" t="s">
        <v>3030</v>
      </c>
      <c r="I96" s="177">
        <v>46150.0</v>
      </c>
      <c r="J96" s="177">
        <v>46154.0</v>
      </c>
      <c r="K96" s="179">
        <v>151.5</v>
      </c>
      <c r="L96" s="471">
        <v>12.0</v>
      </c>
      <c r="M96" s="125">
        <f t="shared" si="13"/>
        <v>1818</v>
      </c>
      <c r="N96" s="304" t="s">
        <v>71</v>
      </c>
      <c r="O96" s="120" t="s">
        <v>29</v>
      </c>
      <c r="P96" s="185" t="s">
        <v>72</v>
      </c>
      <c r="Q96" s="123">
        <v>2954.0</v>
      </c>
      <c r="R96" s="185" t="s">
        <v>73</v>
      </c>
      <c r="S96" s="304" t="s">
        <v>31</v>
      </c>
      <c r="T96" s="315"/>
      <c r="U96" s="123" t="s">
        <v>1867</v>
      </c>
      <c r="V96" s="123" t="s">
        <v>1867</v>
      </c>
      <c r="W96" s="123" t="s">
        <v>1867</v>
      </c>
      <c r="X96" s="123" t="s">
        <v>2820</v>
      </c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>
      <c r="A97" s="12">
        <v>93.0</v>
      </c>
      <c r="B97" s="120" t="s">
        <v>3031</v>
      </c>
      <c r="C97" s="106" t="s">
        <v>3032</v>
      </c>
      <c r="D97" s="106" t="s">
        <v>3027</v>
      </c>
      <c r="E97" s="166" t="s">
        <v>3028</v>
      </c>
      <c r="F97" s="106" t="s">
        <v>3029</v>
      </c>
      <c r="G97" s="106">
        <v>1.0</v>
      </c>
      <c r="H97" s="106" t="s">
        <v>3030</v>
      </c>
      <c r="I97" s="108">
        <v>46150.0</v>
      </c>
      <c r="J97" s="108">
        <v>46154.0</v>
      </c>
      <c r="K97" s="89">
        <v>151.5</v>
      </c>
      <c r="L97" s="254">
        <v>12.0</v>
      </c>
      <c r="M97" s="89">
        <f t="shared" si="13"/>
        <v>1818</v>
      </c>
      <c r="N97" s="86" t="s">
        <v>71</v>
      </c>
      <c r="O97" s="86" t="s">
        <v>29</v>
      </c>
      <c r="P97" s="86" t="s">
        <v>72</v>
      </c>
      <c r="Q97" s="120">
        <v>2955.0</v>
      </c>
      <c r="R97" s="86" t="s">
        <v>73</v>
      </c>
      <c r="S97" s="86" t="s">
        <v>31</v>
      </c>
      <c r="T97" s="133"/>
      <c r="U97" s="120" t="s">
        <v>1867</v>
      </c>
      <c r="V97" s="120" t="s">
        <v>1867</v>
      </c>
      <c r="W97" s="120" t="s">
        <v>1867</v>
      </c>
      <c r="X97" s="123" t="s">
        <v>2820</v>
      </c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</row>
    <row r="98">
      <c r="A98" s="12">
        <v>94.0</v>
      </c>
      <c r="B98" s="106" t="s">
        <v>3033</v>
      </c>
      <c r="C98" s="106" t="s">
        <v>3034</v>
      </c>
      <c r="D98" s="106" t="s">
        <v>3027</v>
      </c>
      <c r="E98" s="166" t="s">
        <v>3028</v>
      </c>
      <c r="F98" s="106" t="s">
        <v>3029</v>
      </c>
      <c r="G98" s="106">
        <v>1.0</v>
      </c>
      <c r="H98" s="106" t="s">
        <v>3030</v>
      </c>
      <c r="I98" s="108">
        <v>46150.0</v>
      </c>
      <c r="J98" s="108">
        <v>46154.0</v>
      </c>
      <c r="K98" s="89">
        <v>151.5</v>
      </c>
      <c r="L98" s="254">
        <v>12.0</v>
      </c>
      <c r="M98" s="89">
        <f t="shared" si="13"/>
        <v>1818</v>
      </c>
      <c r="N98" s="86" t="s">
        <v>71</v>
      </c>
      <c r="O98" s="86" t="s">
        <v>29</v>
      </c>
      <c r="P98" s="86" t="s">
        <v>72</v>
      </c>
      <c r="Q98" s="120">
        <v>2958.0</v>
      </c>
      <c r="R98" s="86" t="s">
        <v>73</v>
      </c>
      <c r="S98" s="86" t="s">
        <v>31</v>
      </c>
      <c r="T98" s="133"/>
      <c r="U98" s="120" t="s">
        <v>1867</v>
      </c>
      <c r="V98" s="120" t="s">
        <v>1867</v>
      </c>
      <c r="W98" s="120" t="s">
        <v>1867</v>
      </c>
      <c r="X98" s="123" t="s">
        <v>2820</v>
      </c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</row>
    <row r="99">
      <c r="A99" s="12">
        <v>95.0</v>
      </c>
      <c r="B99" s="303" t="s">
        <v>3035</v>
      </c>
      <c r="C99" s="106" t="s">
        <v>3036</v>
      </c>
      <c r="D99" s="106" t="s">
        <v>3037</v>
      </c>
      <c r="E99" s="166" t="s">
        <v>3038</v>
      </c>
      <c r="F99" s="120" t="s">
        <v>3039</v>
      </c>
      <c r="G99" s="106">
        <v>2.0</v>
      </c>
      <c r="H99" s="106" t="s">
        <v>65</v>
      </c>
      <c r="I99" s="108">
        <v>46147.0</v>
      </c>
      <c r="J99" s="317">
        <v>46161.0</v>
      </c>
      <c r="K99" s="179" t="s">
        <v>1268</v>
      </c>
      <c r="L99" s="254" t="s">
        <v>1218</v>
      </c>
      <c r="M99" s="125">
        <v>1790.0</v>
      </c>
      <c r="N99" s="120" t="s">
        <v>71</v>
      </c>
      <c r="O99" s="86" t="s">
        <v>29</v>
      </c>
      <c r="P99" s="120" t="s">
        <v>72</v>
      </c>
      <c r="Q99" s="120">
        <v>3008.0</v>
      </c>
      <c r="R99" s="120" t="s">
        <v>233</v>
      </c>
      <c r="S99" s="86" t="s">
        <v>31</v>
      </c>
      <c r="T99" s="315" t="s">
        <v>3040</v>
      </c>
      <c r="U99" s="146" t="s">
        <v>1867</v>
      </c>
      <c r="V99" s="146" t="s">
        <v>1867</v>
      </c>
      <c r="W99" s="146" t="s">
        <v>1867</v>
      </c>
      <c r="X99" s="466" t="s">
        <v>2817</v>
      </c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</row>
    <row r="100">
      <c r="A100" s="12">
        <v>96.0</v>
      </c>
      <c r="B100" s="106" t="s">
        <v>3041</v>
      </c>
      <c r="C100" s="106" t="s">
        <v>3042</v>
      </c>
      <c r="D100" s="106" t="s">
        <v>3043</v>
      </c>
      <c r="E100" s="166" t="s">
        <v>3044</v>
      </c>
      <c r="F100" s="106" t="s">
        <v>3045</v>
      </c>
      <c r="G100" s="106">
        <v>22.0</v>
      </c>
      <c r="H100" s="123" t="s">
        <v>2816</v>
      </c>
      <c r="I100" s="108">
        <v>46150.0</v>
      </c>
      <c r="J100" s="108">
        <v>46153.0</v>
      </c>
      <c r="K100" s="89">
        <v>396.0</v>
      </c>
      <c r="L100" s="254">
        <v>12.0</v>
      </c>
      <c r="M100" s="89">
        <f>K100*12</f>
        <v>4752</v>
      </c>
      <c r="N100" s="86" t="s">
        <v>71</v>
      </c>
      <c r="O100" s="86" t="s">
        <v>29</v>
      </c>
      <c r="P100" s="86" t="s">
        <v>72</v>
      </c>
      <c r="Q100" s="120">
        <v>2940.0</v>
      </c>
      <c r="R100" s="86" t="s">
        <v>30</v>
      </c>
      <c r="S100" s="86" t="s">
        <v>31</v>
      </c>
      <c r="T100" s="526"/>
      <c r="U100" s="120" t="s">
        <v>1867</v>
      </c>
      <c r="V100" s="120" t="s">
        <v>1867</v>
      </c>
      <c r="W100" s="120" t="s">
        <v>1867</v>
      </c>
      <c r="X100" s="123" t="s">
        <v>2820</v>
      </c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</row>
    <row r="101">
      <c r="A101" s="12">
        <v>97.0</v>
      </c>
      <c r="B101" s="106" t="s">
        <v>3046</v>
      </c>
      <c r="C101" s="106" t="s">
        <v>3047</v>
      </c>
      <c r="D101" s="106" t="s">
        <v>1324</v>
      </c>
      <c r="E101" s="166" t="s">
        <v>3048</v>
      </c>
      <c r="F101" s="106" t="s">
        <v>3049</v>
      </c>
      <c r="G101" s="106">
        <v>2.0</v>
      </c>
      <c r="H101" s="106" t="s">
        <v>857</v>
      </c>
      <c r="I101" s="177">
        <v>46155.0</v>
      </c>
      <c r="J101" s="177">
        <v>46156.0</v>
      </c>
      <c r="K101" s="179" t="s">
        <v>1268</v>
      </c>
      <c r="L101" s="471">
        <v>1.0</v>
      </c>
      <c r="M101" s="179">
        <v>800.0</v>
      </c>
      <c r="N101" s="286" t="s">
        <v>71</v>
      </c>
      <c r="O101" s="120" t="s">
        <v>91</v>
      </c>
      <c r="P101" s="353" t="s">
        <v>72</v>
      </c>
      <c r="Q101" s="123">
        <v>2959.0</v>
      </c>
      <c r="R101" s="353" t="s">
        <v>73</v>
      </c>
      <c r="S101" s="286" t="s">
        <v>129</v>
      </c>
      <c r="T101" s="188"/>
      <c r="U101" s="123" t="s">
        <v>1867</v>
      </c>
      <c r="V101" s="123" t="s">
        <v>1867</v>
      </c>
      <c r="W101" s="123" t="s">
        <v>1867</v>
      </c>
      <c r="X101" s="123" t="s">
        <v>2820</v>
      </c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>
      <c r="A102" s="12">
        <v>98.0</v>
      </c>
      <c r="B102" s="106" t="s">
        <v>3050</v>
      </c>
      <c r="C102" s="106" t="s">
        <v>3051</v>
      </c>
      <c r="D102" s="106" t="s">
        <v>3052</v>
      </c>
      <c r="E102" s="166" t="s">
        <v>3053</v>
      </c>
      <c r="F102" s="106" t="s">
        <v>3054</v>
      </c>
      <c r="G102" s="106">
        <v>4.0</v>
      </c>
      <c r="H102" s="106" t="s">
        <v>711</v>
      </c>
      <c r="I102" s="177">
        <v>46155.0</v>
      </c>
      <c r="J102" s="177">
        <v>46155.0</v>
      </c>
      <c r="K102" s="179" t="s">
        <v>211</v>
      </c>
      <c r="L102" s="471">
        <v>1.0</v>
      </c>
      <c r="M102" s="179">
        <v>1000.0</v>
      </c>
      <c r="N102" s="286" t="s">
        <v>71</v>
      </c>
      <c r="O102" s="120" t="s">
        <v>91</v>
      </c>
      <c r="P102" s="353" t="s">
        <v>72</v>
      </c>
      <c r="Q102" s="123">
        <v>2965.0</v>
      </c>
      <c r="R102" s="353" t="s">
        <v>73</v>
      </c>
      <c r="S102" s="286" t="s">
        <v>2208</v>
      </c>
      <c r="T102" s="188"/>
      <c r="U102" s="123" t="s">
        <v>1867</v>
      </c>
      <c r="V102" s="123" t="s">
        <v>1867</v>
      </c>
      <c r="W102" s="123" t="s">
        <v>1867</v>
      </c>
      <c r="X102" s="123" t="s">
        <v>2820</v>
      </c>
      <c r="Y102" s="3"/>
      <c r="Z102" s="219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>
      <c r="A103" s="12">
        <v>99.0</v>
      </c>
      <c r="B103" s="123" t="s">
        <v>3055</v>
      </c>
      <c r="C103" s="120" t="s">
        <v>3056</v>
      </c>
      <c r="D103" s="120" t="s">
        <v>3057</v>
      </c>
      <c r="E103" s="161" t="s">
        <v>3058</v>
      </c>
      <c r="F103" s="120" t="s">
        <v>2658</v>
      </c>
      <c r="G103" s="120" t="s">
        <v>26</v>
      </c>
      <c r="H103" s="527" t="s">
        <v>3059</v>
      </c>
      <c r="I103" s="108">
        <v>46147.0</v>
      </c>
      <c r="J103" s="108">
        <v>46154.0</v>
      </c>
      <c r="K103" s="179" t="s">
        <v>211</v>
      </c>
      <c r="L103" s="471">
        <v>1.0</v>
      </c>
      <c r="M103" s="458">
        <v>2100.0</v>
      </c>
      <c r="N103" s="286" t="s">
        <v>71</v>
      </c>
      <c r="O103" s="120" t="s">
        <v>91</v>
      </c>
      <c r="P103" s="353" t="s">
        <v>72</v>
      </c>
      <c r="Q103" s="123">
        <v>2966.0</v>
      </c>
      <c r="R103" s="353" t="s">
        <v>233</v>
      </c>
      <c r="S103" s="286" t="s">
        <v>31</v>
      </c>
      <c r="T103" s="343" t="s">
        <v>3004</v>
      </c>
      <c r="U103" s="123" t="s">
        <v>1867</v>
      </c>
      <c r="V103" s="123" t="s">
        <v>1867</v>
      </c>
      <c r="W103" s="123" t="s">
        <v>1867</v>
      </c>
      <c r="X103" s="123" t="s">
        <v>2820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>
      <c r="A104" s="12">
        <v>100.0</v>
      </c>
      <c r="B104" s="528" t="s">
        <v>3060</v>
      </c>
      <c r="C104" s="528" t="s">
        <v>3061</v>
      </c>
      <c r="D104" s="528" t="s">
        <v>3062</v>
      </c>
      <c r="E104" s="529" t="s">
        <v>3063</v>
      </c>
      <c r="F104" s="528" t="s">
        <v>3064</v>
      </c>
      <c r="G104" s="528">
        <v>5.0</v>
      </c>
      <c r="H104" s="530" t="s">
        <v>123</v>
      </c>
      <c r="I104" s="531">
        <v>46149.0</v>
      </c>
      <c r="J104" s="531">
        <v>46149.0</v>
      </c>
      <c r="K104" s="528" t="s">
        <v>57</v>
      </c>
      <c r="L104" s="528">
        <v>1.0</v>
      </c>
      <c r="M104" s="532">
        <v>1858.2</v>
      </c>
      <c r="N104" s="533" t="s">
        <v>71</v>
      </c>
      <c r="O104" s="534" t="s">
        <v>29</v>
      </c>
      <c r="P104" s="535" t="s">
        <v>72</v>
      </c>
      <c r="Q104" s="528">
        <v>2917.0</v>
      </c>
      <c r="R104" s="535" t="s">
        <v>1979</v>
      </c>
      <c r="S104" s="533" t="s">
        <v>110</v>
      </c>
      <c r="T104" s="536" t="s">
        <v>3065</v>
      </c>
      <c r="U104" s="528" t="s">
        <v>1867</v>
      </c>
      <c r="V104" s="350" t="s">
        <v>1867</v>
      </c>
      <c r="W104" s="528" t="s">
        <v>1867</v>
      </c>
      <c r="X104" s="528" t="s">
        <v>2823</v>
      </c>
      <c r="Y104" s="24"/>
      <c r="Z104" s="24"/>
      <c r="AA104" s="24"/>
      <c r="AB104" s="24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>
      <c r="A105" s="12">
        <v>101.0</v>
      </c>
      <c r="B105" s="106" t="s">
        <v>2696</v>
      </c>
      <c r="C105" s="106" t="s">
        <v>2697</v>
      </c>
      <c r="D105" s="106" t="s">
        <v>2698</v>
      </c>
      <c r="E105" s="161" t="s">
        <v>3066</v>
      </c>
      <c r="F105" s="106" t="s">
        <v>2699</v>
      </c>
      <c r="G105" s="106">
        <v>8.0</v>
      </c>
      <c r="H105" s="123" t="s">
        <v>711</v>
      </c>
      <c r="I105" s="108">
        <v>46141.0</v>
      </c>
      <c r="J105" s="108">
        <v>46149.0</v>
      </c>
      <c r="K105" s="89" t="s">
        <v>57</v>
      </c>
      <c r="L105" s="467">
        <v>1.0</v>
      </c>
      <c r="M105" s="89">
        <v>600.0</v>
      </c>
      <c r="N105" s="86" t="s">
        <v>71</v>
      </c>
      <c r="O105" s="86" t="s">
        <v>29</v>
      </c>
      <c r="P105" s="86" t="s">
        <v>72</v>
      </c>
      <c r="Q105" s="86">
        <v>2921.0</v>
      </c>
      <c r="R105" s="86" t="s">
        <v>73</v>
      </c>
      <c r="S105" s="86" t="s">
        <v>110</v>
      </c>
      <c r="T105" s="537"/>
      <c r="U105" s="538" t="s">
        <v>1867</v>
      </c>
      <c r="V105" s="539" t="s">
        <v>1867</v>
      </c>
      <c r="W105" s="540" t="s">
        <v>1867</v>
      </c>
      <c r="X105" s="540" t="s">
        <v>2823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>
      <c r="A106" s="12">
        <v>102.0</v>
      </c>
      <c r="B106" s="106" t="s">
        <v>2228</v>
      </c>
      <c r="C106" s="106" t="s">
        <v>2229</v>
      </c>
      <c r="D106" s="106" t="s">
        <v>2657</v>
      </c>
      <c r="E106" s="166" t="s">
        <v>2231</v>
      </c>
      <c r="F106" s="106" t="s">
        <v>2658</v>
      </c>
      <c r="G106" s="106" t="s">
        <v>26</v>
      </c>
      <c r="H106" s="106" t="s">
        <v>1083</v>
      </c>
      <c r="I106" s="108">
        <v>46141.0</v>
      </c>
      <c r="J106" s="106"/>
      <c r="K106" s="89" t="s">
        <v>57</v>
      </c>
      <c r="L106" s="467">
        <v>1.0</v>
      </c>
      <c r="M106" s="89">
        <v>2100.0</v>
      </c>
      <c r="N106" s="86" t="s">
        <v>28</v>
      </c>
      <c r="O106" s="86" t="s">
        <v>29</v>
      </c>
      <c r="P106" s="86" t="s">
        <v>40</v>
      </c>
      <c r="Q106" s="86"/>
      <c r="R106" s="86" t="s">
        <v>73</v>
      </c>
      <c r="S106" s="86" t="s">
        <v>110</v>
      </c>
      <c r="T106" s="188"/>
      <c r="U106" s="178"/>
      <c r="V106" s="178"/>
      <c r="W106" s="178"/>
      <c r="X106" s="178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>
      <c r="A107" s="12">
        <v>103.0</v>
      </c>
      <c r="B107" s="106" t="s">
        <v>3067</v>
      </c>
      <c r="C107" s="106" t="s">
        <v>3068</v>
      </c>
      <c r="D107" s="106" t="s">
        <v>3069</v>
      </c>
      <c r="E107" s="166" t="s">
        <v>3070</v>
      </c>
      <c r="F107" s="106" t="s">
        <v>3071</v>
      </c>
      <c r="G107" s="106">
        <v>150.0</v>
      </c>
      <c r="H107" s="107" t="s">
        <v>123</v>
      </c>
      <c r="I107" s="108">
        <v>46142.0</v>
      </c>
      <c r="J107" s="108"/>
      <c r="K107" s="89">
        <v>1551.3</v>
      </c>
      <c r="L107" s="467">
        <v>12.0</v>
      </c>
      <c r="M107" s="89">
        <f>K107*12</f>
        <v>18615.6</v>
      </c>
      <c r="N107" s="86" t="s">
        <v>58</v>
      </c>
      <c r="O107" s="86" t="s">
        <v>29</v>
      </c>
      <c r="P107" s="86" t="s">
        <v>40</v>
      </c>
      <c r="Q107" s="86"/>
      <c r="R107" s="86" t="s">
        <v>73</v>
      </c>
      <c r="S107" s="86" t="s">
        <v>110</v>
      </c>
      <c r="T107" s="188"/>
      <c r="U107" s="178"/>
      <c r="V107" s="178"/>
      <c r="W107" s="178"/>
      <c r="X107" s="178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>
      <c r="A108" s="12">
        <v>104.0</v>
      </c>
      <c r="B108" s="106" t="s">
        <v>3072</v>
      </c>
      <c r="C108" s="106" t="s">
        <v>3073</v>
      </c>
      <c r="D108" s="106" t="s">
        <v>3074</v>
      </c>
      <c r="E108" s="166" t="s">
        <v>3075</v>
      </c>
      <c r="F108" s="106" t="s">
        <v>3076</v>
      </c>
      <c r="G108" s="106">
        <v>2.0</v>
      </c>
      <c r="H108" s="146" t="s">
        <v>711</v>
      </c>
      <c r="I108" s="108">
        <v>46146.0</v>
      </c>
      <c r="J108" s="108"/>
      <c r="K108" s="89">
        <v>200.0</v>
      </c>
      <c r="L108" s="467">
        <v>4.0</v>
      </c>
      <c r="M108" s="89">
        <f>K108*4</f>
        <v>800</v>
      </c>
      <c r="N108" s="86" t="s">
        <v>58</v>
      </c>
      <c r="O108" s="86" t="s">
        <v>29</v>
      </c>
      <c r="P108" s="86" t="s">
        <v>40</v>
      </c>
      <c r="Q108" s="86"/>
      <c r="R108" s="86" t="s">
        <v>73</v>
      </c>
      <c r="S108" s="86" t="s">
        <v>110</v>
      </c>
      <c r="T108" s="188"/>
      <c r="U108" s="178"/>
      <c r="V108" s="178"/>
      <c r="W108" s="178"/>
      <c r="X108" s="178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>
      <c r="A109" s="12">
        <v>105.0</v>
      </c>
      <c r="B109" s="123" t="s">
        <v>3077</v>
      </c>
      <c r="C109" s="541" t="s">
        <v>250</v>
      </c>
      <c r="D109" s="123" t="s">
        <v>251</v>
      </c>
      <c r="E109" s="181" t="s">
        <v>3078</v>
      </c>
      <c r="F109" s="123" t="s">
        <v>253</v>
      </c>
      <c r="G109" s="123" t="s">
        <v>26</v>
      </c>
      <c r="H109" s="542" t="s">
        <v>3079</v>
      </c>
      <c r="I109" s="177">
        <v>46156.0</v>
      </c>
      <c r="J109" s="177">
        <v>46156.0</v>
      </c>
      <c r="K109" s="125">
        <v>466.67</v>
      </c>
      <c r="L109" s="471">
        <v>3.0</v>
      </c>
      <c r="M109" s="238">
        <f>K109*3</f>
        <v>1400.01</v>
      </c>
      <c r="N109" s="286" t="s">
        <v>71</v>
      </c>
      <c r="O109" s="120" t="s">
        <v>91</v>
      </c>
      <c r="P109" s="353" t="s">
        <v>72</v>
      </c>
      <c r="Q109" s="123">
        <v>2967.0</v>
      </c>
      <c r="R109" s="353" t="s">
        <v>73</v>
      </c>
      <c r="S109" s="286" t="s">
        <v>31</v>
      </c>
      <c r="T109" s="543" t="s">
        <v>3080</v>
      </c>
      <c r="U109" s="123" t="s">
        <v>1867</v>
      </c>
      <c r="V109" s="123" t="s">
        <v>1867</v>
      </c>
      <c r="W109" s="123" t="s">
        <v>1867</v>
      </c>
      <c r="X109" s="123" t="s">
        <v>2820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>
      <c r="A110" s="12">
        <v>106.0</v>
      </c>
      <c r="B110" s="146" t="s">
        <v>3081</v>
      </c>
      <c r="C110" s="146" t="s">
        <v>3082</v>
      </c>
      <c r="D110" s="146" t="s">
        <v>3083</v>
      </c>
      <c r="E110" s="182" t="s">
        <v>3084</v>
      </c>
      <c r="F110" s="146" t="s">
        <v>3085</v>
      </c>
      <c r="G110" s="146">
        <v>7.0</v>
      </c>
      <c r="H110" s="303" t="s">
        <v>65</v>
      </c>
      <c r="I110" s="321">
        <v>46156.0</v>
      </c>
      <c r="J110" s="312"/>
      <c r="K110" s="128">
        <v>180.0</v>
      </c>
      <c r="L110" s="339">
        <v>12.0</v>
      </c>
      <c r="M110" s="308">
        <f>K110*12</f>
        <v>2160</v>
      </c>
      <c r="N110" s="286" t="s">
        <v>58</v>
      </c>
      <c r="O110" s="304" t="s">
        <v>29</v>
      </c>
      <c r="P110" s="353" t="s">
        <v>40</v>
      </c>
      <c r="Q110" s="146"/>
      <c r="R110" s="353" t="s">
        <v>73</v>
      </c>
      <c r="S110" s="286" t="s">
        <v>31</v>
      </c>
      <c r="T110" s="323" t="s">
        <v>3086</v>
      </c>
      <c r="U110" s="312"/>
      <c r="V110" s="312"/>
      <c r="W110" s="312"/>
      <c r="X110" s="312"/>
      <c r="Y110" s="314"/>
      <c r="Z110" s="314"/>
      <c r="AA110" s="314"/>
      <c r="AB110" s="314"/>
      <c r="AC110" s="314"/>
      <c r="AD110" s="314"/>
      <c r="AE110" s="314"/>
      <c r="AF110" s="314"/>
      <c r="AG110" s="314"/>
      <c r="AH110" s="314"/>
      <c r="AI110" s="314"/>
      <c r="AJ110" s="314"/>
      <c r="AK110" s="314"/>
      <c r="AL110" s="314"/>
      <c r="AM110" s="314"/>
      <c r="AN110" s="314"/>
      <c r="AO110" s="314"/>
      <c r="AP110" s="314"/>
      <c r="AQ110" s="314"/>
      <c r="AR110" s="314"/>
      <c r="AS110" s="314"/>
      <c r="AT110" s="314"/>
      <c r="AU110" s="314"/>
      <c r="AV110" s="314"/>
      <c r="AW110" s="314"/>
    </row>
    <row r="111">
      <c r="A111" s="12">
        <v>107.0</v>
      </c>
      <c r="B111" s="123" t="s">
        <v>3087</v>
      </c>
      <c r="C111" s="541" t="s">
        <v>3088</v>
      </c>
      <c r="D111" s="123" t="s">
        <v>3089</v>
      </c>
      <c r="E111" s="181" t="s">
        <v>3090</v>
      </c>
      <c r="F111" s="123" t="s">
        <v>3091</v>
      </c>
      <c r="G111" s="123">
        <v>3.0</v>
      </c>
      <c r="H111" s="123" t="s">
        <v>711</v>
      </c>
      <c r="I111" s="177">
        <v>46149.0</v>
      </c>
      <c r="J111" s="177">
        <v>46157.0</v>
      </c>
      <c r="K111" s="125">
        <v>250.0</v>
      </c>
      <c r="L111" s="471">
        <v>4.0</v>
      </c>
      <c r="M111" s="238">
        <f t="shared" ref="M111:M113" si="14">K111*4</f>
        <v>1000</v>
      </c>
      <c r="N111" s="286" t="s">
        <v>71</v>
      </c>
      <c r="O111" s="120" t="s">
        <v>91</v>
      </c>
      <c r="P111" s="353" t="s">
        <v>72</v>
      </c>
      <c r="Q111" s="350">
        <v>2976.0</v>
      </c>
      <c r="R111" s="353" t="s">
        <v>233</v>
      </c>
      <c r="S111" s="286" t="s">
        <v>2208</v>
      </c>
      <c r="T111" s="543"/>
      <c r="U111" s="123" t="s">
        <v>1867</v>
      </c>
      <c r="V111" s="123" t="s">
        <v>1867</v>
      </c>
      <c r="W111" s="123" t="s">
        <v>1867</v>
      </c>
      <c r="X111" s="123" t="s">
        <v>2820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>
      <c r="A112" s="12">
        <v>108.0</v>
      </c>
      <c r="B112" s="123" t="s">
        <v>3092</v>
      </c>
      <c r="C112" s="541" t="s">
        <v>3093</v>
      </c>
      <c r="D112" s="123" t="s">
        <v>3089</v>
      </c>
      <c r="E112" s="181" t="s">
        <v>3090</v>
      </c>
      <c r="F112" s="123" t="s">
        <v>3091</v>
      </c>
      <c r="G112" s="123">
        <v>5.0</v>
      </c>
      <c r="H112" s="123" t="s">
        <v>711</v>
      </c>
      <c r="I112" s="177">
        <v>46149.0</v>
      </c>
      <c r="J112" s="177">
        <v>46157.0</v>
      </c>
      <c r="K112" s="125">
        <v>250.0</v>
      </c>
      <c r="L112" s="471">
        <v>4.0</v>
      </c>
      <c r="M112" s="238">
        <f t="shared" si="14"/>
        <v>1000</v>
      </c>
      <c r="N112" s="286" t="s">
        <v>71</v>
      </c>
      <c r="O112" s="120" t="s">
        <v>91</v>
      </c>
      <c r="P112" s="353" t="s">
        <v>72</v>
      </c>
      <c r="Q112" s="350">
        <v>2977.0</v>
      </c>
      <c r="R112" s="353" t="s">
        <v>233</v>
      </c>
      <c r="S112" s="286" t="s">
        <v>2208</v>
      </c>
      <c r="T112" s="543"/>
      <c r="U112" s="123" t="s">
        <v>1867</v>
      </c>
      <c r="V112" s="123" t="s">
        <v>1867</v>
      </c>
      <c r="W112" s="123" t="s">
        <v>1867</v>
      </c>
      <c r="X112" s="123" t="s">
        <v>2820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>
      <c r="A113" s="12">
        <v>109.0</v>
      </c>
      <c r="B113" s="123" t="s">
        <v>3092</v>
      </c>
      <c r="C113" s="541" t="s">
        <v>3094</v>
      </c>
      <c r="D113" s="123" t="s">
        <v>3089</v>
      </c>
      <c r="E113" s="181" t="s">
        <v>3090</v>
      </c>
      <c r="F113" s="123" t="s">
        <v>3091</v>
      </c>
      <c r="G113" s="123">
        <v>1.0</v>
      </c>
      <c r="H113" s="123" t="s">
        <v>711</v>
      </c>
      <c r="I113" s="177">
        <v>46149.0</v>
      </c>
      <c r="J113" s="177">
        <v>46157.0</v>
      </c>
      <c r="K113" s="125">
        <v>250.0</v>
      </c>
      <c r="L113" s="471">
        <v>4.0</v>
      </c>
      <c r="M113" s="238">
        <f t="shared" si="14"/>
        <v>1000</v>
      </c>
      <c r="N113" s="286" t="s">
        <v>71</v>
      </c>
      <c r="O113" s="120" t="s">
        <v>91</v>
      </c>
      <c r="P113" s="353" t="s">
        <v>72</v>
      </c>
      <c r="Q113" s="350">
        <v>2978.0</v>
      </c>
      <c r="R113" s="353" t="s">
        <v>233</v>
      </c>
      <c r="S113" s="286" t="s">
        <v>2208</v>
      </c>
      <c r="T113" s="543"/>
      <c r="U113" s="123" t="s">
        <v>1867</v>
      </c>
      <c r="V113" s="123" t="s">
        <v>1867</v>
      </c>
      <c r="W113" s="123" t="s">
        <v>1867</v>
      </c>
      <c r="X113" s="123" t="s">
        <v>2820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>
      <c r="A114" s="12">
        <v>110.0</v>
      </c>
      <c r="B114" s="106" t="s">
        <v>3095</v>
      </c>
      <c r="C114" s="106" t="s">
        <v>3096</v>
      </c>
      <c r="D114" s="106" t="s">
        <v>3097</v>
      </c>
      <c r="E114" s="166" t="s">
        <v>3098</v>
      </c>
      <c r="F114" s="173" t="s">
        <v>3099</v>
      </c>
      <c r="G114" s="106">
        <v>8.0</v>
      </c>
      <c r="H114" s="107" t="s">
        <v>123</v>
      </c>
      <c r="I114" s="108">
        <v>46146.0</v>
      </c>
      <c r="J114" s="108"/>
      <c r="K114" s="89">
        <v>181.0</v>
      </c>
      <c r="L114" s="467">
        <v>12.0</v>
      </c>
      <c r="M114" s="89">
        <f>K114*12</f>
        <v>2172</v>
      </c>
      <c r="N114" s="86" t="s">
        <v>58</v>
      </c>
      <c r="O114" s="86" t="s">
        <v>29</v>
      </c>
      <c r="P114" s="86" t="s">
        <v>40</v>
      </c>
      <c r="Q114" s="86"/>
      <c r="R114" s="86" t="s">
        <v>233</v>
      </c>
      <c r="S114" s="86" t="s">
        <v>110</v>
      </c>
      <c r="T114" s="188"/>
      <c r="U114" s="178"/>
      <c r="V114" s="178"/>
      <c r="W114" s="178"/>
      <c r="X114" s="178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>
      <c r="A115" s="12">
        <v>111.0</v>
      </c>
      <c r="B115" s="106" t="s">
        <v>2710</v>
      </c>
      <c r="C115" s="106" t="s">
        <v>2711</v>
      </c>
      <c r="D115" s="106" t="s">
        <v>2698</v>
      </c>
      <c r="E115" s="161" t="s">
        <v>3066</v>
      </c>
      <c r="F115" s="106" t="s">
        <v>2699</v>
      </c>
      <c r="G115" s="106">
        <v>6.0</v>
      </c>
      <c r="H115" s="123" t="s">
        <v>711</v>
      </c>
      <c r="I115" s="108">
        <v>46141.0</v>
      </c>
      <c r="J115" s="108">
        <v>46149.0</v>
      </c>
      <c r="K115" s="89" t="s">
        <v>57</v>
      </c>
      <c r="L115" s="467">
        <v>1.0</v>
      </c>
      <c r="M115" s="89">
        <v>600.0</v>
      </c>
      <c r="N115" s="86" t="s">
        <v>71</v>
      </c>
      <c r="O115" s="86" t="s">
        <v>29</v>
      </c>
      <c r="P115" s="86" t="s">
        <v>72</v>
      </c>
      <c r="Q115" s="86">
        <v>2922.0</v>
      </c>
      <c r="R115" s="86" t="s">
        <v>73</v>
      </c>
      <c r="S115" s="86" t="s">
        <v>110</v>
      </c>
      <c r="T115" s="537"/>
      <c r="U115" s="538" t="s">
        <v>1867</v>
      </c>
      <c r="V115" s="539" t="s">
        <v>1867</v>
      </c>
      <c r="W115" s="540" t="s">
        <v>1867</v>
      </c>
      <c r="X115" s="540" t="s">
        <v>2823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>
      <c r="A116" s="12">
        <v>112.0</v>
      </c>
      <c r="B116" s="107" t="s">
        <v>2318</v>
      </c>
      <c r="C116" s="106" t="s">
        <v>2319</v>
      </c>
      <c r="D116" s="106" t="s">
        <v>2320</v>
      </c>
      <c r="E116" s="161" t="s">
        <v>3100</v>
      </c>
      <c r="F116" s="173" t="s">
        <v>2322</v>
      </c>
      <c r="G116" s="106">
        <v>6.0</v>
      </c>
      <c r="H116" s="350" t="s">
        <v>2816</v>
      </c>
      <c r="I116" s="108">
        <v>46153.0</v>
      </c>
      <c r="J116" s="317">
        <v>46154.0</v>
      </c>
      <c r="K116" s="89">
        <v>169.0</v>
      </c>
      <c r="L116" s="467">
        <v>12.0</v>
      </c>
      <c r="M116" s="89">
        <f t="shared" ref="M116:M120" si="15">K116*12</f>
        <v>2028</v>
      </c>
      <c r="N116" s="86" t="s">
        <v>71</v>
      </c>
      <c r="O116" s="86" t="s">
        <v>29</v>
      </c>
      <c r="P116" s="86" t="s">
        <v>72</v>
      </c>
      <c r="Q116" s="86">
        <v>2942.0</v>
      </c>
      <c r="R116" s="86" t="s">
        <v>233</v>
      </c>
      <c r="S116" s="86" t="s">
        <v>110</v>
      </c>
      <c r="T116" s="188"/>
      <c r="U116" s="123" t="s">
        <v>1867</v>
      </c>
      <c r="V116" s="123" t="s">
        <v>1867</v>
      </c>
      <c r="W116" s="123" t="s">
        <v>1867</v>
      </c>
      <c r="X116" s="123" t="s">
        <v>2820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>
      <c r="A117" s="12">
        <v>113.0</v>
      </c>
      <c r="B117" s="106" t="s">
        <v>3101</v>
      </c>
      <c r="C117" s="106" t="s">
        <v>3102</v>
      </c>
      <c r="D117" s="106" t="s">
        <v>3103</v>
      </c>
      <c r="E117" s="166" t="s">
        <v>1302</v>
      </c>
      <c r="F117" s="106" t="s">
        <v>3104</v>
      </c>
      <c r="G117" s="106">
        <v>6.0</v>
      </c>
      <c r="H117" s="107" t="s">
        <v>123</v>
      </c>
      <c r="I117" s="108">
        <v>46148.0</v>
      </c>
      <c r="J117" s="108"/>
      <c r="K117" s="89">
        <v>169.0</v>
      </c>
      <c r="L117" s="467">
        <v>12.0</v>
      </c>
      <c r="M117" s="89">
        <f t="shared" si="15"/>
        <v>2028</v>
      </c>
      <c r="N117" s="86" t="s">
        <v>58</v>
      </c>
      <c r="O117" s="86" t="s">
        <v>29</v>
      </c>
      <c r="P117" s="86" t="s">
        <v>40</v>
      </c>
      <c r="Q117" s="86"/>
      <c r="R117" s="86" t="s">
        <v>73</v>
      </c>
      <c r="S117" s="86" t="s">
        <v>110</v>
      </c>
      <c r="T117" s="188"/>
      <c r="U117" s="178"/>
      <c r="V117" s="178"/>
      <c r="W117" s="178"/>
      <c r="X117" s="178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</row>
    <row r="118">
      <c r="A118" s="12">
        <v>114.0</v>
      </c>
      <c r="B118" s="106" t="s">
        <v>3105</v>
      </c>
      <c r="C118" s="106" t="s">
        <v>3106</v>
      </c>
      <c r="D118" s="106" t="s">
        <v>3107</v>
      </c>
      <c r="E118" s="166" t="s">
        <v>3108</v>
      </c>
      <c r="F118" s="173" t="s">
        <v>3109</v>
      </c>
      <c r="G118" s="106">
        <v>5.0</v>
      </c>
      <c r="H118" s="107" t="s">
        <v>123</v>
      </c>
      <c r="I118" s="108">
        <v>46148.0</v>
      </c>
      <c r="J118" s="108"/>
      <c r="K118" s="89">
        <v>163.0</v>
      </c>
      <c r="L118" s="467">
        <v>12.0</v>
      </c>
      <c r="M118" s="89">
        <f t="shared" si="15"/>
        <v>1956</v>
      </c>
      <c r="N118" s="86" t="s">
        <v>58</v>
      </c>
      <c r="O118" s="86" t="s">
        <v>29</v>
      </c>
      <c r="P118" s="86" t="s">
        <v>40</v>
      </c>
      <c r="Q118" s="86"/>
      <c r="R118" s="86" t="s">
        <v>73</v>
      </c>
      <c r="S118" s="86" t="s">
        <v>110</v>
      </c>
      <c r="T118" s="188"/>
      <c r="U118" s="178"/>
      <c r="V118" s="178"/>
      <c r="W118" s="178"/>
      <c r="X118" s="178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>
      <c r="A119" s="12">
        <v>115.0</v>
      </c>
      <c r="B119" s="106" t="s">
        <v>3110</v>
      </c>
      <c r="C119" s="106" t="s">
        <v>3111</v>
      </c>
      <c r="D119" s="106" t="s">
        <v>3112</v>
      </c>
      <c r="E119" s="166" t="s">
        <v>3113</v>
      </c>
      <c r="F119" s="106" t="s">
        <v>3114</v>
      </c>
      <c r="G119" s="106">
        <v>1.0</v>
      </c>
      <c r="H119" s="107" t="s">
        <v>123</v>
      </c>
      <c r="I119" s="108">
        <v>46148.0</v>
      </c>
      <c r="J119" s="108"/>
      <c r="K119" s="89">
        <v>139.0</v>
      </c>
      <c r="L119" s="467">
        <v>12.0</v>
      </c>
      <c r="M119" s="89">
        <f t="shared" si="15"/>
        <v>1668</v>
      </c>
      <c r="N119" s="86" t="s">
        <v>58</v>
      </c>
      <c r="O119" s="86" t="s">
        <v>29</v>
      </c>
      <c r="P119" s="86" t="s">
        <v>40</v>
      </c>
      <c r="Q119" s="86"/>
      <c r="R119" s="86" t="s">
        <v>73</v>
      </c>
      <c r="S119" s="86" t="s">
        <v>110</v>
      </c>
      <c r="T119" s="188"/>
      <c r="U119" s="178"/>
      <c r="V119" s="178"/>
      <c r="W119" s="178"/>
      <c r="X119" s="178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>
      <c r="A120" s="12">
        <v>116.0</v>
      </c>
      <c r="B120" s="106" t="s">
        <v>3115</v>
      </c>
      <c r="C120" s="106" t="s">
        <v>3116</v>
      </c>
      <c r="D120" s="106" t="s">
        <v>3117</v>
      </c>
      <c r="E120" s="166" t="s">
        <v>3118</v>
      </c>
      <c r="F120" s="106" t="s">
        <v>3119</v>
      </c>
      <c r="G120" s="106">
        <v>6.0</v>
      </c>
      <c r="H120" s="107" t="s">
        <v>123</v>
      </c>
      <c r="I120" s="108">
        <v>46149.0</v>
      </c>
      <c r="J120" s="108"/>
      <c r="K120" s="89">
        <v>169.0</v>
      </c>
      <c r="L120" s="467">
        <v>12.0</v>
      </c>
      <c r="M120" s="89">
        <f t="shared" si="15"/>
        <v>2028</v>
      </c>
      <c r="N120" s="86" t="s">
        <v>28</v>
      </c>
      <c r="O120" s="86" t="s">
        <v>29</v>
      </c>
      <c r="P120" s="86" t="s">
        <v>40</v>
      </c>
      <c r="Q120" s="86"/>
      <c r="R120" s="86" t="s">
        <v>73</v>
      </c>
      <c r="S120" s="86" t="s">
        <v>110</v>
      </c>
      <c r="T120" s="188"/>
      <c r="U120" s="178"/>
      <c r="V120" s="178"/>
      <c r="W120" s="178"/>
      <c r="X120" s="178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>
      <c r="A121" s="12">
        <v>117.0</v>
      </c>
      <c r="B121" s="106" t="s">
        <v>3120</v>
      </c>
      <c r="C121" s="106" t="s">
        <v>3121</v>
      </c>
      <c r="D121" s="106" t="s">
        <v>1760</v>
      </c>
      <c r="E121" s="544" t="s">
        <v>3122</v>
      </c>
      <c r="F121" s="106" t="s">
        <v>3123</v>
      </c>
      <c r="G121" s="106">
        <v>5.0</v>
      </c>
      <c r="H121" s="106" t="s">
        <v>3124</v>
      </c>
      <c r="I121" s="108">
        <v>46149.0</v>
      </c>
      <c r="J121" s="108"/>
      <c r="K121" s="89">
        <v>605.0</v>
      </c>
      <c r="L121" s="467">
        <v>4.0</v>
      </c>
      <c r="M121" s="89">
        <f>K121*4</f>
        <v>2420</v>
      </c>
      <c r="N121" s="86" t="s">
        <v>58</v>
      </c>
      <c r="O121" s="86" t="s">
        <v>29</v>
      </c>
      <c r="P121" s="86" t="s">
        <v>40</v>
      </c>
      <c r="Q121" s="86"/>
      <c r="R121" s="86" t="s">
        <v>73</v>
      </c>
      <c r="S121" s="86" t="s">
        <v>110</v>
      </c>
      <c r="T121" s="188"/>
      <c r="U121" s="178"/>
      <c r="V121" s="178"/>
      <c r="W121" s="178"/>
      <c r="X121" s="178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>
      <c r="A122" s="12">
        <v>118.0</v>
      </c>
      <c r="B122" s="106" t="s">
        <v>3125</v>
      </c>
      <c r="C122" s="106">
        <v>0.0</v>
      </c>
      <c r="D122" s="106" t="s">
        <v>3126</v>
      </c>
      <c r="E122" s="166" t="s">
        <v>2337</v>
      </c>
      <c r="F122" s="106"/>
      <c r="G122" s="106"/>
      <c r="H122" s="106" t="s">
        <v>3127</v>
      </c>
      <c r="I122" s="108">
        <v>46149.0</v>
      </c>
      <c r="J122" s="108"/>
      <c r="K122" s="89" t="s">
        <v>57</v>
      </c>
      <c r="L122" s="467">
        <v>1.0</v>
      </c>
      <c r="M122" s="89">
        <v>13000.0</v>
      </c>
      <c r="N122" s="86" t="s">
        <v>58</v>
      </c>
      <c r="O122" s="86" t="s">
        <v>29</v>
      </c>
      <c r="P122" s="86" t="s">
        <v>40</v>
      </c>
      <c r="Q122" s="86"/>
      <c r="R122" s="86" t="s">
        <v>73</v>
      </c>
      <c r="S122" s="86" t="s">
        <v>110</v>
      </c>
      <c r="T122" s="188"/>
      <c r="U122" s="178"/>
      <c r="V122" s="178"/>
      <c r="W122" s="178"/>
      <c r="X122" s="178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</row>
    <row r="123">
      <c r="A123" s="12">
        <v>119.0</v>
      </c>
      <c r="B123" s="106" t="s">
        <v>3128</v>
      </c>
      <c r="C123" s="106" t="s">
        <v>3129</v>
      </c>
      <c r="D123" s="106" t="s">
        <v>3130</v>
      </c>
      <c r="E123" s="545" t="s">
        <v>3131</v>
      </c>
      <c r="F123" s="106" t="s">
        <v>3132</v>
      </c>
      <c r="G123" s="106">
        <v>2.0</v>
      </c>
      <c r="H123" s="350" t="s">
        <v>2816</v>
      </c>
      <c r="I123" s="108">
        <v>46153.0</v>
      </c>
      <c r="J123" s="108">
        <v>46153.0</v>
      </c>
      <c r="K123" s="89">
        <v>145.0</v>
      </c>
      <c r="L123" s="467">
        <v>12.0</v>
      </c>
      <c r="M123" s="89">
        <f t="shared" ref="M123:M124" si="16">K123*12</f>
        <v>1740</v>
      </c>
      <c r="N123" s="86" t="s">
        <v>71</v>
      </c>
      <c r="O123" s="86" t="s">
        <v>29</v>
      </c>
      <c r="P123" s="86" t="s">
        <v>72</v>
      </c>
      <c r="Q123" s="86">
        <v>2944.0</v>
      </c>
      <c r="R123" s="86" t="s">
        <v>73</v>
      </c>
      <c r="S123" s="86" t="s">
        <v>110</v>
      </c>
      <c r="T123" s="188"/>
      <c r="U123" s="123" t="s">
        <v>1867</v>
      </c>
      <c r="V123" s="123" t="s">
        <v>1867</v>
      </c>
      <c r="W123" s="123" t="s">
        <v>1867</v>
      </c>
      <c r="X123" s="123" t="s">
        <v>2820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</row>
    <row r="124">
      <c r="A124" s="12">
        <v>120.0</v>
      </c>
      <c r="B124" s="106" t="s">
        <v>3133</v>
      </c>
      <c r="C124" s="106" t="s">
        <v>3134</v>
      </c>
      <c r="D124" s="106" t="s">
        <v>2965</v>
      </c>
      <c r="E124" s="166" t="s">
        <v>3135</v>
      </c>
      <c r="F124" s="106" t="s">
        <v>3136</v>
      </c>
      <c r="G124" s="106">
        <v>10.0</v>
      </c>
      <c r="H124" s="107" t="s">
        <v>123</v>
      </c>
      <c r="I124" s="108">
        <v>46150.0</v>
      </c>
      <c r="J124" s="108"/>
      <c r="K124" s="89">
        <v>193.0</v>
      </c>
      <c r="L124" s="467">
        <v>12.0</v>
      </c>
      <c r="M124" s="89">
        <f t="shared" si="16"/>
        <v>2316</v>
      </c>
      <c r="N124" s="86" t="s">
        <v>58</v>
      </c>
      <c r="O124" s="86" t="s">
        <v>29</v>
      </c>
      <c r="P124" s="86" t="s">
        <v>40</v>
      </c>
      <c r="Q124" s="86"/>
      <c r="R124" s="86" t="s">
        <v>73</v>
      </c>
      <c r="S124" s="86" t="s">
        <v>110</v>
      </c>
      <c r="T124" s="188"/>
      <c r="U124" s="178"/>
      <c r="V124" s="178"/>
      <c r="W124" s="178"/>
      <c r="X124" s="178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</row>
    <row r="125">
      <c r="A125" s="12">
        <v>121.0</v>
      </c>
      <c r="B125" s="106" t="s">
        <v>3137</v>
      </c>
      <c r="C125" s="106" t="s">
        <v>3138</v>
      </c>
      <c r="D125" s="106" t="s">
        <v>2678</v>
      </c>
      <c r="E125" s="161" t="s">
        <v>3001</v>
      </c>
      <c r="F125" s="106" t="s">
        <v>2658</v>
      </c>
      <c r="G125" s="106" t="s">
        <v>26</v>
      </c>
      <c r="H125" s="106" t="s">
        <v>1083</v>
      </c>
      <c r="I125" s="108">
        <v>46147.0</v>
      </c>
      <c r="J125" s="108">
        <v>46154.0</v>
      </c>
      <c r="K125" s="89" t="s">
        <v>57</v>
      </c>
      <c r="L125" s="467">
        <v>1.0</v>
      </c>
      <c r="M125" s="89">
        <v>2100.0</v>
      </c>
      <c r="N125" s="86" t="s">
        <v>71</v>
      </c>
      <c r="O125" s="86" t="s">
        <v>29</v>
      </c>
      <c r="P125" s="86" t="s">
        <v>72</v>
      </c>
      <c r="Q125" s="86">
        <v>2946.0</v>
      </c>
      <c r="R125" s="86" t="s">
        <v>73</v>
      </c>
      <c r="S125" s="86" t="s">
        <v>110</v>
      </c>
      <c r="T125" s="188"/>
      <c r="U125" s="123" t="s">
        <v>1867</v>
      </c>
      <c r="V125" s="123" t="s">
        <v>1867</v>
      </c>
      <c r="W125" s="123" t="s">
        <v>1867</v>
      </c>
      <c r="X125" s="123" t="s">
        <v>2820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>
      <c r="A126" s="12">
        <v>122.0</v>
      </c>
      <c r="B126" s="106" t="s">
        <v>3139</v>
      </c>
      <c r="C126" s="106" t="s">
        <v>3140</v>
      </c>
      <c r="D126" s="106" t="s">
        <v>3141</v>
      </c>
      <c r="E126" s="161" t="s">
        <v>3142</v>
      </c>
      <c r="F126" s="106" t="s">
        <v>3143</v>
      </c>
      <c r="G126" s="106">
        <v>10.0</v>
      </c>
      <c r="H126" s="123" t="s">
        <v>711</v>
      </c>
      <c r="I126" s="108">
        <v>46154.0</v>
      </c>
      <c r="J126" s="108">
        <v>46155.0</v>
      </c>
      <c r="K126" s="89" t="s">
        <v>57</v>
      </c>
      <c r="L126" s="546">
        <v>1.0</v>
      </c>
      <c r="M126" s="89">
        <v>600.0</v>
      </c>
      <c r="N126" s="86" t="s">
        <v>71</v>
      </c>
      <c r="O126" s="86" t="s">
        <v>91</v>
      </c>
      <c r="P126" s="86" t="s">
        <v>72</v>
      </c>
      <c r="Q126" s="86">
        <v>2962.0</v>
      </c>
      <c r="R126" s="86" t="s">
        <v>73</v>
      </c>
      <c r="S126" s="86" t="s">
        <v>110</v>
      </c>
      <c r="T126" s="315" t="s">
        <v>3144</v>
      </c>
      <c r="U126" s="123" t="s">
        <v>1867</v>
      </c>
      <c r="V126" s="123" t="s">
        <v>1867</v>
      </c>
      <c r="W126" s="123" t="s">
        <v>1867</v>
      </c>
      <c r="X126" s="123" t="s">
        <v>2820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>
      <c r="A127" s="12">
        <v>123.0</v>
      </c>
      <c r="B127" s="106" t="s">
        <v>3145</v>
      </c>
      <c r="C127" s="106" t="s">
        <v>3146</v>
      </c>
      <c r="D127" s="106" t="s">
        <v>3147</v>
      </c>
      <c r="E127" s="166" t="s">
        <v>3148</v>
      </c>
      <c r="F127" s="173" t="s">
        <v>3149</v>
      </c>
      <c r="G127" s="106">
        <v>27.0</v>
      </c>
      <c r="H127" s="146" t="s">
        <v>711</v>
      </c>
      <c r="I127" s="108">
        <v>46153.0</v>
      </c>
      <c r="J127" s="108"/>
      <c r="K127" s="89">
        <f>M127/4</f>
        <v>275</v>
      </c>
      <c r="L127" s="467">
        <v>4.0</v>
      </c>
      <c r="M127" s="89">
        <v>1100.0</v>
      </c>
      <c r="N127" s="86" t="s">
        <v>58</v>
      </c>
      <c r="O127" s="86" t="s">
        <v>29</v>
      </c>
      <c r="P127" s="86" t="s">
        <v>40</v>
      </c>
      <c r="Q127" s="86"/>
      <c r="R127" s="86" t="s">
        <v>73</v>
      </c>
      <c r="S127" s="86" t="s">
        <v>110</v>
      </c>
      <c r="T127" s="188"/>
      <c r="U127" s="178"/>
      <c r="V127" s="178"/>
      <c r="W127" s="178"/>
      <c r="X127" s="178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>
      <c r="A128" s="12">
        <v>124.0</v>
      </c>
      <c r="B128" s="106" t="s">
        <v>3150</v>
      </c>
      <c r="C128" s="106" t="s">
        <v>3151</v>
      </c>
      <c r="D128" s="106" t="s">
        <v>3152</v>
      </c>
      <c r="E128" s="166" t="s">
        <v>3153</v>
      </c>
      <c r="F128" s="106" t="s">
        <v>3154</v>
      </c>
      <c r="G128" s="106">
        <v>12.0</v>
      </c>
      <c r="H128" s="107" t="s">
        <v>123</v>
      </c>
      <c r="I128" s="108">
        <v>46153.0</v>
      </c>
      <c r="J128" s="108"/>
      <c r="K128" s="89">
        <v>205.0</v>
      </c>
      <c r="L128" s="467">
        <v>12.0</v>
      </c>
      <c r="M128" s="89">
        <f t="shared" ref="M128:M129" si="17">K128*12</f>
        <v>2460</v>
      </c>
      <c r="N128" s="86" t="s">
        <v>58</v>
      </c>
      <c r="O128" s="86" t="s">
        <v>29</v>
      </c>
      <c r="P128" s="86" t="s">
        <v>40</v>
      </c>
      <c r="Q128" s="86"/>
      <c r="R128" s="86" t="s">
        <v>233</v>
      </c>
      <c r="S128" s="86" t="s">
        <v>110</v>
      </c>
      <c r="T128" s="188"/>
      <c r="U128" s="178"/>
      <c r="V128" s="178"/>
      <c r="W128" s="178"/>
      <c r="X128" s="178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>
      <c r="A129" s="12">
        <v>125.0</v>
      </c>
      <c r="B129" s="106" t="s">
        <v>3155</v>
      </c>
      <c r="C129" s="106" t="s">
        <v>3156</v>
      </c>
      <c r="D129" s="106" t="s">
        <v>3157</v>
      </c>
      <c r="E129" s="166" t="s">
        <v>3158</v>
      </c>
      <c r="F129" s="106" t="s">
        <v>3159</v>
      </c>
      <c r="G129" s="106">
        <v>4.0</v>
      </c>
      <c r="H129" s="107" t="s">
        <v>123</v>
      </c>
      <c r="I129" s="108">
        <v>46153.0</v>
      </c>
      <c r="J129" s="108"/>
      <c r="K129" s="89">
        <v>157.0</v>
      </c>
      <c r="L129" s="467">
        <v>12.0</v>
      </c>
      <c r="M129" s="89">
        <f t="shared" si="17"/>
        <v>1884</v>
      </c>
      <c r="N129" s="86" t="s">
        <v>28</v>
      </c>
      <c r="O129" s="86" t="s">
        <v>29</v>
      </c>
      <c r="P129" s="86" t="s">
        <v>40</v>
      </c>
      <c r="Q129" s="86"/>
      <c r="R129" s="86" t="s">
        <v>73</v>
      </c>
      <c r="S129" s="86" t="s">
        <v>110</v>
      </c>
      <c r="T129" s="188"/>
      <c r="U129" s="178"/>
      <c r="V129" s="178"/>
      <c r="W129" s="178"/>
      <c r="X129" s="178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>
      <c r="A130" s="12">
        <v>126.0</v>
      </c>
      <c r="B130" s="106" t="s">
        <v>3160</v>
      </c>
      <c r="C130" s="106" t="s">
        <v>3161</v>
      </c>
      <c r="D130" s="106" t="s">
        <v>23</v>
      </c>
      <c r="E130" s="161" t="s">
        <v>3162</v>
      </c>
      <c r="F130" s="106" t="s">
        <v>3163</v>
      </c>
      <c r="G130" s="106">
        <v>27.0</v>
      </c>
      <c r="H130" s="123" t="s">
        <v>711</v>
      </c>
      <c r="I130" s="108">
        <v>46155.0</v>
      </c>
      <c r="J130" s="108">
        <v>46156.0</v>
      </c>
      <c r="K130" s="89">
        <v>200.0</v>
      </c>
      <c r="L130" s="467">
        <v>5.0</v>
      </c>
      <c r="M130" s="89">
        <f>K130*5</f>
        <v>1000</v>
      </c>
      <c r="N130" s="86" t="s">
        <v>71</v>
      </c>
      <c r="O130" s="86" t="s">
        <v>91</v>
      </c>
      <c r="P130" s="86" t="s">
        <v>72</v>
      </c>
      <c r="Q130" s="86">
        <v>2964.0</v>
      </c>
      <c r="R130" s="86" t="s">
        <v>233</v>
      </c>
      <c r="S130" s="86" t="s">
        <v>110</v>
      </c>
      <c r="T130" s="188"/>
      <c r="U130" s="123" t="s">
        <v>1867</v>
      </c>
      <c r="V130" s="123" t="s">
        <v>1867</v>
      </c>
      <c r="W130" s="123" t="s">
        <v>1867</v>
      </c>
      <c r="X130" s="123" t="s">
        <v>2820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>
      <c r="A131" s="12">
        <v>127.0</v>
      </c>
      <c r="B131" s="106" t="s">
        <v>3164</v>
      </c>
      <c r="C131" s="106" t="s">
        <v>3165</v>
      </c>
      <c r="D131" s="547" t="s">
        <v>3166</v>
      </c>
      <c r="E131" s="166" t="s">
        <v>3167</v>
      </c>
      <c r="F131" s="173" t="s">
        <v>3168</v>
      </c>
      <c r="G131" s="106">
        <v>1.0</v>
      </c>
      <c r="H131" s="106" t="s">
        <v>3169</v>
      </c>
      <c r="I131" s="108">
        <v>46154.0</v>
      </c>
      <c r="J131" s="108"/>
      <c r="K131" s="89">
        <f>M131/3</f>
        <v>400</v>
      </c>
      <c r="L131" s="467">
        <v>3.0</v>
      </c>
      <c r="M131" s="89">
        <v>1200.0</v>
      </c>
      <c r="N131" s="86" t="s">
        <v>58</v>
      </c>
      <c r="O131" s="86" t="s">
        <v>29</v>
      </c>
      <c r="P131" s="86" t="s">
        <v>40</v>
      </c>
      <c r="Q131" s="86"/>
      <c r="R131" s="86" t="s">
        <v>73</v>
      </c>
      <c r="S131" s="86" t="s">
        <v>110</v>
      </c>
      <c r="T131" s="188"/>
      <c r="U131" s="178"/>
      <c r="V131" s="178"/>
      <c r="W131" s="178"/>
      <c r="X131" s="178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</row>
    <row r="132">
      <c r="A132" s="12">
        <v>128.0</v>
      </c>
      <c r="B132" s="106" t="s">
        <v>3170</v>
      </c>
      <c r="C132" s="106" t="s">
        <v>3171</v>
      </c>
      <c r="D132" s="106" t="s">
        <v>3172</v>
      </c>
      <c r="E132" s="166" t="s">
        <v>3173</v>
      </c>
      <c r="F132" s="173" t="s">
        <v>3174</v>
      </c>
      <c r="G132" s="106">
        <v>70.0</v>
      </c>
      <c r="H132" s="107" t="s">
        <v>123</v>
      </c>
      <c r="I132" s="108">
        <v>46154.0</v>
      </c>
      <c r="J132" s="108"/>
      <c r="K132" s="89">
        <v>735.0</v>
      </c>
      <c r="L132" s="467">
        <v>12.0</v>
      </c>
      <c r="M132" s="89">
        <f t="shared" ref="M132:M133" si="18">K132*12</f>
        <v>8820</v>
      </c>
      <c r="N132" s="86" t="s">
        <v>58</v>
      </c>
      <c r="O132" s="86" t="s">
        <v>29</v>
      </c>
      <c r="P132" s="86" t="s">
        <v>40</v>
      </c>
      <c r="Q132" s="86"/>
      <c r="R132" s="86" t="s">
        <v>73</v>
      </c>
      <c r="S132" s="86" t="s">
        <v>110</v>
      </c>
      <c r="T132" s="188"/>
      <c r="U132" s="178"/>
      <c r="V132" s="178"/>
      <c r="W132" s="178"/>
      <c r="X132" s="178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>
      <c r="A133" s="12">
        <v>129.0</v>
      </c>
      <c r="B133" s="106" t="s">
        <v>3175</v>
      </c>
      <c r="C133" s="106" t="s">
        <v>3176</v>
      </c>
      <c r="D133" s="106" t="s">
        <v>3177</v>
      </c>
      <c r="E133" s="161" t="s">
        <v>3178</v>
      </c>
      <c r="F133" s="106" t="s">
        <v>3179</v>
      </c>
      <c r="G133" s="106">
        <v>3.0</v>
      </c>
      <c r="H133" s="350" t="s">
        <v>2816</v>
      </c>
      <c r="I133" s="108">
        <v>46155.0</v>
      </c>
      <c r="J133" s="108">
        <v>46155.0</v>
      </c>
      <c r="K133" s="89">
        <v>145.0</v>
      </c>
      <c r="L133" s="467">
        <v>12.0</v>
      </c>
      <c r="M133" s="89">
        <f t="shared" si="18"/>
        <v>1740</v>
      </c>
      <c r="N133" s="86" t="s">
        <v>71</v>
      </c>
      <c r="O133" s="86" t="s">
        <v>29</v>
      </c>
      <c r="P133" s="86" t="s">
        <v>72</v>
      </c>
      <c r="Q133" s="86">
        <v>2968.0</v>
      </c>
      <c r="R133" s="86" t="s">
        <v>233</v>
      </c>
      <c r="S133" s="86" t="s">
        <v>110</v>
      </c>
      <c r="T133" s="188"/>
      <c r="U133" s="123" t="s">
        <v>1867</v>
      </c>
      <c r="V133" s="123" t="s">
        <v>1867</v>
      </c>
      <c r="W133" s="123" t="s">
        <v>1867</v>
      </c>
      <c r="X133" s="123" t="s">
        <v>2820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>
      <c r="A134" s="12">
        <v>130.0</v>
      </c>
      <c r="B134" s="303" t="s">
        <v>465</v>
      </c>
      <c r="C134" s="106" t="s">
        <v>466</v>
      </c>
      <c r="D134" s="106" t="s">
        <v>3180</v>
      </c>
      <c r="E134" s="166">
        <v>1.1932343425E10</v>
      </c>
      <c r="F134" s="349" t="s">
        <v>3181</v>
      </c>
      <c r="G134" s="106">
        <v>3.0</v>
      </c>
      <c r="H134" s="106" t="s">
        <v>154</v>
      </c>
      <c r="I134" s="108">
        <v>46160.0</v>
      </c>
      <c r="J134" s="108">
        <v>46160.0</v>
      </c>
      <c r="K134" s="89" t="s">
        <v>57</v>
      </c>
      <c r="L134" s="467">
        <v>1.0</v>
      </c>
      <c r="M134" s="89">
        <v>500.0</v>
      </c>
      <c r="N134" s="86" t="s">
        <v>71</v>
      </c>
      <c r="O134" s="86" t="s">
        <v>29</v>
      </c>
      <c r="P134" s="86" t="s">
        <v>72</v>
      </c>
      <c r="Q134" s="86">
        <v>2982.0</v>
      </c>
      <c r="R134" s="86" t="s">
        <v>233</v>
      </c>
      <c r="S134" s="86" t="s">
        <v>110</v>
      </c>
      <c r="T134" s="133"/>
      <c r="U134" s="146" t="s">
        <v>1867</v>
      </c>
      <c r="V134" s="146" t="s">
        <v>1867</v>
      </c>
      <c r="W134" s="146" t="s">
        <v>1867</v>
      </c>
      <c r="X134" s="466" t="s">
        <v>2817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  <row r="135">
      <c r="A135" s="12">
        <v>131.0</v>
      </c>
      <c r="B135" s="284" t="s">
        <v>3182</v>
      </c>
      <c r="C135" s="107" t="s">
        <v>3183</v>
      </c>
      <c r="D135" s="107" t="s">
        <v>3184</v>
      </c>
      <c r="E135" s="166" t="s">
        <v>3185</v>
      </c>
      <c r="F135" s="106" t="s">
        <v>3186</v>
      </c>
      <c r="G135" s="106">
        <v>1.0</v>
      </c>
      <c r="H135" s="350" t="s">
        <v>2816</v>
      </c>
      <c r="I135" s="108">
        <v>46157.0</v>
      </c>
      <c r="J135" s="108">
        <v>46160.0</v>
      </c>
      <c r="K135" s="89">
        <v>139.0</v>
      </c>
      <c r="L135" s="467">
        <v>12.0</v>
      </c>
      <c r="M135" s="89">
        <f t="shared" ref="M135:M137" si="19">K135*12</f>
        <v>1668</v>
      </c>
      <c r="N135" s="86" t="s">
        <v>71</v>
      </c>
      <c r="O135" s="86" t="s">
        <v>29</v>
      </c>
      <c r="P135" s="86" t="s">
        <v>72</v>
      </c>
      <c r="Q135" s="167">
        <v>2984.0</v>
      </c>
      <c r="R135" s="86" t="s">
        <v>233</v>
      </c>
      <c r="S135" s="86" t="s">
        <v>110</v>
      </c>
      <c r="T135" s="133"/>
      <c r="U135" s="146" t="s">
        <v>1867</v>
      </c>
      <c r="V135" s="146" t="s">
        <v>1867</v>
      </c>
      <c r="W135" s="146" t="s">
        <v>1867</v>
      </c>
      <c r="X135" s="466" t="s">
        <v>2817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>
      <c r="A136" s="12">
        <v>132.0</v>
      </c>
      <c r="B136" s="106" t="s">
        <v>3187</v>
      </c>
      <c r="C136" s="106" t="s">
        <v>3188</v>
      </c>
      <c r="D136" s="107" t="s">
        <v>3189</v>
      </c>
      <c r="E136" s="166" t="s">
        <v>3190</v>
      </c>
      <c r="F136" s="241" t="s">
        <v>3191</v>
      </c>
      <c r="G136" s="106">
        <v>15.0</v>
      </c>
      <c r="H136" s="107" t="s">
        <v>123</v>
      </c>
      <c r="I136" s="108">
        <v>46155.0</v>
      </c>
      <c r="J136" s="108"/>
      <c r="K136" s="89">
        <v>223.0</v>
      </c>
      <c r="L136" s="467">
        <v>12.0</v>
      </c>
      <c r="M136" s="89">
        <f t="shared" si="19"/>
        <v>2676</v>
      </c>
      <c r="N136" s="86" t="s">
        <v>58</v>
      </c>
      <c r="O136" s="86" t="s">
        <v>29</v>
      </c>
      <c r="P136" s="86" t="s">
        <v>40</v>
      </c>
      <c r="Q136" s="86"/>
      <c r="R136" s="86" t="s">
        <v>233</v>
      </c>
      <c r="S136" s="86" t="s">
        <v>110</v>
      </c>
      <c r="T136" s="188"/>
      <c r="U136" s="178"/>
      <c r="V136" s="178"/>
      <c r="W136" s="178"/>
      <c r="X136" s="178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>
      <c r="A137" s="12">
        <v>133.0</v>
      </c>
      <c r="B137" s="106" t="s">
        <v>3192</v>
      </c>
      <c r="C137" s="106" t="s">
        <v>3193</v>
      </c>
      <c r="D137" s="106" t="s">
        <v>3194</v>
      </c>
      <c r="E137" s="166" t="s">
        <v>3195</v>
      </c>
      <c r="F137" s="106" t="s">
        <v>3196</v>
      </c>
      <c r="G137" s="106">
        <v>37.0</v>
      </c>
      <c r="H137" s="107" t="s">
        <v>123</v>
      </c>
      <c r="I137" s="108">
        <v>46155.0</v>
      </c>
      <c r="J137" s="108"/>
      <c r="K137" s="89">
        <v>419.95</v>
      </c>
      <c r="L137" s="467">
        <v>12.0</v>
      </c>
      <c r="M137" s="89">
        <f t="shared" si="19"/>
        <v>5039.4</v>
      </c>
      <c r="N137" s="86" t="s">
        <v>58</v>
      </c>
      <c r="O137" s="86" t="s">
        <v>29</v>
      </c>
      <c r="P137" s="86" t="s">
        <v>40</v>
      </c>
      <c r="Q137" s="86"/>
      <c r="R137" s="86" t="s">
        <v>233</v>
      </c>
      <c r="S137" s="86" t="s">
        <v>110</v>
      </c>
      <c r="T137" s="188"/>
      <c r="U137" s="178"/>
      <c r="V137" s="178"/>
      <c r="W137" s="178"/>
      <c r="X137" s="178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  <row r="138">
      <c r="A138" s="12">
        <v>134.0</v>
      </c>
      <c r="B138" s="303" t="s">
        <v>3197</v>
      </c>
      <c r="C138" s="303" t="s">
        <v>3198</v>
      </c>
      <c r="D138" s="303" t="s">
        <v>3199</v>
      </c>
      <c r="E138" s="303" t="s">
        <v>3200</v>
      </c>
      <c r="F138" s="303" t="s">
        <v>3201</v>
      </c>
      <c r="G138" s="303">
        <v>6.0</v>
      </c>
      <c r="H138" s="304" t="s">
        <v>123</v>
      </c>
      <c r="I138" s="305">
        <v>46155.0</v>
      </c>
      <c r="J138" s="306">
        <v>46172.0</v>
      </c>
      <c r="K138" s="132" t="s">
        <v>3202</v>
      </c>
      <c r="L138" s="307">
        <v>12.0</v>
      </c>
      <c r="M138" s="290">
        <v>2028.0</v>
      </c>
      <c r="N138" s="304" t="s">
        <v>71</v>
      </c>
      <c r="O138" s="303" t="s">
        <v>29</v>
      </c>
      <c r="P138" s="304" t="s">
        <v>72</v>
      </c>
      <c r="Q138" s="304">
        <v>3130.0</v>
      </c>
      <c r="R138" s="303" t="s">
        <v>73</v>
      </c>
      <c r="S138" s="303" t="s">
        <v>110</v>
      </c>
      <c r="T138" s="309"/>
      <c r="U138" s="146" t="s">
        <v>1867</v>
      </c>
      <c r="V138" s="303" t="s">
        <v>1867</v>
      </c>
      <c r="W138" s="303" t="s">
        <v>1867</v>
      </c>
      <c r="X138" s="304" t="s">
        <v>2949</v>
      </c>
      <c r="Y138" s="310"/>
      <c r="Z138" s="310"/>
      <c r="AA138" s="310"/>
      <c r="AB138" s="310"/>
      <c r="AC138" s="310"/>
      <c r="AD138" s="310"/>
      <c r="AE138" s="310"/>
      <c r="AF138" s="310"/>
      <c r="AG138" s="310"/>
      <c r="AH138" s="310"/>
      <c r="AI138" s="310"/>
      <c r="AJ138" s="310"/>
      <c r="AK138" s="310"/>
      <c r="AL138" s="310"/>
      <c r="AM138" s="310"/>
      <c r="AN138" s="310"/>
      <c r="AO138" s="310"/>
      <c r="AP138" s="310"/>
      <c r="AQ138" s="310"/>
      <c r="AR138" s="310"/>
      <c r="AS138" s="310"/>
      <c r="AT138" s="310"/>
      <c r="AU138" s="310"/>
      <c r="AV138" s="310"/>
      <c r="AW138" s="3"/>
    </row>
    <row r="139">
      <c r="A139" s="12">
        <v>135.0</v>
      </c>
      <c r="B139" s="106" t="s">
        <v>3203</v>
      </c>
      <c r="C139" s="107" t="s">
        <v>3204</v>
      </c>
      <c r="D139" s="106" t="s">
        <v>3205</v>
      </c>
      <c r="E139" s="544" t="s">
        <v>3206</v>
      </c>
      <c r="F139" s="173" t="s">
        <v>3207</v>
      </c>
      <c r="G139" s="106">
        <v>2.0</v>
      </c>
      <c r="H139" s="107" t="s">
        <v>123</v>
      </c>
      <c r="I139" s="108">
        <v>46156.0</v>
      </c>
      <c r="J139" s="108"/>
      <c r="K139" s="89">
        <v>145.0</v>
      </c>
      <c r="L139" s="467">
        <v>12.0</v>
      </c>
      <c r="M139" s="89">
        <f>K139*12</f>
        <v>1740</v>
      </c>
      <c r="N139" s="86" t="s">
        <v>58</v>
      </c>
      <c r="O139" s="86" t="s">
        <v>29</v>
      </c>
      <c r="P139" s="86" t="s">
        <v>40</v>
      </c>
      <c r="Q139" s="86"/>
      <c r="R139" s="86" t="s">
        <v>233</v>
      </c>
      <c r="S139" s="86" t="s">
        <v>110</v>
      </c>
      <c r="T139" s="188"/>
      <c r="U139" s="178"/>
      <c r="V139" s="178"/>
      <c r="W139" s="178"/>
      <c r="X139" s="178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>
      <c r="A140" s="12">
        <v>136.0</v>
      </c>
      <c r="B140" s="404" t="s">
        <v>3208</v>
      </c>
      <c r="C140" s="404" t="s">
        <v>3209</v>
      </c>
      <c r="D140" s="295" t="s">
        <v>3210</v>
      </c>
      <c r="E140" s="359" t="s">
        <v>3211</v>
      </c>
      <c r="F140" s="404" t="s">
        <v>3212</v>
      </c>
      <c r="G140" s="295">
        <v>2.0</v>
      </c>
      <c r="H140" s="350" t="s">
        <v>2816</v>
      </c>
      <c r="I140" s="368">
        <v>46162.0</v>
      </c>
      <c r="J140" s="368">
        <v>46164.0</v>
      </c>
      <c r="K140" s="290">
        <v>324.8</v>
      </c>
      <c r="L140" s="453" t="s">
        <v>1791</v>
      </c>
      <c r="M140" s="308">
        <f t="shared" ref="M140:M141" si="20">K140*5</f>
        <v>1624</v>
      </c>
      <c r="N140" s="286" t="s">
        <v>71</v>
      </c>
      <c r="O140" s="286" t="s">
        <v>91</v>
      </c>
      <c r="P140" s="353" t="s">
        <v>72</v>
      </c>
      <c r="Q140" s="295">
        <v>3042.0</v>
      </c>
      <c r="R140" s="353" t="s">
        <v>73</v>
      </c>
      <c r="S140" s="286" t="s">
        <v>31</v>
      </c>
      <c r="T140" s="299" t="s">
        <v>3213</v>
      </c>
      <c r="U140" s="146" t="s">
        <v>1867</v>
      </c>
      <c r="V140" s="146" t="s">
        <v>1867</v>
      </c>
      <c r="W140" s="146" t="s">
        <v>1867</v>
      </c>
      <c r="X140" s="466" t="s">
        <v>2817</v>
      </c>
      <c r="Y140" s="393"/>
      <c r="Z140" s="393"/>
      <c r="AA140" s="393"/>
      <c r="AB140" s="393"/>
      <c r="AC140" s="393"/>
      <c r="AD140" s="393"/>
      <c r="AE140" s="393"/>
      <c r="AF140" s="393"/>
      <c r="AG140" s="393"/>
      <c r="AH140" s="393"/>
      <c r="AI140" s="393"/>
      <c r="AJ140" s="393"/>
      <c r="AK140" s="393"/>
      <c r="AL140" s="393"/>
      <c r="AM140" s="393"/>
      <c r="AN140" s="393"/>
      <c r="AO140" s="393"/>
      <c r="AP140" s="393"/>
      <c r="AQ140" s="393"/>
      <c r="AR140" s="393"/>
      <c r="AS140" s="393"/>
      <c r="AT140" s="393"/>
      <c r="AU140" s="393"/>
      <c r="AV140" s="393"/>
      <c r="AW140" s="393"/>
    </row>
    <row r="141">
      <c r="A141" s="12">
        <v>137.0</v>
      </c>
      <c r="B141" s="404" t="s">
        <v>3214</v>
      </c>
      <c r="C141" s="404" t="s">
        <v>3215</v>
      </c>
      <c r="D141" s="404" t="s">
        <v>3216</v>
      </c>
      <c r="E141" s="359" t="s">
        <v>3211</v>
      </c>
      <c r="F141" s="404" t="s">
        <v>3212</v>
      </c>
      <c r="G141" s="295">
        <v>1.0</v>
      </c>
      <c r="H141" s="350" t="s">
        <v>2816</v>
      </c>
      <c r="I141" s="368">
        <v>46162.0</v>
      </c>
      <c r="J141" s="368">
        <v>46164.0</v>
      </c>
      <c r="K141" s="290">
        <v>303.2</v>
      </c>
      <c r="L141" s="453" t="s">
        <v>1791</v>
      </c>
      <c r="M141" s="308">
        <f t="shared" si="20"/>
        <v>1516</v>
      </c>
      <c r="N141" s="286" t="s">
        <v>71</v>
      </c>
      <c r="O141" s="286" t="s">
        <v>91</v>
      </c>
      <c r="P141" s="353" t="s">
        <v>72</v>
      </c>
      <c r="Q141" s="295">
        <v>3046.0</v>
      </c>
      <c r="R141" s="353" t="s">
        <v>73</v>
      </c>
      <c r="S141" s="286" t="s">
        <v>31</v>
      </c>
      <c r="T141" s="299" t="s">
        <v>3217</v>
      </c>
      <c r="U141" s="146" t="s">
        <v>1867</v>
      </c>
      <c r="V141" s="146" t="s">
        <v>1867</v>
      </c>
      <c r="W141" s="146" t="s">
        <v>1867</v>
      </c>
      <c r="X141" s="466" t="s">
        <v>2817</v>
      </c>
      <c r="Y141" s="393"/>
      <c r="Z141" s="393"/>
      <c r="AA141" s="393"/>
      <c r="AB141" s="393"/>
      <c r="AC141" s="393"/>
      <c r="AD141" s="393"/>
      <c r="AE141" s="393"/>
      <c r="AF141" s="393"/>
      <c r="AG141" s="393"/>
      <c r="AH141" s="393"/>
      <c r="AI141" s="393"/>
      <c r="AJ141" s="393"/>
      <c r="AK141" s="393"/>
      <c r="AL141" s="393"/>
      <c r="AM141" s="393"/>
      <c r="AN141" s="393"/>
      <c r="AO141" s="393"/>
      <c r="AP141" s="393"/>
      <c r="AQ141" s="393"/>
      <c r="AR141" s="393"/>
      <c r="AS141" s="393"/>
      <c r="AT141" s="393"/>
      <c r="AU141" s="393"/>
      <c r="AV141" s="393"/>
      <c r="AW141" s="393"/>
    </row>
    <row r="142">
      <c r="A142" s="12">
        <v>138.0</v>
      </c>
      <c r="B142" s="303" t="s">
        <v>3218</v>
      </c>
      <c r="C142" s="303" t="s">
        <v>3219</v>
      </c>
      <c r="D142" s="303" t="s">
        <v>3220</v>
      </c>
      <c r="E142" s="303" t="s">
        <v>3221</v>
      </c>
      <c r="F142" s="303" t="s">
        <v>3222</v>
      </c>
      <c r="G142" s="303">
        <v>10.0</v>
      </c>
      <c r="H142" s="304" t="s">
        <v>2816</v>
      </c>
      <c r="I142" s="305">
        <v>46154.0</v>
      </c>
      <c r="J142" s="306">
        <v>46167.0</v>
      </c>
      <c r="K142" s="132" t="s">
        <v>3223</v>
      </c>
      <c r="L142" s="307" t="s">
        <v>1178</v>
      </c>
      <c r="M142" s="290">
        <v>2160.0</v>
      </c>
      <c r="N142" s="304" t="s">
        <v>71</v>
      </c>
      <c r="O142" s="303" t="s">
        <v>29</v>
      </c>
      <c r="P142" s="304" t="s">
        <v>72</v>
      </c>
      <c r="Q142" s="304">
        <v>3050.0</v>
      </c>
      <c r="R142" s="303" t="s">
        <v>73</v>
      </c>
      <c r="S142" s="303" t="s">
        <v>31</v>
      </c>
      <c r="T142" s="309" t="s">
        <v>3224</v>
      </c>
      <c r="U142" s="146" t="s">
        <v>1867</v>
      </c>
      <c r="V142" s="303" t="s">
        <v>1867</v>
      </c>
      <c r="W142" s="303" t="s">
        <v>1867</v>
      </c>
      <c r="X142" s="304" t="s">
        <v>2949</v>
      </c>
      <c r="Y142" s="310"/>
      <c r="Z142" s="310"/>
      <c r="AA142" s="310"/>
      <c r="AB142" s="310"/>
      <c r="AC142" s="310"/>
      <c r="AD142" s="310"/>
      <c r="AE142" s="310"/>
      <c r="AF142" s="310"/>
      <c r="AG142" s="310"/>
      <c r="AH142" s="310"/>
      <c r="AI142" s="310"/>
      <c r="AJ142" s="310"/>
      <c r="AK142" s="310"/>
      <c r="AL142" s="310"/>
      <c r="AM142" s="310"/>
      <c r="AN142" s="310"/>
      <c r="AO142" s="310"/>
      <c r="AP142" s="310"/>
      <c r="AQ142" s="310"/>
      <c r="AR142" s="310"/>
      <c r="AS142" s="310"/>
      <c r="AT142" s="310"/>
      <c r="AU142" s="310"/>
      <c r="AV142" s="310"/>
      <c r="AW142" s="393"/>
    </row>
    <row r="143">
      <c r="A143" s="12">
        <v>139.0</v>
      </c>
      <c r="B143" s="146" t="s">
        <v>3225</v>
      </c>
      <c r="C143" s="365" t="s">
        <v>3226</v>
      </c>
      <c r="D143" s="146" t="s">
        <v>3227</v>
      </c>
      <c r="E143" s="182" t="s">
        <v>3228</v>
      </c>
      <c r="F143" s="365" t="s">
        <v>3229</v>
      </c>
      <c r="G143" s="146">
        <v>5.0</v>
      </c>
      <c r="H143" s="303" t="s">
        <v>65</v>
      </c>
      <c r="I143" s="321">
        <v>46156.0</v>
      </c>
      <c r="J143" s="312"/>
      <c r="K143" s="128">
        <v>172.0</v>
      </c>
      <c r="L143" s="339">
        <v>12.0</v>
      </c>
      <c r="M143" s="308">
        <f t="shared" ref="M143:M144" si="21">K143*12</f>
        <v>2064</v>
      </c>
      <c r="N143" s="286" t="s">
        <v>28</v>
      </c>
      <c r="O143" s="304" t="s">
        <v>29</v>
      </c>
      <c r="P143" s="353" t="s">
        <v>40</v>
      </c>
      <c r="Q143" s="146"/>
      <c r="R143" s="353" t="s">
        <v>73</v>
      </c>
      <c r="S143" s="286" t="s">
        <v>31</v>
      </c>
      <c r="T143" s="323" t="s">
        <v>3230</v>
      </c>
      <c r="U143" s="178"/>
      <c r="V143" s="178"/>
      <c r="W143" s="178"/>
      <c r="X143" s="178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</row>
    <row r="144">
      <c r="A144" s="12">
        <v>140.0</v>
      </c>
      <c r="B144" s="146" t="s">
        <v>3231</v>
      </c>
      <c r="C144" s="365" t="s">
        <v>3232</v>
      </c>
      <c r="D144" s="365" t="s">
        <v>3233</v>
      </c>
      <c r="E144" s="182" t="s">
        <v>3234</v>
      </c>
      <c r="F144" s="365" t="s">
        <v>3235</v>
      </c>
      <c r="G144" s="548">
        <v>7.0</v>
      </c>
      <c r="H144" s="303" t="s">
        <v>65</v>
      </c>
      <c r="I144" s="305">
        <v>46156.0</v>
      </c>
      <c r="J144" s="303"/>
      <c r="K144" s="132">
        <v>180.0</v>
      </c>
      <c r="L144" s="339">
        <v>12.0</v>
      </c>
      <c r="M144" s="308">
        <f t="shared" si="21"/>
        <v>2160</v>
      </c>
      <c r="N144" s="548" t="s">
        <v>58</v>
      </c>
      <c r="O144" s="548" t="s">
        <v>29</v>
      </c>
      <c r="P144" s="548" t="s">
        <v>40</v>
      </c>
      <c r="Q144" s="548"/>
      <c r="R144" s="548" t="s">
        <v>73</v>
      </c>
      <c r="S144" s="548" t="s">
        <v>31</v>
      </c>
      <c r="T144" s="323" t="s">
        <v>3236</v>
      </c>
      <c r="U144" s="312"/>
      <c r="V144" s="312"/>
      <c r="W144" s="312"/>
      <c r="X144" s="312"/>
      <c r="Y144" s="314"/>
      <c r="Z144" s="314"/>
      <c r="AA144" s="314"/>
      <c r="AB144" s="314"/>
      <c r="AC144" s="314"/>
      <c r="AD144" s="314"/>
      <c r="AE144" s="314"/>
      <c r="AF144" s="314"/>
      <c r="AG144" s="314"/>
      <c r="AH144" s="314"/>
      <c r="AI144" s="314"/>
      <c r="AJ144" s="314"/>
      <c r="AK144" s="314"/>
      <c r="AL144" s="314"/>
      <c r="AM144" s="314"/>
      <c r="AN144" s="314"/>
      <c r="AO144" s="314"/>
      <c r="AP144" s="314"/>
      <c r="AQ144" s="314"/>
      <c r="AR144" s="314"/>
      <c r="AS144" s="314"/>
      <c r="AT144" s="314"/>
      <c r="AU144" s="314"/>
      <c r="AV144" s="314"/>
      <c r="AW144" s="314"/>
    </row>
    <row r="145">
      <c r="A145" s="12">
        <v>141.0</v>
      </c>
      <c r="B145" s="295" t="s">
        <v>3237</v>
      </c>
      <c r="C145" s="295" t="s">
        <v>3238</v>
      </c>
      <c r="D145" s="295" t="s">
        <v>3239</v>
      </c>
      <c r="E145" s="359" t="s">
        <v>3240</v>
      </c>
      <c r="F145" s="404" t="s">
        <v>3241</v>
      </c>
      <c r="G145" s="295" t="s">
        <v>399</v>
      </c>
      <c r="H145" s="295" t="s">
        <v>711</v>
      </c>
      <c r="I145" s="288">
        <v>46155.0</v>
      </c>
      <c r="J145" s="368">
        <v>46166.0</v>
      </c>
      <c r="K145" s="290">
        <v>333.34</v>
      </c>
      <c r="L145" s="453" t="s">
        <v>1191</v>
      </c>
      <c r="M145" s="308">
        <f t="shared" ref="M145:M146" si="22">K145*3</f>
        <v>1000.02</v>
      </c>
      <c r="N145" s="286" t="s">
        <v>71</v>
      </c>
      <c r="O145" s="286" t="s">
        <v>91</v>
      </c>
      <c r="P145" s="353" t="s">
        <v>72</v>
      </c>
      <c r="Q145" s="295">
        <v>3052.0</v>
      </c>
      <c r="R145" s="353" t="s">
        <v>73</v>
      </c>
      <c r="S145" s="286" t="s">
        <v>31</v>
      </c>
      <c r="T145" s="299" t="s">
        <v>3242</v>
      </c>
      <c r="U145" s="146" t="s">
        <v>1867</v>
      </c>
      <c r="V145" s="146" t="s">
        <v>1867</v>
      </c>
      <c r="W145" s="146" t="s">
        <v>1867</v>
      </c>
      <c r="X145" s="466" t="s">
        <v>2817</v>
      </c>
      <c r="Y145" s="393"/>
      <c r="Z145" s="393"/>
      <c r="AA145" s="393"/>
      <c r="AB145" s="393"/>
      <c r="AC145" s="393"/>
      <c r="AD145" s="393"/>
      <c r="AE145" s="393"/>
      <c r="AF145" s="393"/>
      <c r="AG145" s="393"/>
      <c r="AH145" s="393"/>
      <c r="AI145" s="393"/>
      <c r="AJ145" s="393"/>
      <c r="AK145" s="393"/>
      <c r="AL145" s="393"/>
      <c r="AM145" s="393"/>
      <c r="AN145" s="393"/>
      <c r="AO145" s="393"/>
      <c r="AP145" s="393"/>
      <c r="AQ145" s="393"/>
      <c r="AR145" s="393"/>
      <c r="AS145" s="393"/>
      <c r="AT145" s="393"/>
      <c r="AU145" s="393"/>
      <c r="AV145" s="393"/>
      <c r="AW145" s="393"/>
    </row>
    <row r="146">
      <c r="A146" s="12">
        <v>142.0</v>
      </c>
      <c r="B146" s="146" t="s">
        <v>3243</v>
      </c>
      <c r="C146" s="146" t="s">
        <v>3244</v>
      </c>
      <c r="D146" s="146" t="s">
        <v>3245</v>
      </c>
      <c r="E146" s="182" t="s">
        <v>3246</v>
      </c>
      <c r="F146" s="146" t="s">
        <v>3247</v>
      </c>
      <c r="G146" s="146" t="s">
        <v>399</v>
      </c>
      <c r="H146" s="146" t="s">
        <v>711</v>
      </c>
      <c r="I146" s="305">
        <v>46156.0</v>
      </c>
      <c r="J146" s="321">
        <v>46160.0</v>
      </c>
      <c r="K146" s="128">
        <v>333.34</v>
      </c>
      <c r="L146" s="549" t="s">
        <v>1191</v>
      </c>
      <c r="M146" s="308">
        <f t="shared" si="22"/>
        <v>1000.02</v>
      </c>
      <c r="N146" s="286" t="s">
        <v>71</v>
      </c>
      <c r="O146" s="304" t="s">
        <v>91</v>
      </c>
      <c r="P146" s="353" t="s">
        <v>72</v>
      </c>
      <c r="Q146" s="295">
        <v>2980.0</v>
      </c>
      <c r="R146" s="353" t="s">
        <v>73</v>
      </c>
      <c r="S146" s="286" t="s">
        <v>31</v>
      </c>
      <c r="T146" s="341" t="s">
        <v>3248</v>
      </c>
      <c r="U146" s="146" t="s">
        <v>1867</v>
      </c>
      <c r="V146" s="146" t="s">
        <v>1867</v>
      </c>
      <c r="W146" s="146" t="s">
        <v>1867</v>
      </c>
      <c r="X146" s="466" t="s">
        <v>2817</v>
      </c>
      <c r="Y146" s="314"/>
      <c r="Z146" s="314"/>
      <c r="AA146" s="314"/>
      <c r="AB146" s="314"/>
      <c r="AC146" s="314"/>
      <c r="AD146" s="314"/>
      <c r="AE146" s="314"/>
      <c r="AF146" s="314"/>
      <c r="AG146" s="314"/>
      <c r="AH146" s="314"/>
      <c r="AI146" s="314"/>
      <c r="AJ146" s="314"/>
      <c r="AK146" s="314"/>
      <c r="AL146" s="314"/>
      <c r="AM146" s="314"/>
      <c r="AN146" s="314"/>
      <c r="AO146" s="314"/>
      <c r="AP146" s="314"/>
      <c r="AQ146" s="314"/>
      <c r="AR146" s="314"/>
      <c r="AS146" s="314"/>
      <c r="AT146" s="314"/>
      <c r="AU146" s="314"/>
      <c r="AV146" s="314"/>
      <c r="AW146" s="314"/>
    </row>
    <row r="147">
      <c r="A147" s="12">
        <v>143.0</v>
      </c>
      <c r="B147" s="146" t="s">
        <v>3249</v>
      </c>
      <c r="C147" s="146" t="s">
        <v>3250</v>
      </c>
      <c r="D147" s="146" t="s">
        <v>3251</v>
      </c>
      <c r="E147" s="182" t="s">
        <v>3252</v>
      </c>
      <c r="F147" s="146" t="s">
        <v>3253</v>
      </c>
      <c r="G147" s="146" t="s">
        <v>399</v>
      </c>
      <c r="H147" s="146" t="s">
        <v>3254</v>
      </c>
      <c r="I147" s="305">
        <v>46156.0</v>
      </c>
      <c r="J147" s="312"/>
      <c r="K147" s="128">
        <v>11426.0</v>
      </c>
      <c r="L147" s="497">
        <v>1.0</v>
      </c>
      <c r="M147" s="308">
        <f>K147*1</f>
        <v>11426</v>
      </c>
      <c r="N147" s="286" t="s">
        <v>58</v>
      </c>
      <c r="O147" s="304" t="s">
        <v>29</v>
      </c>
      <c r="P147" s="353" t="s">
        <v>40</v>
      </c>
      <c r="Q147" s="146"/>
      <c r="R147" s="353" t="s">
        <v>73</v>
      </c>
      <c r="S147" s="286" t="s">
        <v>31</v>
      </c>
      <c r="T147" s="323" t="s">
        <v>3255</v>
      </c>
      <c r="U147" s="312"/>
      <c r="V147" s="312"/>
      <c r="W147" s="312"/>
      <c r="X147" s="312"/>
      <c r="Y147" s="314"/>
      <c r="Z147" s="314"/>
      <c r="AA147" s="314"/>
      <c r="AB147" s="314"/>
      <c r="AC147" s="314"/>
      <c r="AD147" s="314"/>
      <c r="AE147" s="314"/>
      <c r="AF147" s="314"/>
      <c r="AG147" s="314"/>
      <c r="AH147" s="314"/>
      <c r="AI147" s="314"/>
      <c r="AJ147" s="314"/>
      <c r="AK147" s="314"/>
      <c r="AL147" s="314"/>
      <c r="AM147" s="314"/>
      <c r="AN147" s="314"/>
      <c r="AO147" s="314"/>
      <c r="AP147" s="314"/>
      <c r="AQ147" s="314"/>
      <c r="AR147" s="314"/>
      <c r="AS147" s="314"/>
      <c r="AT147" s="314"/>
      <c r="AU147" s="314"/>
      <c r="AV147" s="314"/>
      <c r="AW147" s="314"/>
    </row>
    <row r="148">
      <c r="A148" s="12">
        <v>144.0</v>
      </c>
      <c r="B148" s="106" t="s">
        <v>3256</v>
      </c>
      <c r="C148" s="106" t="s">
        <v>3257</v>
      </c>
      <c r="D148" s="106" t="s">
        <v>3258</v>
      </c>
      <c r="E148" s="166" t="s">
        <v>3259</v>
      </c>
      <c r="F148" s="106" t="s">
        <v>3260</v>
      </c>
      <c r="G148" s="106">
        <v>5.0</v>
      </c>
      <c r="H148" s="106" t="s">
        <v>65</v>
      </c>
      <c r="I148" s="108">
        <v>46150.0</v>
      </c>
      <c r="J148" s="106"/>
      <c r="K148" s="89">
        <v>165.0</v>
      </c>
      <c r="L148" s="467">
        <v>12.0</v>
      </c>
      <c r="M148" s="238">
        <f>K148*12</f>
        <v>1980</v>
      </c>
      <c r="N148" s="120" t="s">
        <v>28</v>
      </c>
      <c r="O148" s="86" t="s">
        <v>29</v>
      </c>
      <c r="P148" s="120" t="s">
        <v>40</v>
      </c>
      <c r="Q148" s="86"/>
      <c r="R148" s="86" t="s">
        <v>73</v>
      </c>
      <c r="S148" s="86" t="s">
        <v>31</v>
      </c>
      <c r="T148" s="550" t="s">
        <v>3261</v>
      </c>
      <c r="U148" s="106"/>
      <c r="V148" s="106"/>
      <c r="W148" s="106"/>
      <c r="X148" s="106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3"/>
    </row>
    <row r="149">
      <c r="A149" s="12">
        <v>145.0</v>
      </c>
      <c r="B149" s="107" t="s">
        <v>3262</v>
      </c>
      <c r="C149" s="106" t="s">
        <v>3263</v>
      </c>
      <c r="D149" s="106" t="s">
        <v>3264</v>
      </c>
      <c r="E149" s="161" t="s">
        <v>3265</v>
      </c>
      <c r="F149" s="106" t="s">
        <v>3266</v>
      </c>
      <c r="G149" s="106" t="s">
        <v>399</v>
      </c>
      <c r="H149" s="123" t="s">
        <v>711</v>
      </c>
      <c r="I149" s="108">
        <v>46157.0</v>
      </c>
      <c r="J149" s="108">
        <v>46157.0</v>
      </c>
      <c r="K149" s="89" t="s">
        <v>57</v>
      </c>
      <c r="L149" s="467">
        <v>1.0</v>
      </c>
      <c r="M149" s="125">
        <v>1000.0</v>
      </c>
      <c r="N149" s="86" t="s">
        <v>71</v>
      </c>
      <c r="O149" s="86" t="s">
        <v>91</v>
      </c>
      <c r="P149" s="86" t="s">
        <v>72</v>
      </c>
      <c r="Q149" s="167">
        <v>2974.0</v>
      </c>
      <c r="R149" s="86" t="s">
        <v>73</v>
      </c>
      <c r="S149" s="86" t="s">
        <v>31</v>
      </c>
      <c r="T149" s="188"/>
      <c r="U149" s="123" t="s">
        <v>1867</v>
      </c>
      <c r="V149" s="123" t="s">
        <v>1867</v>
      </c>
      <c r="W149" s="123" t="s">
        <v>1867</v>
      </c>
      <c r="X149" s="123" t="s">
        <v>2820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</row>
    <row r="150">
      <c r="A150" s="12">
        <v>146.0</v>
      </c>
      <c r="B150" s="106" t="s">
        <v>3267</v>
      </c>
      <c r="C150" s="106" t="s">
        <v>3268</v>
      </c>
      <c r="D150" s="106" t="s">
        <v>2907</v>
      </c>
      <c r="E150" s="161">
        <v>1.131551554E9</v>
      </c>
      <c r="F150" s="106" t="s">
        <v>3269</v>
      </c>
      <c r="G150" s="106" t="s">
        <v>399</v>
      </c>
      <c r="H150" s="123" t="s">
        <v>711</v>
      </c>
      <c r="I150" s="108">
        <v>46157.0</v>
      </c>
      <c r="J150" s="317">
        <v>46171.0</v>
      </c>
      <c r="K150" s="89" t="s">
        <v>57</v>
      </c>
      <c r="L150" s="467">
        <v>1.0</v>
      </c>
      <c r="M150" s="89">
        <v>600.0</v>
      </c>
      <c r="N150" s="286" t="s">
        <v>71</v>
      </c>
      <c r="O150" s="120" t="s">
        <v>91</v>
      </c>
      <c r="P150" s="353" t="s">
        <v>72</v>
      </c>
      <c r="Q150" s="123">
        <v>3115.0</v>
      </c>
      <c r="R150" s="353" t="s">
        <v>73</v>
      </c>
      <c r="S150" s="286" t="s">
        <v>129</v>
      </c>
      <c r="T150" s="315"/>
      <c r="U150" s="146" t="s">
        <v>1867</v>
      </c>
      <c r="V150" s="303" t="s">
        <v>1867</v>
      </c>
      <c r="W150" s="303" t="s">
        <v>1867</v>
      </c>
      <c r="X150" s="304" t="s">
        <v>2949</v>
      </c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</row>
    <row r="151">
      <c r="A151" s="12">
        <v>147.0</v>
      </c>
      <c r="B151" s="106" t="s">
        <v>3270</v>
      </c>
      <c r="C151" s="106" t="s">
        <v>3271</v>
      </c>
      <c r="D151" s="106" t="s">
        <v>1513</v>
      </c>
      <c r="E151" s="161" t="s">
        <v>3272</v>
      </c>
      <c r="F151" s="106" t="s">
        <v>3273</v>
      </c>
      <c r="G151" s="106">
        <v>15.0</v>
      </c>
      <c r="H151" s="123" t="s">
        <v>48</v>
      </c>
      <c r="I151" s="108" t="s">
        <v>3274</v>
      </c>
      <c r="J151" s="108"/>
      <c r="K151" s="89">
        <v>239.0</v>
      </c>
      <c r="L151" s="467">
        <v>12.0</v>
      </c>
      <c r="M151" s="89">
        <f t="shared" ref="M151:M152" si="23">L151*K151</f>
        <v>2868</v>
      </c>
      <c r="N151" s="286" t="s">
        <v>58</v>
      </c>
      <c r="O151" s="120" t="s">
        <v>91</v>
      </c>
      <c r="P151" s="353" t="s">
        <v>40</v>
      </c>
      <c r="Q151" s="123"/>
      <c r="R151" s="353" t="s">
        <v>73</v>
      </c>
      <c r="S151" s="286" t="s">
        <v>129</v>
      </c>
      <c r="T151" s="315" t="s">
        <v>3275</v>
      </c>
      <c r="U151" s="178"/>
      <c r="V151" s="178"/>
      <c r="W151" s="178"/>
      <c r="X151" s="178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</row>
    <row r="152">
      <c r="A152" s="12">
        <v>148.0</v>
      </c>
      <c r="B152" s="106" t="s">
        <v>3276</v>
      </c>
      <c r="C152" s="106" t="s">
        <v>3277</v>
      </c>
      <c r="D152" s="106" t="s">
        <v>3278</v>
      </c>
      <c r="E152" s="161" t="s">
        <v>3279</v>
      </c>
      <c r="F152" s="207" t="s">
        <v>3280</v>
      </c>
      <c r="G152" s="106">
        <v>1.0</v>
      </c>
      <c r="H152" s="123" t="s">
        <v>2100</v>
      </c>
      <c r="I152" s="177">
        <v>46160.0</v>
      </c>
      <c r="J152" s="178"/>
      <c r="K152" s="179">
        <v>139.0</v>
      </c>
      <c r="L152" s="471">
        <v>12.0</v>
      </c>
      <c r="M152" s="180">
        <f t="shared" si="23"/>
        <v>1668</v>
      </c>
      <c r="N152" s="286" t="s">
        <v>58</v>
      </c>
      <c r="O152" s="120" t="s">
        <v>29</v>
      </c>
      <c r="P152" s="353" t="s">
        <v>40</v>
      </c>
      <c r="Q152" s="123"/>
      <c r="R152" s="353" t="s">
        <v>73</v>
      </c>
      <c r="S152" s="286" t="s">
        <v>129</v>
      </c>
      <c r="T152" s="188"/>
      <c r="U152" s="178"/>
      <c r="V152" s="178"/>
      <c r="W152" s="178"/>
      <c r="X152" s="178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</row>
    <row r="153">
      <c r="A153" s="12">
        <v>149.0</v>
      </c>
      <c r="B153" s="106" t="s">
        <v>3281</v>
      </c>
      <c r="C153" s="212" t="s">
        <v>3282</v>
      </c>
      <c r="D153" s="123" t="s">
        <v>3283</v>
      </c>
      <c r="E153" s="161" t="s">
        <v>3284</v>
      </c>
      <c r="F153" s="326" t="s">
        <v>3285</v>
      </c>
      <c r="G153" s="123">
        <v>7.0</v>
      </c>
      <c r="H153" s="123" t="s">
        <v>711</v>
      </c>
      <c r="I153" s="177">
        <v>46160.0</v>
      </c>
      <c r="J153" s="178"/>
      <c r="K153" s="179" t="s">
        <v>1268</v>
      </c>
      <c r="L153" s="471">
        <v>1.0</v>
      </c>
      <c r="M153" s="179">
        <v>1000.0</v>
      </c>
      <c r="N153" s="286" t="s">
        <v>58</v>
      </c>
      <c r="O153" s="120" t="s">
        <v>29</v>
      </c>
      <c r="P153" s="353" t="s">
        <v>40</v>
      </c>
      <c r="Q153" s="123"/>
      <c r="R153" s="353" t="s">
        <v>1979</v>
      </c>
      <c r="S153" s="286" t="s">
        <v>129</v>
      </c>
      <c r="T153" s="188"/>
      <c r="U153" s="178"/>
      <c r="V153" s="178"/>
      <c r="W153" s="178"/>
      <c r="X153" s="178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</row>
    <row r="154">
      <c r="A154" s="12">
        <v>150.0</v>
      </c>
      <c r="B154" s="475" t="s">
        <v>3286</v>
      </c>
      <c r="C154" s="475" t="s">
        <v>3287</v>
      </c>
      <c r="D154" s="475" t="s">
        <v>3288</v>
      </c>
      <c r="E154" s="185" t="s">
        <v>3289</v>
      </c>
      <c r="F154" s="551" t="s">
        <v>3290</v>
      </c>
      <c r="G154" s="475">
        <v>13.0</v>
      </c>
      <c r="H154" s="350" t="s">
        <v>2816</v>
      </c>
      <c r="I154" s="552">
        <v>46154.0</v>
      </c>
      <c r="J154" s="553">
        <v>46160.0</v>
      </c>
      <c r="K154" s="554">
        <v>211.0</v>
      </c>
      <c r="L154" s="555">
        <v>12.0</v>
      </c>
      <c r="M154" s="554">
        <f>K154*12</f>
        <v>2532</v>
      </c>
      <c r="N154" s="353" t="s">
        <v>71</v>
      </c>
      <c r="O154" s="185" t="s">
        <v>29</v>
      </c>
      <c r="P154" s="353" t="s">
        <v>72</v>
      </c>
      <c r="Q154" s="103">
        <v>2981.0</v>
      </c>
      <c r="R154" s="353" t="s">
        <v>1979</v>
      </c>
      <c r="S154" s="353" t="s">
        <v>148</v>
      </c>
      <c r="T154" s="198"/>
      <c r="U154" s="146" t="s">
        <v>1867</v>
      </c>
      <c r="V154" s="146" t="s">
        <v>1867</v>
      </c>
      <c r="W154" s="146" t="s">
        <v>1867</v>
      </c>
      <c r="X154" s="466" t="s">
        <v>2817</v>
      </c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</row>
    <row r="155">
      <c r="A155" s="12">
        <v>151.0</v>
      </c>
      <c r="B155" s="303" t="s">
        <v>3291</v>
      </c>
      <c r="C155" s="303" t="s">
        <v>3292</v>
      </c>
      <c r="D155" s="303" t="s">
        <v>3293</v>
      </c>
      <c r="E155" s="303" t="s">
        <v>3294</v>
      </c>
      <c r="F155" s="303" t="s">
        <v>3295</v>
      </c>
      <c r="G155" s="303">
        <v>3.0</v>
      </c>
      <c r="H155" s="304" t="s">
        <v>2816</v>
      </c>
      <c r="I155" s="305">
        <v>46160.0</v>
      </c>
      <c r="J155" s="306">
        <v>46171.0</v>
      </c>
      <c r="K155" s="132" t="s">
        <v>3296</v>
      </c>
      <c r="L155" s="307">
        <v>12.0</v>
      </c>
      <c r="M155" s="290">
        <v>1812.0</v>
      </c>
      <c r="N155" s="304" t="s">
        <v>71</v>
      </c>
      <c r="O155" s="303" t="s">
        <v>29</v>
      </c>
      <c r="P155" s="304" t="s">
        <v>72</v>
      </c>
      <c r="Q155" s="304">
        <v>3133.0</v>
      </c>
      <c r="R155" s="303" t="s">
        <v>41</v>
      </c>
      <c r="S155" s="303" t="s">
        <v>148</v>
      </c>
      <c r="T155" s="309"/>
      <c r="U155" s="146" t="s">
        <v>1867</v>
      </c>
      <c r="V155" s="303" t="s">
        <v>1867</v>
      </c>
      <c r="W155" s="303" t="s">
        <v>1867</v>
      </c>
      <c r="X155" s="304" t="s">
        <v>2949</v>
      </c>
      <c r="Y155" s="310"/>
      <c r="Z155" s="310"/>
      <c r="AA155" s="310"/>
      <c r="AB155" s="310"/>
      <c r="AC155" s="310"/>
      <c r="AD155" s="310"/>
      <c r="AE155" s="310"/>
      <c r="AF155" s="310"/>
      <c r="AG155" s="310"/>
      <c r="AH155" s="310"/>
      <c r="AI155" s="310"/>
      <c r="AJ155" s="310"/>
      <c r="AK155" s="310"/>
      <c r="AL155" s="310"/>
      <c r="AM155" s="310"/>
      <c r="AN155" s="310"/>
      <c r="AO155" s="310"/>
      <c r="AP155" s="310"/>
      <c r="AQ155" s="310"/>
      <c r="AR155" s="310"/>
      <c r="AS155" s="310"/>
      <c r="AT155" s="310"/>
      <c r="AU155" s="310"/>
      <c r="AV155" s="310"/>
      <c r="AW155" s="393"/>
    </row>
    <row r="156">
      <c r="A156" s="12">
        <v>152.0</v>
      </c>
      <c r="B156" s="284" t="s">
        <v>3297</v>
      </c>
      <c r="C156" s="107" t="s">
        <v>3298</v>
      </c>
      <c r="D156" s="107" t="s">
        <v>3184</v>
      </c>
      <c r="E156" s="544">
        <v>1.1994906012E10</v>
      </c>
      <c r="F156" s="106" t="s">
        <v>3299</v>
      </c>
      <c r="G156" s="106">
        <v>2.0</v>
      </c>
      <c r="H156" s="350" t="s">
        <v>2816</v>
      </c>
      <c r="I156" s="108">
        <v>46157.0</v>
      </c>
      <c r="J156" s="108">
        <v>46160.0</v>
      </c>
      <c r="K156" s="89">
        <v>139.0</v>
      </c>
      <c r="L156" s="467">
        <v>12.0</v>
      </c>
      <c r="M156" s="89">
        <f>K156*12</f>
        <v>1668</v>
      </c>
      <c r="N156" s="86" t="s">
        <v>71</v>
      </c>
      <c r="O156" s="86" t="s">
        <v>29</v>
      </c>
      <c r="P156" s="86" t="s">
        <v>72</v>
      </c>
      <c r="Q156" s="167">
        <v>2985.0</v>
      </c>
      <c r="R156" s="86" t="s">
        <v>233</v>
      </c>
      <c r="S156" s="86" t="s">
        <v>110</v>
      </c>
      <c r="T156" s="133"/>
      <c r="U156" s="146" t="s">
        <v>1867</v>
      </c>
      <c r="V156" s="146" t="s">
        <v>1867</v>
      </c>
      <c r="W156" s="146" t="s">
        <v>1867</v>
      </c>
      <c r="X156" s="466" t="s">
        <v>2817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</row>
    <row r="157">
      <c r="A157" s="12">
        <v>153.0</v>
      </c>
      <c r="B157" s="284" t="s">
        <v>3300</v>
      </c>
      <c r="C157" s="107" t="s">
        <v>3301</v>
      </c>
      <c r="D157" s="107" t="s">
        <v>3302</v>
      </c>
      <c r="E157" s="166" t="s">
        <v>3303</v>
      </c>
      <c r="F157" s="106" t="s">
        <v>3304</v>
      </c>
      <c r="G157" s="106">
        <v>3.0</v>
      </c>
      <c r="H157" s="350" t="s">
        <v>2816</v>
      </c>
      <c r="I157" s="108">
        <v>46157.0</v>
      </c>
      <c r="J157" s="108">
        <v>46160.0</v>
      </c>
      <c r="K157" s="89" t="s">
        <v>1822</v>
      </c>
      <c r="L157" s="467">
        <v>1.0</v>
      </c>
      <c r="M157" s="89">
        <v>1812.0</v>
      </c>
      <c r="N157" s="86" t="s">
        <v>71</v>
      </c>
      <c r="O157" s="86" t="s">
        <v>29</v>
      </c>
      <c r="P157" s="86" t="s">
        <v>72</v>
      </c>
      <c r="Q157" s="167">
        <v>2986.0</v>
      </c>
      <c r="R157" s="86" t="s">
        <v>73</v>
      </c>
      <c r="S157" s="86" t="s">
        <v>110</v>
      </c>
      <c r="T157" s="133"/>
      <c r="U157" s="146" t="s">
        <v>1867</v>
      </c>
      <c r="V157" s="146" t="s">
        <v>1867</v>
      </c>
      <c r="W157" s="146" t="s">
        <v>1867</v>
      </c>
      <c r="X157" s="466" t="s">
        <v>2817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</row>
    <row r="158">
      <c r="A158" s="12">
        <v>154.0</v>
      </c>
      <c r="B158" s="303" t="s">
        <v>3305</v>
      </c>
      <c r="C158" s="106" t="s">
        <v>3306</v>
      </c>
      <c r="D158" s="106" t="s">
        <v>3307</v>
      </c>
      <c r="E158" s="166" t="s">
        <v>3308</v>
      </c>
      <c r="F158" s="106" t="s">
        <v>3309</v>
      </c>
      <c r="G158" s="106">
        <v>22.0</v>
      </c>
      <c r="H158" s="350" t="s">
        <v>2816</v>
      </c>
      <c r="I158" s="108">
        <v>46149.0</v>
      </c>
      <c r="J158" s="317">
        <v>46161.0</v>
      </c>
      <c r="K158" s="89">
        <v>265.0</v>
      </c>
      <c r="L158" s="467">
        <v>12.0</v>
      </c>
      <c r="M158" s="89">
        <f t="shared" ref="M158:M160" si="24">K158*12</f>
        <v>3180</v>
      </c>
      <c r="N158" s="120" t="s">
        <v>71</v>
      </c>
      <c r="O158" s="86" t="s">
        <v>29</v>
      </c>
      <c r="P158" s="120" t="s">
        <v>72</v>
      </c>
      <c r="Q158" s="120">
        <v>2987.0</v>
      </c>
      <c r="R158" s="86" t="s">
        <v>233</v>
      </c>
      <c r="S158" s="86" t="s">
        <v>110</v>
      </c>
      <c r="T158" s="315"/>
      <c r="U158" s="146" t="s">
        <v>1867</v>
      </c>
      <c r="V158" s="146" t="s">
        <v>1867</v>
      </c>
      <c r="W158" s="146" t="s">
        <v>1867</v>
      </c>
      <c r="X158" s="466" t="s">
        <v>2817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</row>
    <row r="159">
      <c r="A159" s="12">
        <v>155.0</v>
      </c>
      <c r="B159" s="284" t="s">
        <v>3310</v>
      </c>
      <c r="C159" s="107" t="s">
        <v>3311</v>
      </c>
      <c r="D159" s="107" t="s">
        <v>3312</v>
      </c>
      <c r="E159" s="166" t="s">
        <v>3308</v>
      </c>
      <c r="F159" s="106" t="s">
        <v>3313</v>
      </c>
      <c r="G159" s="106">
        <v>11.0</v>
      </c>
      <c r="H159" s="107" t="s">
        <v>3314</v>
      </c>
      <c r="I159" s="108">
        <v>46154.0</v>
      </c>
      <c r="J159" s="108">
        <v>46161.0</v>
      </c>
      <c r="K159" s="89">
        <v>299.0</v>
      </c>
      <c r="L159" s="467">
        <v>12.0</v>
      </c>
      <c r="M159" s="89">
        <f t="shared" si="24"/>
        <v>3588</v>
      </c>
      <c r="N159" s="86" t="s">
        <v>71</v>
      </c>
      <c r="O159" s="86" t="s">
        <v>29</v>
      </c>
      <c r="P159" s="86" t="s">
        <v>72</v>
      </c>
      <c r="Q159" s="167">
        <v>2992.0</v>
      </c>
      <c r="R159" s="86" t="s">
        <v>233</v>
      </c>
      <c r="S159" s="86" t="s">
        <v>110</v>
      </c>
      <c r="T159" s="133"/>
      <c r="U159" s="146" t="s">
        <v>1867</v>
      </c>
      <c r="V159" s="146" t="s">
        <v>1867</v>
      </c>
      <c r="W159" s="146" t="s">
        <v>1867</v>
      </c>
      <c r="X159" s="466" t="s">
        <v>2817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</row>
    <row r="160">
      <c r="A160" s="12">
        <v>156.0</v>
      </c>
      <c r="B160" s="284" t="s">
        <v>3315</v>
      </c>
      <c r="C160" s="107" t="s">
        <v>3316</v>
      </c>
      <c r="D160" s="107" t="s">
        <v>3317</v>
      </c>
      <c r="E160" s="544" t="s">
        <v>3318</v>
      </c>
      <c r="F160" s="106" t="s">
        <v>3319</v>
      </c>
      <c r="G160" s="106">
        <v>2.0</v>
      </c>
      <c r="H160" s="350" t="s">
        <v>2816</v>
      </c>
      <c r="I160" s="108">
        <v>46161.0</v>
      </c>
      <c r="J160" s="317">
        <v>46161.0</v>
      </c>
      <c r="K160" s="89">
        <v>145.0</v>
      </c>
      <c r="L160" s="467">
        <v>12.0</v>
      </c>
      <c r="M160" s="89">
        <f t="shared" si="24"/>
        <v>1740</v>
      </c>
      <c r="N160" s="120" t="s">
        <v>71</v>
      </c>
      <c r="O160" s="86" t="s">
        <v>29</v>
      </c>
      <c r="P160" s="120" t="s">
        <v>72</v>
      </c>
      <c r="Q160" s="167">
        <v>2993.0</v>
      </c>
      <c r="R160" s="86" t="s">
        <v>98</v>
      </c>
      <c r="S160" s="86" t="s">
        <v>148</v>
      </c>
      <c r="T160" s="133"/>
      <c r="U160" s="146" t="s">
        <v>1867</v>
      </c>
      <c r="V160" s="146" t="s">
        <v>1867</v>
      </c>
      <c r="W160" s="146" t="s">
        <v>1867</v>
      </c>
      <c r="X160" s="466" t="s">
        <v>2817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</row>
    <row r="161">
      <c r="A161" s="12">
        <v>157.0</v>
      </c>
      <c r="B161" s="284" t="s">
        <v>3320</v>
      </c>
      <c r="C161" s="107" t="s">
        <v>3321</v>
      </c>
      <c r="D161" s="107" t="s">
        <v>3322</v>
      </c>
      <c r="E161" s="166" t="s">
        <v>3323</v>
      </c>
      <c r="F161" s="106" t="s">
        <v>3324</v>
      </c>
      <c r="G161" s="106">
        <v>70.0</v>
      </c>
      <c r="H161" s="107" t="s">
        <v>711</v>
      </c>
      <c r="I161" s="108">
        <v>46161.0</v>
      </c>
      <c r="J161" s="317">
        <v>46161.0</v>
      </c>
      <c r="K161" s="89" t="s">
        <v>57</v>
      </c>
      <c r="L161" s="467">
        <v>1.0</v>
      </c>
      <c r="M161" s="89">
        <v>1200.0</v>
      </c>
      <c r="N161" s="120" t="s">
        <v>71</v>
      </c>
      <c r="O161" s="120" t="s">
        <v>91</v>
      </c>
      <c r="P161" s="120" t="s">
        <v>72</v>
      </c>
      <c r="Q161" s="167">
        <v>2988.0</v>
      </c>
      <c r="R161" s="120" t="s">
        <v>73</v>
      </c>
      <c r="S161" s="86" t="s">
        <v>2208</v>
      </c>
      <c r="T161" s="129"/>
      <c r="U161" s="146" t="s">
        <v>1867</v>
      </c>
      <c r="V161" s="146" t="s">
        <v>1867</v>
      </c>
      <c r="W161" s="146" t="s">
        <v>1867</v>
      </c>
      <c r="X161" s="466" t="s">
        <v>2817</v>
      </c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</row>
    <row r="162">
      <c r="A162" s="12">
        <v>158.0</v>
      </c>
      <c r="B162" s="284" t="s">
        <v>3325</v>
      </c>
      <c r="C162" s="107" t="s">
        <v>3326</v>
      </c>
      <c r="D162" s="107" t="s">
        <v>3327</v>
      </c>
      <c r="E162" s="544" t="s">
        <v>2326</v>
      </c>
      <c r="F162" s="107" t="s">
        <v>3328</v>
      </c>
      <c r="G162" s="107" t="s">
        <v>3329</v>
      </c>
      <c r="H162" s="107" t="s">
        <v>3330</v>
      </c>
      <c r="I162" s="247">
        <v>46160.0</v>
      </c>
      <c r="J162" s="247">
        <v>46161.0</v>
      </c>
      <c r="K162" s="238">
        <v>980.0</v>
      </c>
      <c r="L162" s="556">
        <v>5.0</v>
      </c>
      <c r="M162" s="238">
        <f>K162*5</f>
        <v>4900</v>
      </c>
      <c r="N162" s="110" t="s">
        <v>71</v>
      </c>
      <c r="O162" s="110" t="s">
        <v>29</v>
      </c>
      <c r="P162" s="110" t="s">
        <v>72</v>
      </c>
      <c r="Q162" s="167">
        <v>2294.0</v>
      </c>
      <c r="R162" s="167" t="s">
        <v>73</v>
      </c>
      <c r="S162" s="110" t="s">
        <v>31</v>
      </c>
      <c r="T162" s="299" t="s">
        <v>3331</v>
      </c>
      <c r="U162" s="146" t="s">
        <v>1867</v>
      </c>
      <c r="V162" s="146" t="s">
        <v>1867</v>
      </c>
      <c r="W162" s="146" t="s">
        <v>1867</v>
      </c>
      <c r="X162" s="466" t="s">
        <v>2817</v>
      </c>
      <c r="Y162" s="355"/>
      <c r="Z162" s="355"/>
      <c r="AA162" s="355"/>
      <c r="AB162" s="355"/>
      <c r="AC162" s="355"/>
      <c r="AD162" s="355"/>
      <c r="AE162" s="355"/>
      <c r="AF162" s="355"/>
      <c r="AG162" s="355"/>
      <c r="AH162" s="355"/>
      <c r="AI162" s="355"/>
      <c r="AJ162" s="355"/>
      <c r="AK162" s="355"/>
      <c r="AL162" s="355"/>
      <c r="AM162" s="355"/>
      <c r="AN162" s="355"/>
      <c r="AO162" s="355"/>
      <c r="AP162" s="355"/>
      <c r="AQ162" s="355"/>
      <c r="AR162" s="355"/>
      <c r="AS162" s="355"/>
      <c r="AT162" s="355"/>
      <c r="AU162" s="355"/>
      <c r="AV162" s="355"/>
      <c r="AW162" s="355"/>
    </row>
    <row r="163">
      <c r="A163" s="12">
        <v>159.0</v>
      </c>
      <c r="B163" s="284" t="s">
        <v>3332</v>
      </c>
      <c r="C163" s="557" t="s">
        <v>3333</v>
      </c>
      <c r="D163" s="107" t="s">
        <v>3334</v>
      </c>
      <c r="E163" s="558">
        <v>1.1996870126E10</v>
      </c>
      <c r="F163" s="207" t="s">
        <v>3335</v>
      </c>
      <c r="G163" s="106">
        <v>8.0</v>
      </c>
      <c r="H163" s="106" t="s">
        <v>3336</v>
      </c>
      <c r="I163" s="108">
        <v>46156.0</v>
      </c>
      <c r="J163" s="108">
        <v>46161.0</v>
      </c>
      <c r="K163" s="89">
        <v>181.0</v>
      </c>
      <c r="L163" s="467">
        <v>12.0</v>
      </c>
      <c r="M163" s="89">
        <f>K163*12</f>
        <v>2172</v>
      </c>
      <c r="N163" s="86" t="s">
        <v>71</v>
      </c>
      <c r="O163" s="86" t="s">
        <v>29</v>
      </c>
      <c r="P163" s="86" t="s">
        <v>72</v>
      </c>
      <c r="Q163" s="120">
        <v>2995.0</v>
      </c>
      <c r="R163" s="86" t="s">
        <v>233</v>
      </c>
      <c r="S163" s="86" t="s">
        <v>148</v>
      </c>
      <c r="T163" s="133"/>
      <c r="U163" s="146" t="s">
        <v>1867</v>
      </c>
      <c r="V163" s="146" t="s">
        <v>1867</v>
      </c>
      <c r="W163" s="146" t="s">
        <v>1867</v>
      </c>
      <c r="X163" s="466" t="s">
        <v>2817</v>
      </c>
      <c r="Y163" s="24"/>
      <c r="Z163" s="24"/>
      <c r="AA163" s="24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</row>
    <row r="164">
      <c r="A164" s="12">
        <v>160.0</v>
      </c>
      <c r="B164" s="146" t="s">
        <v>3337</v>
      </c>
      <c r="C164" s="123" t="s">
        <v>3338</v>
      </c>
      <c r="D164" s="123" t="s">
        <v>3339</v>
      </c>
      <c r="E164" s="181" t="s">
        <v>3340</v>
      </c>
      <c r="F164" s="337" t="s">
        <v>3341</v>
      </c>
      <c r="G164" s="123" t="s">
        <v>26</v>
      </c>
      <c r="H164" s="123" t="s">
        <v>3342</v>
      </c>
      <c r="I164" s="177">
        <v>46161.0</v>
      </c>
      <c r="J164" s="177">
        <v>46162.0</v>
      </c>
      <c r="K164" s="179" t="s">
        <v>57</v>
      </c>
      <c r="L164" s="471">
        <v>1.0</v>
      </c>
      <c r="M164" s="179">
        <v>1000.0</v>
      </c>
      <c r="N164" s="286" t="s">
        <v>71</v>
      </c>
      <c r="O164" s="120" t="s">
        <v>91</v>
      </c>
      <c r="P164" s="353" t="s">
        <v>72</v>
      </c>
      <c r="Q164" s="123">
        <v>2996.0</v>
      </c>
      <c r="R164" s="353" t="s">
        <v>98</v>
      </c>
      <c r="S164" s="286" t="s">
        <v>148</v>
      </c>
      <c r="T164" s="188"/>
      <c r="U164" s="146" t="s">
        <v>1867</v>
      </c>
      <c r="V164" s="146" t="s">
        <v>1867</v>
      </c>
      <c r="W164" s="146" t="s">
        <v>1867</v>
      </c>
      <c r="X164" s="466" t="s">
        <v>2817</v>
      </c>
      <c r="Y164" s="24"/>
      <c r="Z164" s="24"/>
      <c r="AA164" s="24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</row>
    <row r="165">
      <c r="A165" s="12">
        <v>161.0</v>
      </c>
      <c r="B165" s="286" t="s">
        <v>3343</v>
      </c>
      <c r="C165" s="123" t="s">
        <v>3344</v>
      </c>
      <c r="D165" s="107" t="s">
        <v>3345</v>
      </c>
      <c r="E165" s="166" t="s">
        <v>3346</v>
      </c>
      <c r="F165" s="106" t="s">
        <v>3347</v>
      </c>
      <c r="G165" s="106">
        <v>49.0</v>
      </c>
      <c r="H165" s="107" t="s">
        <v>711</v>
      </c>
      <c r="I165" s="108">
        <v>46162.0</v>
      </c>
      <c r="J165" s="317">
        <v>46162.0</v>
      </c>
      <c r="K165" s="89" t="s">
        <v>211</v>
      </c>
      <c r="L165" s="467">
        <v>1.0</v>
      </c>
      <c r="M165" s="89">
        <v>1000.73</v>
      </c>
      <c r="N165" s="120" t="s">
        <v>71</v>
      </c>
      <c r="O165" s="120" t="s">
        <v>91</v>
      </c>
      <c r="P165" s="120" t="s">
        <v>72</v>
      </c>
      <c r="Q165" s="167">
        <v>3001.0</v>
      </c>
      <c r="R165" s="120" t="s">
        <v>41</v>
      </c>
      <c r="S165" s="86" t="s">
        <v>2208</v>
      </c>
      <c r="T165" s="129"/>
      <c r="U165" s="146" t="s">
        <v>1867</v>
      </c>
      <c r="V165" s="146" t="s">
        <v>1867</v>
      </c>
      <c r="W165" s="146" t="s">
        <v>1867</v>
      </c>
      <c r="X165" s="466" t="s">
        <v>2817</v>
      </c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</row>
    <row r="166">
      <c r="A166" s="12">
        <v>162.0</v>
      </c>
      <c r="B166" s="303" t="s">
        <v>3348</v>
      </c>
      <c r="C166" s="303" t="s">
        <v>3349</v>
      </c>
      <c r="D166" s="303" t="s">
        <v>3350</v>
      </c>
      <c r="E166" s="303" t="s">
        <v>3351</v>
      </c>
      <c r="F166" s="303" t="s">
        <v>3352</v>
      </c>
      <c r="G166" s="303">
        <v>10.0</v>
      </c>
      <c r="H166" s="304" t="s">
        <v>711</v>
      </c>
      <c r="I166" s="305">
        <v>46162.0</v>
      </c>
      <c r="J166" s="306">
        <v>46172.0</v>
      </c>
      <c r="K166" s="132" t="s">
        <v>211</v>
      </c>
      <c r="L166" s="307">
        <v>1.0</v>
      </c>
      <c r="M166" s="290">
        <v>1000.0</v>
      </c>
      <c r="N166" s="304" t="s">
        <v>71</v>
      </c>
      <c r="O166" s="303" t="s">
        <v>91</v>
      </c>
      <c r="P166" s="304" t="s">
        <v>72</v>
      </c>
      <c r="Q166" s="304">
        <v>3129.0</v>
      </c>
      <c r="R166" s="303" t="s">
        <v>73</v>
      </c>
      <c r="S166" s="303" t="s">
        <v>2208</v>
      </c>
      <c r="T166" s="309"/>
      <c r="U166" s="146" t="s">
        <v>1867</v>
      </c>
      <c r="V166" s="303" t="s">
        <v>1867</v>
      </c>
      <c r="W166" s="303" t="s">
        <v>1867</v>
      </c>
      <c r="X166" s="304" t="s">
        <v>2949</v>
      </c>
      <c r="Y166" s="310"/>
      <c r="Z166" s="310"/>
      <c r="AA166" s="310"/>
      <c r="AB166" s="310"/>
      <c r="AC166" s="310"/>
      <c r="AD166" s="310"/>
      <c r="AE166" s="310"/>
      <c r="AF166" s="310"/>
      <c r="AG166" s="310"/>
      <c r="AH166" s="310"/>
      <c r="AI166" s="310"/>
      <c r="AJ166" s="310"/>
      <c r="AK166" s="310"/>
      <c r="AL166" s="310"/>
      <c r="AM166" s="310"/>
      <c r="AN166" s="310"/>
      <c r="AO166" s="310"/>
      <c r="AP166" s="310"/>
      <c r="AQ166" s="310"/>
      <c r="AR166" s="310"/>
      <c r="AS166" s="310"/>
      <c r="AT166" s="310"/>
      <c r="AU166" s="310"/>
      <c r="AV166" s="310"/>
      <c r="AW166" s="393"/>
    </row>
    <row r="167">
      <c r="A167" s="12">
        <v>163.0</v>
      </c>
      <c r="B167" s="123" t="s">
        <v>3353</v>
      </c>
      <c r="C167" s="123" t="s">
        <v>3354</v>
      </c>
      <c r="D167" s="167" t="s">
        <v>1345</v>
      </c>
      <c r="E167" s="181" t="s">
        <v>3355</v>
      </c>
      <c r="F167" s="123" t="s">
        <v>3356</v>
      </c>
      <c r="G167" s="120">
        <v>12.0</v>
      </c>
      <c r="H167" s="167" t="s">
        <v>711</v>
      </c>
      <c r="I167" s="317">
        <v>46162.0</v>
      </c>
      <c r="J167" s="317"/>
      <c r="K167" s="125" t="s">
        <v>211</v>
      </c>
      <c r="L167" s="546">
        <v>1.0</v>
      </c>
      <c r="M167" s="125">
        <v>1000.0</v>
      </c>
      <c r="N167" s="120" t="s">
        <v>58</v>
      </c>
      <c r="O167" s="120" t="s">
        <v>91</v>
      </c>
      <c r="P167" s="120" t="s">
        <v>40</v>
      </c>
      <c r="Q167" s="167"/>
      <c r="R167" s="120" t="s">
        <v>41</v>
      </c>
      <c r="S167" s="120" t="s">
        <v>2208</v>
      </c>
      <c r="T167" s="133"/>
      <c r="U167" s="178"/>
      <c r="V167" s="178"/>
      <c r="W167" s="178"/>
      <c r="X167" s="178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</row>
    <row r="168" ht="17.25" customHeight="1">
      <c r="A168" s="12">
        <v>164.0</v>
      </c>
      <c r="B168" s="146" t="s">
        <v>3357</v>
      </c>
      <c r="C168" s="123" t="s">
        <v>3358</v>
      </c>
      <c r="D168" s="123" t="s">
        <v>3205</v>
      </c>
      <c r="E168" s="181" t="s">
        <v>3359</v>
      </c>
      <c r="F168" s="123" t="s">
        <v>3360</v>
      </c>
      <c r="G168" s="123">
        <v>1.0</v>
      </c>
      <c r="H168" s="123" t="s">
        <v>711</v>
      </c>
      <c r="I168" s="177">
        <v>46161.0</v>
      </c>
      <c r="J168" s="177">
        <v>46162.0</v>
      </c>
      <c r="K168" s="179">
        <v>250.0</v>
      </c>
      <c r="L168" s="471">
        <v>4.0</v>
      </c>
      <c r="M168" s="179">
        <f>K168*4</f>
        <v>1000</v>
      </c>
      <c r="N168" s="286" t="s">
        <v>71</v>
      </c>
      <c r="O168" s="120" t="s">
        <v>91</v>
      </c>
      <c r="P168" s="353" t="s">
        <v>72</v>
      </c>
      <c r="Q168" s="350">
        <v>3007.0</v>
      </c>
      <c r="R168" s="353" t="s">
        <v>73</v>
      </c>
      <c r="S168" s="286" t="s">
        <v>2208</v>
      </c>
      <c r="T168" s="188"/>
      <c r="U168" s="146" t="s">
        <v>1867</v>
      </c>
      <c r="V168" s="146" t="s">
        <v>1867</v>
      </c>
      <c r="W168" s="146" t="s">
        <v>1867</v>
      </c>
      <c r="X168" s="466" t="s">
        <v>2817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</row>
    <row r="169">
      <c r="A169" s="12">
        <v>165.0</v>
      </c>
      <c r="B169" s="146" t="s">
        <v>3361</v>
      </c>
      <c r="C169" s="123" t="s">
        <v>3362</v>
      </c>
      <c r="D169" s="123" t="s">
        <v>3363</v>
      </c>
      <c r="E169" s="181" t="s">
        <v>3364</v>
      </c>
      <c r="F169" s="123" t="s">
        <v>3365</v>
      </c>
      <c r="G169" s="123">
        <v>10.0</v>
      </c>
      <c r="H169" s="123" t="s">
        <v>3366</v>
      </c>
      <c r="I169" s="177">
        <v>46156.0</v>
      </c>
      <c r="J169" s="177">
        <v>46162.0</v>
      </c>
      <c r="K169" s="179">
        <v>226.33</v>
      </c>
      <c r="L169" s="471">
        <v>12.0</v>
      </c>
      <c r="M169" s="180">
        <f>K169*12</f>
        <v>2715.96</v>
      </c>
      <c r="N169" s="286" t="s">
        <v>71</v>
      </c>
      <c r="O169" s="120" t="s">
        <v>29</v>
      </c>
      <c r="P169" s="353" t="s">
        <v>72</v>
      </c>
      <c r="Q169" s="123">
        <v>3000.0</v>
      </c>
      <c r="R169" s="353" t="s">
        <v>1979</v>
      </c>
      <c r="S169" s="286" t="s">
        <v>148</v>
      </c>
      <c r="T169" s="188"/>
      <c r="U169" s="146" t="s">
        <v>1867</v>
      </c>
      <c r="V169" s="146" t="s">
        <v>1867</v>
      </c>
      <c r="W169" s="146" t="s">
        <v>1867</v>
      </c>
      <c r="X169" s="466" t="s">
        <v>2817</v>
      </c>
      <c r="Y169" s="24"/>
      <c r="Z169" s="24"/>
      <c r="AA169" s="24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</row>
    <row r="170">
      <c r="A170" s="12">
        <v>166.0</v>
      </c>
      <c r="B170" s="123" t="s">
        <v>3367</v>
      </c>
      <c r="C170" s="123" t="s">
        <v>3368</v>
      </c>
      <c r="D170" s="123" t="s">
        <v>3369</v>
      </c>
      <c r="E170" s="181">
        <v>1.138458217E9</v>
      </c>
      <c r="F170" s="123" t="s">
        <v>3370</v>
      </c>
      <c r="G170" s="123">
        <v>2.0</v>
      </c>
      <c r="H170" s="123" t="s">
        <v>1359</v>
      </c>
      <c r="I170" s="177">
        <v>46161.0</v>
      </c>
      <c r="J170" s="177">
        <v>46169.0</v>
      </c>
      <c r="K170" s="179" t="s">
        <v>1268</v>
      </c>
      <c r="L170" s="471">
        <v>1.0</v>
      </c>
      <c r="M170" s="179">
        <v>1500.0</v>
      </c>
      <c r="N170" s="286" t="s">
        <v>71</v>
      </c>
      <c r="O170" s="120" t="s">
        <v>29</v>
      </c>
      <c r="P170" s="353" t="s">
        <v>72</v>
      </c>
      <c r="Q170" s="350">
        <v>3109.0</v>
      </c>
      <c r="R170" s="353" t="s">
        <v>73</v>
      </c>
      <c r="S170" s="286" t="s">
        <v>129</v>
      </c>
      <c r="T170" s="188"/>
      <c r="U170" s="146" t="s">
        <v>1867</v>
      </c>
      <c r="V170" s="303" t="s">
        <v>1867</v>
      </c>
      <c r="W170" s="303" t="s">
        <v>1867</v>
      </c>
      <c r="X170" s="304" t="s">
        <v>2949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</row>
    <row r="171">
      <c r="A171" s="12">
        <v>167.0</v>
      </c>
      <c r="B171" s="123" t="s">
        <v>3371</v>
      </c>
      <c r="C171" s="123" t="s">
        <v>3372</v>
      </c>
      <c r="D171" s="123" t="s">
        <v>3373</v>
      </c>
      <c r="E171" s="181">
        <v>1.1954488175E10</v>
      </c>
      <c r="F171" s="123" t="s">
        <v>3374</v>
      </c>
      <c r="G171" s="123">
        <v>9.0</v>
      </c>
      <c r="H171" s="123" t="s">
        <v>1359</v>
      </c>
      <c r="I171" s="177">
        <v>46162.0</v>
      </c>
      <c r="J171" s="178"/>
      <c r="K171" s="179">
        <v>187.0</v>
      </c>
      <c r="L171" s="471">
        <v>12.0</v>
      </c>
      <c r="M171" s="180">
        <f>L171*K171</f>
        <v>2244</v>
      </c>
      <c r="N171" s="286" t="s">
        <v>58</v>
      </c>
      <c r="O171" s="120" t="s">
        <v>91</v>
      </c>
      <c r="P171" s="353" t="s">
        <v>40</v>
      </c>
      <c r="Q171" s="350"/>
      <c r="R171" s="353" t="s">
        <v>41</v>
      </c>
      <c r="S171" s="286" t="s">
        <v>129</v>
      </c>
      <c r="T171" s="188"/>
      <c r="U171" s="178"/>
      <c r="V171" s="178"/>
      <c r="W171" s="178"/>
      <c r="X171" s="178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</row>
    <row r="172">
      <c r="A172" s="12">
        <v>168.0</v>
      </c>
      <c r="B172" s="303" t="s">
        <v>3375</v>
      </c>
      <c r="C172" s="106" t="s">
        <v>3376</v>
      </c>
      <c r="D172" s="106" t="s">
        <v>3377</v>
      </c>
      <c r="E172" s="166">
        <v>1.1991469101E10</v>
      </c>
      <c r="F172" s="106" t="s">
        <v>3378</v>
      </c>
      <c r="G172" s="106">
        <v>3.0</v>
      </c>
      <c r="H172" s="350" t="s">
        <v>2816</v>
      </c>
      <c r="I172" s="108">
        <v>46161.0</v>
      </c>
      <c r="J172" s="108">
        <v>46162.0</v>
      </c>
      <c r="K172" s="89">
        <v>176.0</v>
      </c>
      <c r="L172" s="467">
        <v>12.0</v>
      </c>
      <c r="M172" s="89">
        <f t="shared" ref="M172:M173" si="25">K172*12</f>
        <v>2112</v>
      </c>
      <c r="N172" s="86" t="s">
        <v>71</v>
      </c>
      <c r="O172" s="86" t="s">
        <v>29</v>
      </c>
      <c r="P172" s="86" t="s">
        <v>72</v>
      </c>
      <c r="Q172" s="167">
        <v>3002.0</v>
      </c>
      <c r="R172" s="86" t="s">
        <v>233</v>
      </c>
      <c r="S172" s="86" t="s">
        <v>110</v>
      </c>
      <c r="T172" s="133"/>
      <c r="U172" s="146" t="s">
        <v>1867</v>
      </c>
      <c r="V172" s="146" t="s">
        <v>1867</v>
      </c>
      <c r="W172" s="146" t="s">
        <v>1867</v>
      </c>
      <c r="X172" s="466" t="s">
        <v>2817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</row>
    <row r="173">
      <c r="A173" s="12">
        <v>169.0</v>
      </c>
      <c r="B173" s="303" t="s">
        <v>3379</v>
      </c>
      <c r="C173" s="106" t="s">
        <v>3380</v>
      </c>
      <c r="D173" s="106" t="s">
        <v>3377</v>
      </c>
      <c r="E173" s="166">
        <v>1.1991469101E10</v>
      </c>
      <c r="F173" s="106" t="s">
        <v>3381</v>
      </c>
      <c r="G173" s="106">
        <v>1.0</v>
      </c>
      <c r="H173" s="350" t="s">
        <v>2816</v>
      </c>
      <c r="I173" s="108">
        <v>46161.0</v>
      </c>
      <c r="J173" s="108">
        <v>46162.0</v>
      </c>
      <c r="K173" s="89">
        <v>164.0</v>
      </c>
      <c r="L173" s="467">
        <v>12.0</v>
      </c>
      <c r="M173" s="89">
        <f t="shared" si="25"/>
        <v>1968</v>
      </c>
      <c r="N173" s="86" t="s">
        <v>71</v>
      </c>
      <c r="O173" s="86" t="s">
        <v>29</v>
      </c>
      <c r="P173" s="86" t="s">
        <v>72</v>
      </c>
      <c r="Q173" s="167">
        <v>3005.0</v>
      </c>
      <c r="R173" s="86" t="s">
        <v>233</v>
      </c>
      <c r="S173" s="86" t="s">
        <v>110</v>
      </c>
      <c r="T173" s="133"/>
      <c r="U173" s="146" t="s">
        <v>1867</v>
      </c>
      <c r="V173" s="146" t="s">
        <v>1867</v>
      </c>
      <c r="W173" s="146" t="s">
        <v>1867</v>
      </c>
      <c r="X173" s="466" t="s">
        <v>2817</v>
      </c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</row>
    <row r="174">
      <c r="A174" s="12">
        <v>170.0</v>
      </c>
      <c r="B174" s="146" t="s">
        <v>3382</v>
      </c>
      <c r="C174" s="123" t="s">
        <v>3383</v>
      </c>
      <c r="D174" s="123" t="s">
        <v>3384</v>
      </c>
      <c r="E174" s="181" t="s">
        <v>3385</v>
      </c>
      <c r="F174" s="337" t="s">
        <v>3386</v>
      </c>
      <c r="G174" s="123" t="s">
        <v>26</v>
      </c>
      <c r="H174" s="123" t="s">
        <v>711</v>
      </c>
      <c r="I174" s="177">
        <v>46154.0</v>
      </c>
      <c r="J174" s="177">
        <v>46162.0</v>
      </c>
      <c r="K174" s="179" t="s">
        <v>57</v>
      </c>
      <c r="L174" s="471">
        <v>1.0</v>
      </c>
      <c r="M174" s="179">
        <v>800.0</v>
      </c>
      <c r="N174" s="286" t="s">
        <v>71</v>
      </c>
      <c r="O174" s="120" t="s">
        <v>91</v>
      </c>
      <c r="P174" s="353" t="s">
        <v>72</v>
      </c>
      <c r="Q174" s="350">
        <v>3015.0</v>
      </c>
      <c r="R174" s="353" t="s">
        <v>73</v>
      </c>
      <c r="S174" s="286" t="s">
        <v>148</v>
      </c>
      <c r="T174" s="188"/>
      <c r="U174" s="146" t="s">
        <v>1867</v>
      </c>
      <c r="V174" s="146" t="s">
        <v>1867</v>
      </c>
      <c r="W174" s="146" t="s">
        <v>1867</v>
      </c>
      <c r="X174" s="120" t="s">
        <v>2817</v>
      </c>
      <c r="Y174" s="24"/>
      <c r="Z174" s="24"/>
      <c r="AA174" s="24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</row>
    <row r="175">
      <c r="A175" s="12">
        <v>171.0</v>
      </c>
      <c r="B175" s="146" t="s">
        <v>3382</v>
      </c>
      <c r="C175" s="123" t="s">
        <v>3387</v>
      </c>
      <c r="D175" s="123" t="s">
        <v>3384</v>
      </c>
      <c r="E175" s="181" t="s">
        <v>3385</v>
      </c>
      <c r="F175" s="337" t="s">
        <v>3386</v>
      </c>
      <c r="G175" s="123" t="s">
        <v>26</v>
      </c>
      <c r="H175" s="123" t="s">
        <v>711</v>
      </c>
      <c r="I175" s="177">
        <v>46154.0</v>
      </c>
      <c r="J175" s="177">
        <v>46162.0</v>
      </c>
      <c r="K175" s="179" t="s">
        <v>1268</v>
      </c>
      <c r="L175" s="471">
        <v>1.0</v>
      </c>
      <c r="M175" s="179">
        <v>600.0</v>
      </c>
      <c r="N175" s="286" t="s">
        <v>71</v>
      </c>
      <c r="O175" s="120" t="s">
        <v>91</v>
      </c>
      <c r="P175" s="353" t="s">
        <v>72</v>
      </c>
      <c r="Q175" s="350">
        <v>3014.0</v>
      </c>
      <c r="R175" s="353" t="s">
        <v>73</v>
      </c>
      <c r="S175" s="286" t="s">
        <v>148</v>
      </c>
      <c r="T175" s="188"/>
      <c r="U175" s="146" t="s">
        <v>1867</v>
      </c>
      <c r="V175" s="146" t="s">
        <v>1867</v>
      </c>
      <c r="W175" s="146" t="s">
        <v>1867</v>
      </c>
      <c r="X175" s="120" t="s">
        <v>2817</v>
      </c>
      <c r="Y175" s="24"/>
      <c r="Z175" s="24"/>
      <c r="AA175" s="24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</row>
    <row r="176">
      <c r="A176" s="12">
        <v>172.0</v>
      </c>
      <c r="B176" s="146" t="s">
        <v>3388</v>
      </c>
      <c r="C176" s="123" t="s">
        <v>3389</v>
      </c>
      <c r="D176" s="123" t="s">
        <v>3384</v>
      </c>
      <c r="E176" s="181" t="s">
        <v>3385</v>
      </c>
      <c r="F176" s="337" t="s">
        <v>3386</v>
      </c>
      <c r="G176" s="123" t="s">
        <v>26</v>
      </c>
      <c r="H176" s="123" t="s">
        <v>711</v>
      </c>
      <c r="I176" s="177">
        <v>46154.0</v>
      </c>
      <c r="J176" s="177">
        <v>46162.0</v>
      </c>
      <c r="K176" s="179" t="s">
        <v>57</v>
      </c>
      <c r="L176" s="471">
        <v>1.0</v>
      </c>
      <c r="M176" s="179">
        <v>600.0</v>
      </c>
      <c r="N176" s="286" t="s">
        <v>71</v>
      </c>
      <c r="O176" s="120" t="s">
        <v>91</v>
      </c>
      <c r="P176" s="353" t="s">
        <v>72</v>
      </c>
      <c r="Q176" s="350">
        <v>3016.0</v>
      </c>
      <c r="R176" s="353" t="s">
        <v>73</v>
      </c>
      <c r="S176" s="286" t="s">
        <v>148</v>
      </c>
      <c r="T176" s="188"/>
      <c r="U176" s="146" t="s">
        <v>1867</v>
      </c>
      <c r="V176" s="146" t="s">
        <v>1867</v>
      </c>
      <c r="W176" s="146" t="s">
        <v>1867</v>
      </c>
      <c r="X176" s="120" t="s">
        <v>2817</v>
      </c>
      <c r="Y176" s="24"/>
      <c r="Z176" s="24"/>
      <c r="AA176" s="24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</row>
    <row r="177">
      <c r="A177" s="12">
        <v>173.0</v>
      </c>
      <c r="B177" s="146" t="s">
        <v>3388</v>
      </c>
      <c r="C177" s="123" t="s">
        <v>3390</v>
      </c>
      <c r="D177" s="123" t="s">
        <v>3384</v>
      </c>
      <c r="E177" s="181" t="s">
        <v>3385</v>
      </c>
      <c r="F177" s="337" t="s">
        <v>3386</v>
      </c>
      <c r="G177" s="123" t="s">
        <v>26</v>
      </c>
      <c r="H177" s="123" t="s">
        <v>711</v>
      </c>
      <c r="I177" s="177">
        <v>46154.0</v>
      </c>
      <c r="J177" s="177">
        <v>46162.0</v>
      </c>
      <c r="K177" s="179" t="s">
        <v>57</v>
      </c>
      <c r="L177" s="471">
        <v>1.0</v>
      </c>
      <c r="M177" s="179">
        <v>800.0</v>
      </c>
      <c r="N177" s="286" t="s">
        <v>71</v>
      </c>
      <c r="O177" s="120" t="s">
        <v>91</v>
      </c>
      <c r="P177" s="353" t="s">
        <v>72</v>
      </c>
      <c r="Q177" s="350">
        <v>3017.0</v>
      </c>
      <c r="R177" s="353" t="s">
        <v>73</v>
      </c>
      <c r="S177" s="286" t="s">
        <v>148</v>
      </c>
      <c r="T177" s="188"/>
      <c r="U177" s="146" t="s">
        <v>1867</v>
      </c>
      <c r="V177" s="146" t="s">
        <v>1867</v>
      </c>
      <c r="W177" s="146" t="s">
        <v>1867</v>
      </c>
      <c r="X177" s="120" t="s">
        <v>2817</v>
      </c>
      <c r="Y177" s="24"/>
      <c r="Z177" s="24"/>
      <c r="AA177" s="24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</row>
    <row r="178">
      <c r="A178" s="12">
        <v>174.0</v>
      </c>
      <c r="B178" s="146" t="s">
        <v>3388</v>
      </c>
      <c r="C178" s="123" t="s">
        <v>3391</v>
      </c>
      <c r="D178" s="123" t="s">
        <v>3384</v>
      </c>
      <c r="E178" s="181" t="s">
        <v>3385</v>
      </c>
      <c r="F178" s="337" t="s">
        <v>3386</v>
      </c>
      <c r="G178" s="123" t="s">
        <v>26</v>
      </c>
      <c r="H178" s="123" t="s">
        <v>711</v>
      </c>
      <c r="I178" s="177">
        <v>46154.0</v>
      </c>
      <c r="J178" s="177">
        <v>46162.0</v>
      </c>
      <c r="K178" s="179" t="s">
        <v>57</v>
      </c>
      <c r="L178" s="471">
        <v>1.0</v>
      </c>
      <c r="M178" s="179">
        <v>600.0</v>
      </c>
      <c r="N178" s="286" t="s">
        <v>71</v>
      </c>
      <c r="O178" s="120" t="s">
        <v>91</v>
      </c>
      <c r="P178" s="353" t="s">
        <v>72</v>
      </c>
      <c r="Q178" s="350">
        <v>3018.0</v>
      </c>
      <c r="R178" s="353" t="s">
        <v>73</v>
      </c>
      <c r="S178" s="286" t="s">
        <v>148</v>
      </c>
      <c r="T178" s="188"/>
      <c r="U178" s="146" t="s">
        <v>1867</v>
      </c>
      <c r="V178" s="146" t="s">
        <v>1867</v>
      </c>
      <c r="W178" s="146" t="s">
        <v>1867</v>
      </c>
      <c r="X178" s="120" t="s">
        <v>2817</v>
      </c>
      <c r="Y178" s="24"/>
      <c r="Z178" s="24"/>
      <c r="AA178" s="24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</row>
    <row r="179">
      <c r="A179" s="12">
        <v>175.0</v>
      </c>
      <c r="B179" s="146" t="s">
        <v>3388</v>
      </c>
      <c r="C179" s="123" t="s">
        <v>3392</v>
      </c>
      <c r="D179" s="123" t="s">
        <v>3384</v>
      </c>
      <c r="E179" s="181" t="s">
        <v>3385</v>
      </c>
      <c r="F179" s="337" t="s">
        <v>3386</v>
      </c>
      <c r="G179" s="123" t="s">
        <v>26</v>
      </c>
      <c r="H179" s="123" t="s">
        <v>711</v>
      </c>
      <c r="I179" s="177">
        <v>46154.0</v>
      </c>
      <c r="J179" s="177">
        <v>46162.0</v>
      </c>
      <c r="K179" s="179" t="s">
        <v>57</v>
      </c>
      <c r="L179" s="471">
        <v>1.0</v>
      </c>
      <c r="M179" s="179">
        <v>800.0</v>
      </c>
      <c r="N179" s="286" t="s">
        <v>71</v>
      </c>
      <c r="O179" s="120" t="s">
        <v>91</v>
      </c>
      <c r="P179" s="353" t="s">
        <v>72</v>
      </c>
      <c r="Q179" s="350">
        <v>3019.0</v>
      </c>
      <c r="R179" s="353" t="s">
        <v>73</v>
      </c>
      <c r="S179" s="286" t="s">
        <v>148</v>
      </c>
      <c r="T179" s="188"/>
      <c r="U179" s="146" t="s">
        <v>1867</v>
      </c>
      <c r="V179" s="146" t="s">
        <v>1867</v>
      </c>
      <c r="W179" s="146" t="s">
        <v>1867</v>
      </c>
      <c r="X179" s="120" t="s">
        <v>2817</v>
      </c>
      <c r="Y179" s="24"/>
      <c r="Z179" s="24"/>
      <c r="AA179" s="24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</row>
    <row r="180">
      <c r="A180" s="12">
        <v>176.0</v>
      </c>
      <c r="B180" s="303" t="s">
        <v>3393</v>
      </c>
      <c r="C180" s="106" t="s">
        <v>3394</v>
      </c>
      <c r="D180" s="106" t="s">
        <v>3384</v>
      </c>
      <c r="E180" s="166" t="s">
        <v>3385</v>
      </c>
      <c r="F180" s="173" t="s">
        <v>3386</v>
      </c>
      <c r="G180" s="106" t="s">
        <v>26</v>
      </c>
      <c r="H180" s="106" t="s">
        <v>711</v>
      </c>
      <c r="I180" s="108">
        <v>46156.0</v>
      </c>
      <c r="J180" s="317">
        <v>46162.0</v>
      </c>
      <c r="K180" s="89" t="s">
        <v>57</v>
      </c>
      <c r="L180" s="467">
        <v>1.0</v>
      </c>
      <c r="M180" s="89">
        <v>600.0</v>
      </c>
      <c r="N180" s="120" t="s">
        <v>71</v>
      </c>
      <c r="O180" s="86" t="s">
        <v>91</v>
      </c>
      <c r="P180" s="120" t="s">
        <v>72</v>
      </c>
      <c r="Q180" s="167">
        <v>3013.0</v>
      </c>
      <c r="R180" s="86" t="s">
        <v>73</v>
      </c>
      <c r="S180" s="86" t="s">
        <v>148</v>
      </c>
      <c r="T180" s="133"/>
      <c r="U180" s="146" t="s">
        <v>1867</v>
      </c>
      <c r="V180" s="146" t="s">
        <v>1867</v>
      </c>
      <c r="W180" s="146" t="s">
        <v>1867</v>
      </c>
      <c r="X180" s="120" t="s">
        <v>2817</v>
      </c>
      <c r="Y180" s="24"/>
      <c r="Z180" s="24"/>
      <c r="AA180" s="24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</row>
    <row r="181">
      <c r="A181" s="12">
        <v>177.0</v>
      </c>
      <c r="B181" s="304" t="s">
        <v>3395</v>
      </c>
      <c r="C181" s="120" t="s">
        <v>3396</v>
      </c>
      <c r="D181" s="120" t="s">
        <v>1782</v>
      </c>
      <c r="E181" s="161" t="s">
        <v>3397</v>
      </c>
      <c r="F181" s="120" t="s">
        <v>3398</v>
      </c>
      <c r="G181" s="120">
        <v>3.0</v>
      </c>
      <c r="H181" s="120" t="s">
        <v>711</v>
      </c>
      <c r="I181" s="317">
        <v>46162.0</v>
      </c>
      <c r="J181" s="317">
        <v>46163.0</v>
      </c>
      <c r="K181" s="125">
        <v>250.0</v>
      </c>
      <c r="L181" s="546">
        <v>4.0</v>
      </c>
      <c r="M181" s="125">
        <f>K181*4</f>
        <v>1000</v>
      </c>
      <c r="N181" s="120" t="s">
        <v>71</v>
      </c>
      <c r="O181" s="120" t="s">
        <v>91</v>
      </c>
      <c r="P181" s="120" t="s">
        <v>72</v>
      </c>
      <c r="Q181" s="167">
        <v>3010.0</v>
      </c>
      <c r="R181" s="120" t="s">
        <v>233</v>
      </c>
      <c r="S181" s="120" t="s">
        <v>2208</v>
      </c>
      <c r="T181" s="133"/>
      <c r="U181" s="146" t="s">
        <v>1867</v>
      </c>
      <c r="V181" s="146" t="s">
        <v>1867</v>
      </c>
      <c r="W181" s="146" t="s">
        <v>1867</v>
      </c>
      <c r="X181" s="120" t="s">
        <v>2817</v>
      </c>
      <c r="Y181" s="24"/>
      <c r="Z181" s="24"/>
      <c r="AA181" s="24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</row>
    <row r="182">
      <c r="A182" s="12">
        <v>178.0</v>
      </c>
      <c r="B182" s="303" t="s">
        <v>3399</v>
      </c>
      <c r="C182" s="106" t="s">
        <v>3400</v>
      </c>
      <c r="D182" s="106" t="s">
        <v>3339</v>
      </c>
      <c r="E182" s="166" t="s">
        <v>3401</v>
      </c>
      <c r="F182" s="173" t="s">
        <v>3402</v>
      </c>
      <c r="G182" s="106" t="s">
        <v>26</v>
      </c>
      <c r="H182" s="106" t="s">
        <v>711</v>
      </c>
      <c r="I182" s="108">
        <v>46156.0</v>
      </c>
      <c r="J182" s="317">
        <v>46163.0</v>
      </c>
      <c r="K182" s="89" t="s">
        <v>57</v>
      </c>
      <c r="L182" s="467">
        <v>1.0</v>
      </c>
      <c r="M182" s="89">
        <v>800.0</v>
      </c>
      <c r="N182" s="120" t="s">
        <v>71</v>
      </c>
      <c r="O182" s="86" t="s">
        <v>91</v>
      </c>
      <c r="P182" s="120" t="s">
        <v>72</v>
      </c>
      <c r="Q182" s="167">
        <v>3012.0</v>
      </c>
      <c r="R182" s="86" t="s">
        <v>73</v>
      </c>
      <c r="S182" s="86" t="s">
        <v>148</v>
      </c>
      <c r="T182" s="133"/>
      <c r="U182" s="146" t="s">
        <v>1867</v>
      </c>
      <c r="V182" s="146" t="s">
        <v>1867</v>
      </c>
      <c r="W182" s="146" t="s">
        <v>1867</v>
      </c>
      <c r="X182" s="120" t="s">
        <v>2817</v>
      </c>
      <c r="Y182" s="24"/>
      <c r="Z182" s="24"/>
      <c r="AA182" s="24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</row>
    <row r="183">
      <c r="A183" s="12">
        <v>179.0</v>
      </c>
      <c r="B183" s="106" t="s">
        <v>3399</v>
      </c>
      <c r="C183" s="106" t="s">
        <v>3403</v>
      </c>
      <c r="D183" s="106" t="s">
        <v>3339</v>
      </c>
      <c r="E183" s="166" t="s">
        <v>3401</v>
      </c>
      <c r="F183" s="106" t="s">
        <v>3402</v>
      </c>
      <c r="G183" s="106" t="s">
        <v>26</v>
      </c>
      <c r="H183" s="106" t="s">
        <v>711</v>
      </c>
      <c r="I183" s="108">
        <v>46156.0</v>
      </c>
      <c r="J183" s="317">
        <v>46163.0</v>
      </c>
      <c r="K183" s="89" t="s">
        <v>57</v>
      </c>
      <c r="L183" s="467">
        <v>1.0</v>
      </c>
      <c r="M183" s="89">
        <v>800.0</v>
      </c>
      <c r="N183" s="120" t="s">
        <v>28</v>
      </c>
      <c r="O183" s="86" t="s">
        <v>91</v>
      </c>
      <c r="P183" s="120" t="s">
        <v>72</v>
      </c>
      <c r="Q183" s="167">
        <v>3011.0</v>
      </c>
      <c r="R183" s="86" t="s">
        <v>73</v>
      </c>
      <c r="S183" s="86" t="s">
        <v>148</v>
      </c>
      <c r="T183" s="129" t="s">
        <v>3404</v>
      </c>
      <c r="U183" s="106"/>
      <c r="V183" s="106"/>
      <c r="W183" s="106"/>
      <c r="X183" s="120" t="s">
        <v>2817</v>
      </c>
      <c r="Y183" s="24"/>
      <c r="Z183" s="24"/>
      <c r="AA183" s="24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</row>
    <row r="184">
      <c r="A184" s="12">
        <v>180.0</v>
      </c>
      <c r="B184" s="303" t="s">
        <v>3405</v>
      </c>
      <c r="C184" s="106" t="s">
        <v>3406</v>
      </c>
      <c r="D184" s="106" t="s">
        <v>3407</v>
      </c>
      <c r="E184" s="166" t="s">
        <v>3401</v>
      </c>
      <c r="F184" s="173" t="s">
        <v>3402</v>
      </c>
      <c r="G184" s="106">
        <v>20.0</v>
      </c>
      <c r="H184" s="350" t="s">
        <v>2816</v>
      </c>
      <c r="I184" s="108">
        <v>46156.0</v>
      </c>
      <c r="J184" s="317">
        <v>46163.0</v>
      </c>
      <c r="K184" s="89">
        <v>255.0</v>
      </c>
      <c r="L184" s="467">
        <v>12.0</v>
      </c>
      <c r="M184" s="89">
        <f>K184*12</f>
        <v>3060</v>
      </c>
      <c r="N184" s="120" t="s">
        <v>71</v>
      </c>
      <c r="O184" s="86" t="s">
        <v>29</v>
      </c>
      <c r="P184" s="120" t="s">
        <v>72</v>
      </c>
      <c r="Q184" s="120">
        <v>3009.0</v>
      </c>
      <c r="R184" s="86" t="s">
        <v>73</v>
      </c>
      <c r="S184" s="86" t="s">
        <v>148</v>
      </c>
      <c r="T184" s="133"/>
      <c r="U184" s="146" t="s">
        <v>1867</v>
      </c>
      <c r="V184" s="146" t="s">
        <v>1867</v>
      </c>
      <c r="W184" s="146" t="s">
        <v>1867</v>
      </c>
      <c r="X184" s="120" t="s">
        <v>2817</v>
      </c>
      <c r="Y184" s="24"/>
      <c r="Z184" s="24"/>
      <c r="AA184" s="24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</row>
    <row r="185">
      <c r="A185" s="12">
        <v>181.0</v>
      </c>
      <c r="B185" s="303" t="s">
        <v>3408</v>
      </c>
      <c r="C185" s="106" t="s">
        <v>3409</v>
      </c>
      <c r="D185" s="106" t="s">
        <v>3410</v>
      </c>
      <c r="E185" s="166" t="s">
        <v>3411</v>
      </c>
      <c r="F185" s="106" t="s">
        <v>3412</v>
      </c>
      <c r="G185" s="106">
        <v>8.0</v>
      </c>
      <c r="H185" s="123" t="s">
        <v>711</v>
      </c>
      <c r="I185" s="108">
        <v>46161.0</v>
      </c>
      <c r="J185" s="108">
        <v>46162.0</v>
      </c>
      <c r="K185" s="89">
        <v>200.0</v>
      </c>
      <c r="L185" s="467">
        <v>4.0</v>
      </c>
      <c r="M185" s="89">
        <f>K185*4</f>
        <v>800</v>
      </c>
      <c r="N185" s="86" t="s">
        <v>71</v>
      </c>
      <c r="O185" s="86" t="s">
        <v>29</v>
      </c>
      <c r="P185" s="86" t="s">
        <v>72</v>
      </c>
      <c r="Q185" s="86">
        <v>3006.0</v>
      </c>
      <c r="R185" s="86" t="s">
        <v>73</v>
      </c>
      <c r="S185" s="86" t="s">
        <v>110</v>
      </c>
      <c r="T185" s="559"/>
      <c r="U185" s="146" t="s">
        <v>1867</v>
      </c>
      <c r="V185" s="146" t="s">
        <v>1867</v>
      </c>
      <c r="W185" s="146" t="s">
        <v>1867</v>
      </c>
      <c r="X185" s="120" t="s">
        <v>2817</v>
      </c>
      <c r="Y185" s="24"/>
      <c r="Z185" s="24"/>
      <c r="AA185" s="24"/>
      <c r="AB185" s="24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</row>
    <row r="186">
      <c r="A186" s="12">
        <v>182.0</v>
      </c>
      <c r="B186" s="303" t="s">
        <v>3413</v>
      </c>
      <c r="C186" s="303" t="s">
        <v>3414</v>
      </c>
      <c r="D186" s="303" t="s">
        <v>3415</v>
      </c>
      <c r="E186" s="303" t="s">
        <v>3416</v>
      </c>
      <c r="F186" s="303" t="s">
        <v>3417</v>
      </c>
      <c r="G186" s="303">
        <v>9.0</v>
      </c>
      <c r="H186" s="304" t="s">
        <v>65</v>
      </c>
      <c r="I186" s="305">
        <v>46162.0</v>
      </c>
      <c r="J186" s="306">
        <v>46167.0</v>
      </c>
      <c r="K186" s="128">
        <v>150.0</v>
      </c>
      <c r="L186" s="307">
        <v>12.0</v>
      </c>
      <c r="M186" s="308">
        <f>K186*12</f>
        <v>1800</v>
      </c>
      <c r="N186" s="304" t="s">
        <v>71</v>
      </c>
      <c r="O186" s="303" t="s">
        <v>29</v>
      </c>
      <c r="P186" s="304" t="s">
        <v>72</v>
      </c>
      <c r="Q186" s="304">
        <v>3053.0</v>
      </c>
      <c r="R186" s="303" t="s">
        <v>73</v>
      </c>
      <c r="S186" s="303" t="s">
        <v>129</v>
      </c>
      <c r="T186" s="309"/>
      <c r="U186" s="146" t="s">
        <v>1867</v>
      </c>
      <c r="V186" s="303" t="s">
        <v>1867</v>
      </c>
      <c r="W186" s="303" t="s">
        <v>1867</v>
      </c>
      <c r="X186" s="304" t="s">
        <v>2949</v>
      </c>
      <c r="Y186" s="310"/>
      <c r="Z186" s="310"/>
      <c r="AA186" s="310"/>
      <c r="AB186" s="310"/>
      <c r="AC186" s="310"/>
      <c r="AD186" s="310"/>
      <c r="AE186" s="310"/>
      <c r="AF186" s="310"/>
      <c r="AG186" s="310"/>
      <c r="AH186" s="310"/>
      <c r="AI186" s="310"/>
      <c r="AJ186" s="310"/>
      <c r="AK186" s="310"/>
      <c r="AL186" s="310"/>
      <c r="AM186" s="310"/>
      <c r="AN186" s="310"/>
      <c r="AO186" s="310"/>
      <c r="AP186" s="310"/>
      <c r="AQ186" s="310"/>
      <c r="AR186" s="310"/>
      <c r="AS186" s="310"/>
      <c r="AT186" s="310"/>
      <c r="AU186" s="310"/>
      <c r="AV186" s="310"/>
      <c r="AW186" s="3"/>
    </row>
    <row r="187">
      <c r="A187" s="12">
        <v>183.0</v>
      </c>
      <c r="B187" s="123" t="s">
        <v>3418</v>
      </c>
      <c r="C187" s="106" t="s">
        <v>3419</v>
      </c>
      <c r="D187" s="106" t="s">
        <v>3420</v>
      </c>
      <c r="E187" s="166" t="s">
        <v>3421</v>
      </c>
      <c r="F187" s="123" t="s">
        <v>3422</v>
      </c>
      <c r="G187" s="123">
        <v>6.0</v>
      </c>
      <c r="H187" s="146" t="s">
        <v>711</v>
      </c>
      <c r="I187" s="177">
        <v>46163.0</v>
      </c>
      <c r="J187" s="178"/>
      <c r="K187" s="179" t="s">
        <v>1268</v>
      </c>
      <c r="L187" s="471">
        <v>1.0</v>
      </c>
      <c r="M187" s="179">
        <v>800.0</v>
      </c>
      <c r="N187" s="286" t="s">
        <v>58</v>
      </c>
      <c r="O187" s="120" t="s">
        <v>91</v>
      </c>
      <c r="P187" s="353" t="s">
        <v>40</v>
      </c>
      <c r="Q187" s="123"/>
      <c r="R187" s="353" t="s">
        <v>73</v>
      </c>
      <c r="S187" s="286" t="s">
        <v>129</v>
      </c>
      <c r="T187" s="188"/>
      <c r="U187" s="178"/>
      <c r="V187" s="178"/>
      <c r="W187" s="178"/>
      <c r="X187" s="178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</row>
    <row r="188">
      <c r="A188" s="12">
        <v>184.0</v>
      </c>
      <c r="B188" s="123" t="s">
        <v>3423</v>
      </c>
      <c r="C188" s="106" t="s">
        <v>3424</v>
      </c>
      <c r="D188" s="106" t="s">
        <v>3425</v>
      </c>
      <c r="E188" s="166" t="s">
        <v>3426</v>
      </c>
      <c r="F188" s="560" t="s">
        <v>3427</v>
      </c>
      <c r="G188" s="123">
        <v>34.0</v>
      </c>
      <c r="H188" s="123" t="s">
        <v>48</v>
      </c>
      <c r="I188" s="177">
        <v>46163.0</v>
      </c>
      <c r="J188" s="178"/>
      <c r="K188" s="179" t="s">
        <v>1268</v>
      </c>
      <c r="L188" s="471">
        <v>1.0</v>
      </c>
      <c r="M188" s="179">
        <v>4044.0</v>
      </c>
      <c r="N188" s="286" t="s">
        <v>28</v>
      </c>
      <c r="O188" s="120" t="s">
        <v>29</v>
      </c>
      <c r="P188" s="353" t="s">
        <v>40</v>
      </c>
      <c r="Q188" s="123"/>
      <c r="R188" s="353" t="s">
        <v>73</v>
      </c>
      <c r="S188" s="286" t="s">
        <v>129</v>
      </c>
      <c r="T188" s="188"/>
      <c r="U188" s="178"/>
      <c r="V188" s="178"/>
      <c r="W188" s="178"/>
      <c r="X188" s="178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</row>
    <row r="189">
      <c r="A189" s="12">
        <v>185.0</v>
      </c>
      <c r="B189" s="123" t="s">
        <v>3428</v>
      </c>
      <c r="C189" s="212" t="s">
        <v>3429</v>
      </c>
      <c r="D189" s="123" t="s">
        <v>3430</v>
      </c>
      <c r="E189" s="181">
        <v>1.3360087E7</v>
      </c>
      <c r="F189" s="560" t="s">
        <v>3431</v>
      </c>
      <c r="G189" s="123">
        <v>1.0</v>
      </c>
      <c r="H189" s="123" t="s">
        <v>3432</v>
      </c>
      <c r="I189" s="177">
        <v>46163.0</v>
      </c>
      <c r="J189" s="177">
        <v>46170.0</v>
      </c>
      <c r="K189" s="179" t="s">
        <v>1268</v>
      </c>
      <c r="L189" s="471">
        <v>1.0</v>
      </c>
      <c r="M189" s="179">
        <v>800.0</v>
      </c>
      <c r="N189" s="286" t="s">
        <v>71</v>
      </c>
      <c r="O189" s="120" t="s">
        <v>91</v>
      </c>
      <c r="P189" s="353" t="s">
        <v>72</v>
      </c>
      <c r="Q189" s="123">
        <v>3110.0</v>
      </c>
      <c r="R189" s="353" t="s">
        <v>73</v>
      </c>
      <c r="S189" s="286" t="s">
        <v>129</v>
      </c>
      <c r="T189" s="188"/>
      <c r="U189" s="146" t="s">
        <v>1867</v>
      </c>
      <c r="V189" s="303" t="s">
        <v>1867</v>
      </c>
      <c r="W189" s="303" t="s">
        <v>1867</v>
      </c>
      <c r="X189" s="304" t="s">
        <v>2949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</row>
    <row r="190">
      <c r="A190" s="12">
        <v>186.0</v>
      </c>
      <c r="B190" s="212" t="s">
        <v>3433</v>
      </c>
      <c r="C190" s="208">
        <v>2.4670533000149E13</v>
      </c>
      <c r="D190" s="123" t="s">
        <v>3434</v>
      </c>
      <c r="E190" s="181">
        <v>1.1913655461E10</v>
      </c>
      <c r="F190" s="212" t="s">
        <v>3435</v>
      </c>
      <c r="G190" s="123">
        <v>5.0</v>
      </c>
      <c r="H190" s="146" t="s">
        <v>711</v>
      </c>
      <c r="I190" s="177">
        <v>46163.0</v>
      </c>
      <c r="J190" s="178"/>
      <c r="K190" s="179" t="s">
        <v>57</v>
      </c>
      <c r="L190" s="471">
        <v>1.0</v>
      </c>
      <c r="M190" s="179">
        <v>900.0</v>
      </c>
      <c r="N190" s="286" t="s">
        <v>58</v>
      </c>
      <c r="O190" s="120" t="s">
        <v>91</v>
      </c>
      <c r="P190" s="353" t="s">
        <v>40</v>
      </c>
      <c r="Q190" s="123"/>
      <c r="R190" s="353" t="s">
        <v>233</v>
      </c>
      <c r="S190" s="286" t="s">
        <v>129</v>
      </c>
      <c r="T190" s="188"/>
      <c r="U190" s="178"/>
      <c r="V190" s="178"/>
      <c r="W190" s="178"/>
      <c r="X190" s="178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</row>
    <row r="191">
      <c r="A191" s="12">
        <v>187.0</v>
      </c>
      <c r="B191" s="146" t="s">
        <v>3436</v>
      </c>
      <c r="C191" s="123" t="s">
        <v>3437</v>
      </c>
      <c r="D191" s="120" t="s">
        <v>3438</v>
      </c>
      <c r="E191" s="181" t="s">
        <v>3439</v>
      </c>
      <c r="F191" s="123" t="s">
        <v>3440</v>
      </c>
      <c r="G191" s="123">
        <v>4.0</v>
      </c>
      <c r="H191" s="123" t="s">
        <v>711</v>
      </c>
      <c r="I191" s="177">
        <v>46163.0</v>
      </c>
      <c r="J191" s="177">
        <v>46164.0</v>
      </c>
      <c r="K191" s="179">
        <v>250.0</v>
      </c>
      <c r="L191" s="471">
        <v>4.0</v>
      </c>
      <c r="M191" s="179">
        <f>K191*4</f>
        <v>1000</v>
      </c>
      <c r="N191" s="286" t="s">
        <v>71</v>
      </c>
      <c r="O191" s="120" t="s">
        <v>91</v>
      </c>
      <c r="P191" s="353" t="s">
        <v>72</v>
      </c>
      <c r="Q191" s="295">
        <v>3025.0</v>
      </c>
      <c r="R191" s="353" t="s">
        <v>73</v>
      </c>
      <c r="S191" s="286" t="s">
        <v>2208</v>
      </c>
      <c r="T191" s="188"/>
      <c r="U191" s="146" t="s">
        <v>1867</v>
      </c>
      <c r="V191" s="146" t="s">
        <v>1867</v>
      </c>
      <c r="W191" s="146" t="s">
        <v>1867</v>
      </c>
      <c r="X191" s="120" t="s">
        <v>2817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</row>
    <row r="192">
      <c r="A192" s="12">
        <v>188.0</v>
      </c>
      <c r="B192" s="303" t="s">
        <v>3441</v>
      </c>
      <c r="C192" s="303" t="s">
        <v>3442</v>
      </c>
      <c r="D192" s="303" t="s">
        <v>3443</v>
      </c>
      <c r="E192" s="303" t="s">
        <v>3444</v>
      </c>
      <c r="F192" s="303" t="s">
        <v>3445</v>
      </c>
      <c r="G192" s="303">
        <v>2.0</v>
      </c>
      <c r="H192" s="304" t="s">
        <v>711</v>
      </c>
      <c r="I192" s="305">
        <v>46164.0</v>
      </c>
      <c r="J192" s="306">
        <v>46169.0</v>
      </c>
      <c r="K192" s="132" t="s">
        <v>211</v>
      </c>
      <c r="L192" s="307">
        <v>1.0</v>
      </c>
      <c r="M192" s="290">
        <v>600.0</v>
      </c>
      <c r="N192" s="304" t="s">
        <v>71</v>
      </c>
      <c r="O192" s="303" t="s">
        <v>91</v>
      </c>
      <c r="P192" s="304" t="s">
        <v>72</v>
      </c>
      <c r="Q192" s="304">
        <v>3082.0</v>
      </c>
      <c r="R192" s="303" t="s">
        <v>41</v>
      </c>
      <c r="S192" s="303" t="s">
        <v>2208</v>
      </c>
      <c r="T192" s="309"/>
      <c r="U192" s="146" t="s">
        <v>1867</v>
      </c>
      <c r="V192" s="303" t="s">
        <v>1867</v>
      </c>
      <c r="W192" s="303" t="s">
        <v>1867</v>
      </c>
      <c r="X192" s="304" t="s">
        <v>2949</v>
      </c>
      <c r="Y192" s="310"/>
      <c r="Z192" s="310"/>
      <c r="AA192" s="310"/>
      <c r="AB192" s="310"/>
      <c r="AC192" s="310"/>
      <c r="AD192" s="310"/>
      <c r="AE192" s="310"/>
      <c r="AF192" s="310"/>
      <c r="AG192" s="310"/>
      <c r="AH192" s="310"/>
      <c r="AI192" s="310"/>
      <c r="AJ192" s="310"/>
      <c r="AK192" s="310"/>
      <c r="AL192" s="310"/>
      <c r="AM192" s="310"/>
      <c r="AN192" s="310"/>
      <c r="AO192" s="310"/>
      <c r="AP192" s="310"/>
      <c r="AQ192" s="310"/>
      <c r="AR192" s="310"/>
      <c r="AS192" s="310"/>
      <c r="AT192" s="310"/>
      <c r="AU192" s="310"/>
      <c r="AV192" s="310"/>
      <c r="AW192" s="3"/>
    </row>
    <row r="193">
      <c r="A193" s="12">
        <v>189.0</v>
      </c>
      <c r="B193" s="123" t="s">
        <v>3446</v>
      </c>
      <c r="C193" s="123" t="s">
        <v>3447</v>
      </c>
      <c r="D193" s="123" t="s">
        <v>3448</v>
      </c>
      <c r="E193" s="181" t="s">
        <v>3449</v>
      </c>
      <c r="F193" s="123" t="s">
        <v>3450</v>
      </c>
      <c r="G193" s="123">
        <v>1.0</v>
      </c>
      <c r="H193" s="123" t="s">
        <v>1874</v>
      </c>
      <c r="I193" s="177">
        <v>46074.0</v>
      </c>
      <c r="J193" s="178"/>
      <c r="K193" s="179"/>
      <c r="L193" s="471"/>
      <c r="M193" s="179">
        <v>1668.0</v>
      </c>
      <c r="N193" s="286" t="s">
        <v>58</v>
      </c>
      <c r="O193" s="120" t="s">
        <v>29</v>
      </c>
      <c r="P193" s="353" t="s">
        <v>40</v>
      </c>
      <c r="Q193" s="123"/>
      <c r="R193" s="353" t="s">
        <v>73</v>
      </c>
      <c r="S193" s="286" t="s">
        <v>2208</v>
      </c>
      <c r="T193" s="188"/>
      <c r="U193" s="178"/>
      <c r="V193" s="178"/>
      <c r="W193" s="178"/>
      <c r="X193" s="178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</row>
    <row r="194">
      <c r="A194" s="12">
        <v>190.0</v>
      </c>
      <c r="B194" s="212" t="s">
        <v>3451</v>
      </c>
      <c r="C194" s="208" t="s">
        <v>3452</v>
      </c>
      <c r="D194" s="123" t="s">
        <v>3453</v>
      </c>
      <c r="E194" s="181" t="s">
        <v>3454</v>
      </c>
      <c r="F194" s="212" t="s">
        <v>3455</v>
      </c>
      <c r="G194" s="123">
        <v>5.0</v>
      </c>
      <c r="H194" s="123" t="s">
        <v>1874</v>
      </c>
      <c r="I194" s="177">
        <v>46156.0</v>
      </c>
      <c r="J194" s="178"/>
      <c r="K194" s="179"/>
      <c r="L194" s="471"/>
      <c r="M194" s="179">
        <v>1956.0</v>
      </c>
      <c r="N194" s="286" t="s">
        <v>58</v>
      </c>
      <c r="O194" s="120" t="s">
        <v>29</v>
      </c>
      <c r="P194" s="353" t="s">
        <v>40</v>
      </c>
      <c r="Q194" s="123"/>
      <c r="R194" s="353" t="s">
        <v>73</v>
      </c>
      <c r="S194" s="286" t="s">
        <v>2208</v>
      </c>
      <c r="T194" s="188"/>
      <c r="U194" s="178"/>
      <c r="V194" s="178"/>
      <c r="W194" s="178"/>
      <c r="X194" s="178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</row>
    <row r="195">
      <c r="A195" s="12">
        <v>191.0</v>
      </c>
      <c r="B195" s="123" t="s">
        <v>3456</v>
      </c>
      <c r="C195" s="123" t="s">
        <v>3457</v>
      </c>
      <c r="D195" s="123" t="s">
        <v>3458</v>
      </c>
      <c r="E195" s="181" t="s">
        <v>3459</v>
      </c>
      <c r="F195" s="123" t="s">
        <v>3460</v>
      </c>
      <c r="G195" s="123">
        <v>1.0</v>
      </c>
      <c r="H195" s="123" t="s">
        <v>1874</v>
      </c>
      <c r="I195" s="177">
        <v>46162.0</v>
      </c>
      <c r="J195" s="178"/>
      <c r="K195" s="179"/>
      <c r="L195" s="471"/>
      <c r="M195" s="179">
        <v>1668.0</v>
      </c>
      <c r="N195" s="286" t="s">
        <v>58</v>
      </c>
      <c r="O195" s="120" t="s">
        <v>29</v>
      </c>
      <c r="P195" s="353" t="s">
        <v>40</v>
      </c>
      <c r="Q195" s="123"/>
      <c r="R195" s="353" t="s">
        <v>73</v>
      </c>
      <c r="S195" s="286" t="s">
        <v>2208</v>
      </c>
      <c r="T195" s="188"/>
      <c r="U195" s="178"/>
      <c r="V195" s="178"/>
      <c r="W195" s="178"/>
      <c r="X195" s="178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</row>
    <row r="196">
      <c r="A196" s="12">
        <v>192.0</v>
      </c>
      <c r="B196" s="123" t="s">
        <v>3461</v>
      </c>
      <c r="C196" s="123" t="s">
        <v>3462</v>
      </c>
      <c r="D196" s="123" t="s">
        <v>3463</v>
      </c>
      <c r="E196" s="181" t="s">
        <v>3464</v>
      </c>
      <c r="F196" s="123" t="s">
        <v>3465</v>
      </c>
      <c r="G196" s="123">
        <v>11.0</v>
      </c>
      <c r="H196" s="123" t="s">
        <v>1874</v>
      </c>
      <c r="I196" s="177">
        <v>46155.0</v>
      </c>
      <c r="J196" s="178"/>
      <c r="K196" s="179"/>
      <c r="L196" s="471"/>
      <c r="M196" s="179">
        <v>2338.0</v>
      </c>
      <c r="N196" s="286" t="s">
        <v>58</v>
      </c>
      <c r="O196" s="120" t="s">
        <v>29</v>
      </c>
      <c r="P196" s="353" t="s">
        <v>40</v>
      </c>
      <c r="Q196" s="123"/>
      <c r="R196" s="353" t="s">
        <v>73</v>
      </c>
      <c r="S196" s="286" t="s">
        <v>2208</v>
      </c>
      <c r="T196" s="188"/>
      <c r="U196" s="178"/>
      <c r="V196" s="178"/>
      <c r="W196" s="178"/>
      <c r="X196" s="178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</row>
    <row r="197">
      <c r="A197" s="12">
        <v>193.0</v>
      </c>
      <c r="B197" s="123" t="s">
        <v>3466</v>
      </c>
      <c r="C197" s="123" t="s">
        <v>3467</v>
      </c>
      <c r="D197" s="123" t="s">
        <v>3468</v>
      </c>
      <c r="E197" s="181" t="s">
        <v>3469</v>
      </c>
      <c r="F197" s="123" t="s">
        <v>3470</v>
      </c>
      <c r="G197" s="123">
        <v>6.0</v>
      </c>
      <c r="H197" s="123" t="s">
        <v>1874</v>
      </c>
      <c r="I197" s="177">
        <v>46163.0</v>
      </c>
      <c r="J197" s="178"/>
      <c r="K197" s="179"/>
      <c r="L197" s="471"/>
      <c r="M197" s="179">
        <v>2028.0</v>
      </c>
      <c r="N197" s="286" t="s">
        <v>58</v>
      </c>
      <c r="O197" s="120" t="s">
        <v>29</v>
      </c>
      <c r="P197" s="353" t="s">
        <v>40</v>
      </c>
      <c r="Q197" s="123"/>
      <c r="R197" s="353" t="s">
        <v>73</v>
      </c>
      <c r="S197" s="286" t="s">
        <v>2208</v>
      </c>
      <c r="T197" s="188"/>
      <c r="U197" s="178"/>
      <c r="V197" s="178"/>
      <c r="W197" s="178"/>
      <c r="X197" s="178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</row>
    <row r="198">
      <c r="A198" s="12">
        <v>194.0</v>
      </c>
      <c r="B198" s="123" t="s">
        <v>3471</v>
      </c>
      <c r="C198" s="123" t="s">
        <v>3472</v>
      </c>
      <c r="D198" s="123" t="s">
        <v>3473</v>
      </c>
      <c r="E198" s="181" t="s">
        <v>3474</v>
      </c>
      <c r="F198" s="123" t="s">
        <v>3475</v>
      </c>
      <c r="G198" s="123">
        <v>170.0</v>
      </c>
      <c r="H198" s="123" t="s">
        <v>1874</v>
      </c>
      <c r="I198" s="177">
        <v>46163.0</v>
      </c>
      <c r="J198" s="178"/>
      <c r="K198" s="179"/>
      <c r="L198" s="471"/>
      <c r="M198" s="179">
        <v>17121.96</v>
      </c>
      <c r="N198" s="286" t="s">
        <v>58</v>
      </c>
      <c r="O198" s="120" t="s">
        <v>29</v>
      </c>
      <c r="P198" s="353" t="s">
        <v>40</v>
      </c>
      <c r="Q198" s="123"/>
      <c r="R198" s="353" t="s">
        <v>73</v>
      </c>
      <c r="S198" s="286" t="s">
        <v>2208</v>
      </c>
      <c r="T198" s="188"/>
      <c r="U198" s="178"/>
      <c r="V198" s="178"/>
      <c r="W198" s="178"/>
      <c r="X198" s="178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</row>
    <row r="199">
      <c r="A199" s="12">
        <v>195.0</v>
      </c>
      <c r="B199" s="303" t="s">
        <v>3476</v>
      </c>
      <c r="C199" s="303" t="s">
        <v>3477</v>
      </c>
      <c r="D199" s="303" t="s">
        <v>3478</v>
      </c>
      <c r="E199" s="303" t="s">
        <v>3479</v>
      </c>
      <c r="F199" s="303" t="s">
        <v>3480</v>
      </c>
      <c r="G199" s="303">
        <v>11.0</v>
      </c>
      <c r="H199" s="304" t="s">
        <v>65</v>
      </c>
      <c r="I199" s="305">
        <v>46163.0</v>
      </c>
      <c r="J199" s="306">
        <v>46167.0</v>
      </c>
      <c r="K199" s="132" t="s">
        <v>57</v>
      </c>
      <c r="L199" s="307">
        <v>1.0</v>
      </c>
      <c r="M199" s="290">
        <v>2200.92</v>
      </c>
      <c r="N199" s="304" t="s">
        <v>71</v>
      </c>
      <c r="O199" s="303" t="s">
        <v>91</v>
      </c>
      <c r="P199" s="304" t="s">
        <v>72</v>
      </c>
      <c r="Q199" s="304">
        <v>3048.0</v>
      </c>
      <c r="R199" s="303" t="s">
        <v>73</v>
      </c>
      <c r="S199" s="303" t="s">
        <v>129</v>
      </c>
      <c r="T199" s="309"/>
      <c r="U199" s="146" t="s">
        <v>1867</v>
      </c>
      <c r="V199" s="303" t="s">
        <v>1867</v>
      </c>
      <c r="W199" s="303" t="s">
        <v>1867</v>
      </c>
      <c r="X199" s="304" t="s">
        <v>2949</v>
      </c>
      <c r="Y199" s="310"/>
      <c r="Z199" s="310"/>
      <c r="AA199" s="310"/>
      <c r="AB199" s="310"/>
      <c r="AC199" s="310"/>
      <c r="AD199" s="310"/>
      <c r="AE199" s="310"/>
      <c r="AF199" s="310"/>
      <c r="AG199" s="310"/>
      <c r="AH199" s="310"/>
      <c r="AI199" s="310"/>
      <c r="AJ199" s="310"/>
      <c r="AK199" s="310"/>
      <c r="AL199" s="310"/>
      <c r="AM199" s="310"/>
      <c r="AN199" s="310"/>
      <c r="AO199" s="310"/>
      <c r="AP199" s="310"/>
      <c r="AQ199" s="310"/>
      <c r="AR199" s="310"/>
      <c r="AS199" s="310"/>
      <c r="AT199" s="310"/>
      <c r="AU199" s="310"/>
      <c r="AV199" s="310"/>
      <c r="AW199" s="3"/>
    </row>
    <row r="200">
      <c r="A200" s="12">
        <v>196.0</v>
      </c>
      <c r="B200" s="365" t="s">
        <v>3481</v>
      </c>
      <c r="C200" s="146" t="s">
        <v>3482</v>
      </c>
      <c r="D200" s="146" t="s">
        <v>3483</v>
      </c>
      <c r="E200" s="359">
        <v>1.19470324E10</v>
      </c>
      <c r="F200" s="560" t="s">
        <v>3484</v>
      </c>
      <c r="G200" s="146">
        <v>4.0</v>
      </c>
      <c r="H200" s="146" t="s">
        <v>48</v>
      </c>
      <c r="I200" s="321">
        <v>46163.0</v>
      </c>
      <c r="J200" s="312"/>
      <c r="K200" s="126">
        <v>157.0</v>
      </c>
      <c r="L200" s="497">
        <v>12.0</v>
      </c>
      <c r="M200" s="209">
        <f t="shared" ref="M200:M201" si="26">K200*12</f>
        <v>1884</v>
      </c>
      <c r="N200" s="286" t="s">
        <v>58</v>
      </c>
      <c r="O200" s="304" t="s">
        <v>29</v>
      </c>
      <c r="P200" s="353" t="s">
        <v>40</v>
      </c>
      <c r="Q200" s="146"/>
      <c r="R200" s="353" t="s">
        <v>233</v>
      </c>
      <c r="S200" s="286" t="s">
        <v>129</v>
      </c>
      <c r="T200" s="313"/>
      <c r="U200" s="312"/>
      <c r="V200" s="312"/>
      <c r="W200" s="312"/>
      <c r="X200" s="312"/>
      <c r="Y200" s="314"/>
      <c r="Z200" s="314"/>
      <c r="AA200" s="314"/>
      <c r="AB200" s="314"/>
      <c r="AC200" s="314"/>
      <c r="AD200" s="314"/>
      <c r="AE200" s="314"/>
      <c r="AF200" s="314"/>
      <c r="AG200" s="314"/>
      <c r="AH200" s="314"/>
      <c r="AI200" s="314"/>
      <c r="AJ200" s="314"/>
      <c r="AK200" s="314"/>
      <c r="AL200" s="314"/>
      <c r="AM200" s="314"/>
      <c r="AN200" s="314"/>
      <c r="AO200" s="314"/>
      <c r="AP200" s="314"/>
      <c r="AQ200" s="314"/>
      <c r="AR200" s="314"/>
      <c r="AS200" s="314"/>
      <c r="AT200" s="314"/>
      <c r="AU200" s="314"/>
      <c r="AV200" s="314"/>
      <c r="AW200" s="314"/>
    </row>
    <row r="201">
      <c r="A201" s="12">
        <v>197.0</v>
      </c>
      <c r="B201" s="284" t="s">
        <v>3485</v>
      </c>
      <c r="C201" s="107" t="s">
        <v>3486</v>
      </c>
      <c r="D201" s="107" t="s">
        <v>3487</v>
      </c>
      <c r="E201" s="544" t="s">
        <v>3488</v>
      </c>
      <c r="F201" s="107" t="s">
        <v>3489</v>
      </c>
      <c r="G201" s="107">
        <v>1.0</v>
      </c>
      <c r="H201" s="350" t="s">
        <v>2816</v>
      </c>
      <c r="I201" s="247">
        <v>46163.0</v>
      </c>
      <c r="J201" s="247">
        <v>46164.0</v>
      </c>
      <c r="K201" s="238">
        <v>139.0</v>
      </c>
      <c r="L201" s="556">
        <v>12.0</v>
      </c>
      <c r="M201" s="238">
        <f t="shared" si="26"/>
        <v>1668</v>
      </c>
      <c r="N201" s="167" t="s">
        <v>71</v>
      </c>
      <c r="O201" s="110" t="s">
        <v>29</v>
      </c>
      <c r="P201" s="167" t="s">
        <v>72</v>
      </c>
      <c r="Q201" s="286">
        <v>3034.0</v>
      </c>
      <c r="R201" s="110" t="s">
        <v>1979</v>
      </c>
      <c r="S201" s="110" t="s">
        <v>148</v>
      </c>
      <c r="T201" s="559"/>
      <c r="U201" s="146" t="s">
        <v>1867</v>
      </c>
      <c r="V201" s="146" t="s">
        <v>1867</v>
      </c>
      <c r="W201" s="146" t="s">
        <v>1867</v>
      </c>
      <c r="X201" s="120" t="s">
        <v>2817</v>
      </c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</row>
    <row r="202">
      <c r="A202" s="12">
        <v>198.0</v>
      </c>
      <c r="B202" s="303" t="s">
        <v>3490</v>
      </c>
      <c r="C202" s="303" t="s">
        <v>3491</v>
      </c>
      <c r="D202" s="303" t="s">
        <v>776</v>
      </c>
      <c r="E202" s="475" t="s">
        <v>3492</v>
      </c>
      <c r="F202" s="476" t="s">
        <v>3493</v>
      </c>
      <c r="G202" s="303">
        <v>6.0</v>
      </c>
      <c r="H202" s="295" t="s">
        <v>2816</v>
      </c>
      <c r="I202" s="305">
        <v>46153.0</v>
      </c>
      <c r="J202" s="338">
        <v>46164.0</v>
      </c>
      <c r="K202" s="132" t="s">
        <v>57</v>
      </c>
      <c r="L202" s="561">
        <v>1.0</v>
      </c>
      <c r="M202" s="132">
        <v>2050.0</v>
      </c>
      <c r="N202" s="304" t="s">
        <v>71</v>
      </c>
      <c r="O202" s="548" t="s">
        <v>29</v>
      </c>
      <c r="P202" s="304" t="s">
        <v>72</v>
      </c>
      <c r="Q202" s="286">
        <v>3057.0</v>
      </c>
      <c r="R202" s="548" t="s">
        <v>73</v>
      </c>
      <c r="S202" s="548" t="s">
        <v>148</v>
      </c>
      <c r="T202" s="340"/>
      <c r="U202" s="146" t="s">
        <v>1867</v>
      </c>
      <c r="V202" s="146" t="s">
        <v>1867</v>
      </c>
      <c r="W202" s="146" t="s">
        <v>1867</v>
      </c>
      <c r="X202" s="120" t="s">
        <v>2817</v>
      </c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</row>
    <row r="203">
      <c r="A203" s="12">
        <v>199.0</v>
      </c>
      <c r="B203" s="303" t="s">
        <v>3494</v>
      </c>
      <c r="C203" s="303" t="s">
        <v>3495</v>
      </c>
      <c r="D203" s="303" t="s">
        <v>776</v>
      </c>
      <c r="E203" s="475" t="s">
        <v>3492</v>
      </c>
      <c r="F203" s="364" t="s">
        <v>3493</v>
      </c>
      <c r="G203" s="303">
        <v>105.0</v>
      </c>
      <c r="H203" s="295" t="s">
        <v>2816</v>
      </c>
      <c r="I203" s="305">
        <v>46153.0</v>
      </c>
      <c r="J203" s="338">
        <v>46164.0</v>
      </c>
      <c r="K203" s="132" t="s">
        <v>57</v>
      </c>
      <c r="L203" s="561">
        <v>1.0</v>
      </c>
      <c r="M203" s="132">
        <v>4900.0</v>
      </c>
      <c r="N203" s="304" t="s">
        <v>71</v>
      </c>
      <c r="O203" s="548" t="s">
        <v>29</v>
      </c>
      <c r="P203" s="304" t="s">
        <v>72</v>
      </c>
      <c r="Q203" s="286">
        <v>3058.0</v>
      </c>
      <c r="R203" s="548" t="s">
        <v>73</v>
      </c>
      <c r="S203" s="548" t="s">
        <v>148</v>
      </c>
      <c r="T203" s="340"/>
      <c r="U203" s="146" t="s">
        <v>1867</v>
      </c>
      <c r="V203" s="146" t="s">
        <v>1867</v>
      </c>
      <c r="W203" s="146" t="s">
        <v>1867</v>
      </c>
      <c r="X203" s="120" t="s">
        <v>2817</v>
      </c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</row>
    <row r="204">
      <c r="A204" s="12">
        <v>200.0</v>
      </c>
      <c r="B204" s="342" t="s">
        <v>3496</v>
      </c>
      <c r="C204" s="562" t="s">
        <v>3497</v>
      </c>
      <c r="D204" s="103" t="s">
        <v>3498</v>
      </c>
      <c r="E204" s="563">
        <v>1.1965612079E10</v>
      </c>
      <c r="F204" s="564" t="s">
        <v>3499</v>
      </c>
      <c r="G204" s="103" t="s">
        <v>26</v>
      </c>
      <c r="H204" s="103" t="s">
        <v>1703</v>
      </c>
      <c r="I204" s="174">
        <v>46164.0</v>
      </c>
      <c r="J204" s="104"/>
      <c r="K204" s="197" t="s">
        <v>57</v>
      </c>
      <c r="L204" s="480">
        <v>1.0</v>
      </c>
      <c r="M204" s="197">
        <v>1400.0</v>
      </c>
      <c r="N204" s="353" t="s">
        <v>58</v>
      </c>
      <c r="O204" s="185" t="s">
        <v>29</v>
      </c>
      <c r="P204" s="353" t="s">
        <v>40</v>
      </c>
      <c r="Q204" s="103"/>
      <c r="R204" s="353" t="s">
        <v>1979</v>
      </c>
      <c r="S204" s="353" t="s">
        <v>148</v>
      </c>
      <c r="T204" s="198"/>
      <c r="U204" s="104"/>
      <c r="V204" s="104"/>
      <c r="W204" s="104"/>
      <c r="X204" s="10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</row>
    <row r="205">
      <c r="A205" s="12">
        <v>201.0</v>
      </c>
      <c r="B205" s="303" t="s">
        <v>3500</v>
      </c>
      <c r="C205" s="303" t="s">
        <v>3501</v>
      </c>
      <c r="D205" s="303" t="s">
        <v>776</v>
      </c>
      <c r="E205" s="475" t="s">
        <v>3492</v>
      </c>
      <c r="F205" s="303" t="s">
        <v>3493</v>
      </c>
      <c r="G205" s="303">
        <v>20.0</v>
      </c>
      <c r="H205" s="295" t="s">
        <v>2816</v>
      </c>
      <c r="I205" s="305">
        <v>46156.0</v>
      </c>
      <c r="J205" s="338">
        <v>46164.0</v>
      </c>
      <c r="K205" s="132" t="s">
        <v>57</v>
      </c>
      <c r="L205" s="561">
        <v>1.0</v>
      </c>
      <c r="M205" s="132">
        <v>2250.0</v>
      </c>
      <c r="N205" s="304" t="s">
        <v>71</v>
      </c>
      <c r="O205" s="548" t="s">
        <v>29</v>
      </c>
      <c r="P205" s="304" t="s">
        <v>72</v>
      </c>
      <c r="Q205" s="286">
        <v>3059.0</v>
      </c>
      <c r="R205" s="548" t="s">
        <v>73</v>
      </c>
      <c r="S205" s="548" t="s">
        <v>148</v>
      </c>
      <c r="T205" s="340"/>
      <c r="U205" s="146" t="s">
        <v>1867</v>
      </c>
      <c r="V205" s="146" t="s">
        <v>1867</v>
      </c>
      <c r="W205" s="146" t="s">
        <v>1867</v>
      </c>
      <c r="X205" s="120" t="s">
        <v>2817</v>
      </c>
      <c r="Y205" s="287"/>
      <c r="Z205" s="287"/>
      <c r="AA205" s="287"/>
      <c r="AB205" s="393"/>
      <c r="AC205" s="393"/>
      <c r="AD205" s="393"/>
      <c r="AE205" s="393"/>
      <c r="AF205" s="393"/>
      <c r="AG205" s="393"/>
      <c r="AH205" s="393"/>
      <c r="AI205" s="393"/>
      <c r="AJ205" s="393"/>
      <c r="AK205" s="393"/>
      <c r="AL205" s="393"/>
      <c r="AM205" s="393"/>
      <c r="AN205" s="393"/>
      <c r="AO205" s="393"/>
      <c r="AP205" s="393"/>
      <c r="AQ205" s="393"/>
      <c r="AR205" s="393"/>
      <c r="AS205" s="393"/>
      <c r="AT205" s="393"/>
      <c r="AU205" s="393"/>
      <c r="AV205" s="393"/>
      <c r="AW205" s="393"/>
    </row>
    <row r="206">
      <c r="A206" s="12">
        <v>202.0</v>
      </c>
      <c r="B206" s="303" t="s">
        <v>3502</v>
      </c>
      <c r="C206" s="303" t="s">
        <v>3503</v>
      </c>
      <c r="D206" s="303" t="s">
        <v>3504</v>
      </c>
      <c r="E206" s="565">
        <v>1.1951419999E10</v>
      </c>
      <c r="F206" s="364" t="s">
        <v>3505</v>
      </c>
      <c r="G206" s="303">
        <v>4.0</v>
      </c>
      <c r="H206" s="295" t="s">
        <v>2816</v>
      </c>
      <c r="I206" s="305">
        <v>46162.0</v>
      </c>
      <c r="J206" s="305">
        <v>46164.0</v>
      </c>
      <c r="K206" s="132">
        <v>157.0</v>
      </c>
      <c r="L206" s="561">
        <v>12.0</v>
      </c>
      <c r="M206" s="132">
        <f>K206*12</f>
        <v>1884</v>
      </c>
      <c r="N206" s="548" t="s">
        <v>71</v>
      </c>
      <c r="O206" s="548" t="s">
        <v>29</v>
      </c>
      <c r="P206" s="548" t="s">
        <v>72</v>
      </c>
      <c r="Q206" s="286">
        <v>3026.0</v>
      </c>
      <c r="R206" s="548" t="s">
        <v>233</v>
      </c>
      <c r="S206" s="548" t="s">
        <v>110</v>
      </c>
      <c r="T206" s="313"/>
      <c r="U206" s="146" t="s">
        <v>1867</v>
      </c>
      <c r="V206" s="146" t="s">
        <v>1867</v>
      </c>
      <c r="W206" s="146" t="s">
        <v>1867</v>
      </c>
      <c r="X206" s="120" t="s">
        <v>2817</v>
      </c>
      <c r="Y206" s="314"/>
      <c r="Z206" s="314"/>
      <c r="AA206" s="314"/>
      <c r="AB206" s="314"/>
      <c r="AC206" s="314"/>
      <c r="AD206" s="314"/>
      <c r="AE206" s="314"/>
      <c r="AF206" s="314"/>
      <c r="AG206" s="314"/>
      <c r="AH206" s="314"/>
      <c r="AI206" s="314"/>
      <c r="AJ206" s="314"/>
      <c r="AK206" s="314"/>
      <c r="AL206" s="314"/>
      <c r="AM206" s="314"/>
      <c r="AN206" s="314"/>
      <c r="AO206" s="314"/>
      <c r="AP206" s="314"/>
      <c r="AQ206" s="314"/>
      <c r="AR206" s="314"/>
      <c r="AS206" s="314"/>
      <c r="AT206" s="314"/>
      <c r="AU206" s="314"/>
      <c r="AV206" s="314"/>
      <c r="AW206" s="314"/>
    </row>
    <row r="207">
      <c r="A207" s="12">
        <v>203.0</v>
      </c>
      <c r="B207" s="303" t="s">
        <v>3506</v>
      </c>
      <c r="C207" s="106" t="s">
        <v>3507</v>
      </c>
      <c r="D207" s="106" t="s">
        <v>3508</v>
      </c>
      <c r="E207" s="166">
        <v>1.1984735329E10</v>
      </c>
      <c r="F207" s="106" t="s">
        <v>3509</v>
      </c>
      <c r="G207" s="106">
        <v>10.0</v>
      </c>
      <c r="H207" s="106" t="s">
        <v>960</v>
      </c>
      <c r="I207" s="108">
        <v>46164.0</v>
      </c>
      <c r="J207" s="108">
        <v>46164.0</v>
      </c>
      <c r="K207" s="89">
        <v>500.0</v>
      </c>
      <c r="L207" s="467">
        <v>2.0</v>
      </c>
      <c r="M207" s="89">
        <f>K207*2</f>
        <v>1000</v>
      </c>
      <c r="N207" s="86" t="s">
        <v>71</v>
      </c>
      <c r="O207" s="86" t="s">
        <v>29</v>
      </c>
      <c r="P207" s="86" t="s">
        <v>72</v>
      </c>
      <c r="Q207" s="167">
        <v>3028.0</v>
      </c>
      <c r="R207" s="86" t="s">
        <v>233</v>
      </c>
      <c r="S207" s="86" t="s">
        <v>110</v>
      </c>
      <c r="T207" s="188"/>
      <c r="U207" s="146" t="s">
        <v>1867</v>
      </c>
      <c r="V207" s="146" t="s">
        <v>1867</v>
      </c>
      <c r="W207" s="146" t="s">
        <v>1867</v>
      </c>
      <c r="X207" s="120" t="s">
        <v>2817</v>
      </c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</row>
    <row r="208">
      <c r="A208" s="12">
        <v>204.0</v>
      </c>
      <c r="B208" s="303" t="s">
        <v>3510</v>
      </c>
      <c r="C208" s="106" t="s">
        <v>3511</v>
      </c>
      <c r="D208" s="106" t="s">
        <v>3512</v>
      </c>
      <c r="E208" s="544">
        <v>1.1987928878E10</v>
      </c>
      <c r="F208" s="106" t="s">
        <v>3513</v>
      </c>
      <c r="G208" s="106">
        <v>4.0</v>
      </c>
      <c r="H208" s="350" t="s">
        <v>2816</v>
      </c>
      <c r="I208" s="108">
        <v>46163.0</v>
      </c>
      <c r="J208" s="108">
        <v>46164.0</v>
      </c>
      <c r="K208" s="125">
        <v>500.0</v>
      </c>
      <c r="L208" s="467">
        <v>3.0</v>
      </c>
      <c r="M208" s="89">
        <f>K208*3</f>
        <v>1500</v>
      </c>
      <c r="N208" s="86" t="s">
        <v>71</v>
      </c>
      <c r="O208" s="86" t="s">
        <v>29</v>
      </c>
      <c r="P208" s="86" t="s">
        <v>72</v>
      </c>
      <c r="Q208" s="167">
        <v>3037.0</v>
      </c>
      <c r="R208" s="86" t="s">
        <v>233</v>
      </c>
      <c r="S208" s="86" t="s">
        <v>110</v>
      </c>
      <c r="T208" s="188"/>
      <c r="U208" s="146" t="s">
        <v>1867</v>
      </c>
      <c r="V208" s="146" t="s">
        <v>1867</v>
      </c>
      <c r="W208" s="146" t="s">
        <v>1867</v>
      </c>
      <c r="X208" s="120" t="s">
        <v>2817</v>
      </c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</row>
    <row r="209">
      <c r="A209" s="12">
        <v>205.0</v>
      </c>
      <c r="B209" s="303" t="s">
        <v>3514</v>
      </c>
      <c r="C209" s="303" t="s">
        <v>495</v>
      </c>
      <c r="D209" s="303" t="s">
        <v>496</v>
      </c>
      <c r="E209" s="303" t="s">
        <v>3515</v>
      </c>
      <c r="F209" s="364" t="s">
        <v>3516</v>
      </c>
      <c r="G209" s="303" t="s">
        <v>26</v>
      </c>
      <c r="H209" s="304" t="s">
        <v>459</v>
      </c>
      <c r="I209" s="305">
        <v>46164.0</v>
      </c>
      <c r="J209" s="306">
        <v>46171.0</v>
      </c>
      <c r="K209" s="132" t="s">
        <v>57</v>
      </c>
      <c r="L209" s="307">
        <v>1.0</v>
      </c>
      <c r="M209" s="290">
        <v>2000.0</v>
      </c>
      <c r="N209" s="304" t="s">
        <v>71</v>
      </c>
      <c r="O209" s="303" t="s">
        <v>91</v>
      </c>
      <c r="P209" s="304" t="s">
        <v>72</v>
      </c>
      <c r="Q209" s="304">
        <v>3049.0</v>
      </c>
      <c r="R209" s="303" t="s">
        <v>233</v>
      </c>
      <c r="S209" s="303" t="s">
        <v>148</v>
      </c>
      <c r="T209" s="309"/>
      <c r="U209" s="146" t="s">
        <v>1867</v>
      </c>
      <c r="V209" s="303" t="s">
        <v>1867</v>
      </c>
      <c r="W209" s="303" t="s">
        <v>1867</v>
      </c>
      <c r="X209" s="304" t="s">
        <v>2949</v>
      </c>
      <c r="Y209" s="310"/>
      <c r="Z209" s="310"/>
      <c r="AA209" s="310"/>
      <c r="AB209" s="310"/>
      <c r="AC209" s="310"/>
      <c r="AD209" s="310"/>
      <c r="AE209" s="310"/>
      <c r="AF209" s="310"/>
      <c r="AG209" s="310"/>
      <c r="AH209" s="310"/>
      <c r="AI209" s="310"/>
      <c r="AJ209" s="310"/>
      <c r="AK209" s="310"/>
      <c r="AL209" s="310"/>
      <c r="AM209" s="310"/>
      <c r="AN209" s="310"/>
      <c r="AO209" s="310"/>
      <c r="AP209" s="310"/>
      <c r="AQ209" s="310"/>
      <c r="AR209" s="310"/>
      <c r="AS209" s="310"/>
      <c r="AT209" s="310"/>
      <c r="AU209" s="310"/>
      <c r="AV209" s="310"/>
      <c r="AW209" s="355"/>
    </row>
    <row r="210">
      <c r="A210" s="12">
        <v>206.0</v>
      </c>
      <c r="B210" s="303" t="s">
        <v>3517</v>
      </c>
      <c r="C210" s="303" t="s">
        <v>3518</v>
      </c>
      <c r="D210" s="303" t="s">
        <v>496</v>
      </c>
      <c r="E210" s="303" t="s">
        <v>3515</v>
      </c>
      <c r="F210" s="364" t="s">
        <v>3519</v>
      </c>
      <c r="G210" s="303" t="s">
        <v>26</v>
      </c>
      <c r="H210" s="304" t="s">
        <v>459</v>
      </c>
      <c r="I210" s="305">
        <v>46164.0</v>
      </c>
      <c r="J210" s="306">
        <v>46167.0</v>
      </c>
      <c r="K210" s="132" t="s">
        <v>57</v>
      </c>
      <c r="L210" s="307">
        <v>1.0</v>
      </c>
      <c r="M210" s="290">
        <v>800.0</v>
      </c>
      <c r="N210" s="304" t="s">
        <v>71</v>
      </c>
      <c r="O210" s="303" t="s">
        <v>29</v>
      </c>
      <c r="P210" s="304" t="s">
        <v>72</v>
      </c>
      <c r="Q210" s="304">
        <v>3055.0</v>
      </c>
      <c r="R210" s="303" t="s">
        <v>233</v>
      </c>
      <c r="S210" s="303" t="s">
        <v>148</v>
      </c>
      <c r="T210" s="309"/>
      <c r="U210" s="146" t="s">
        <v>1867</v>
      </c>
      <c r="V210" s="303" t="s">
        <v>1867</v>
      </c>
      <c r="W210" s="303" t="s">
        <v>1867</v>
      </c>
      <c r="X210" s="304" t="s">
        <v>2949</v>
      </c>
      <c r="Y210" s="310"/>
      <c r="Z210" s="310"/>
      <c r="AA210" s="310"/>
      <c r="AB210" s="310"/>
      <c r="AC210" s="310"/>
      <c r="AD210" s="310"/>
      <c r="AE210" s="310"/>
      <c r="AF210" s="310"/>
      <c r="AG210" s="310"/>
      <c r="AH210" s="310"/>
      <c r="AI210" s="310"/>
      <c r="AJ210" s="310"/>
      <c r="AK210" s="310"/>
      <c r="AL210" s="310"/>
      <c r="AM210" s="310"/>
      <c r="AN210" s="310"/>
      <c r="AO210" s="310"/>
      <c r="AP210" s="310"/>
      <c r="AQ210" s="310"/>
      <c r="AR210" s="310"/>
      <c r="AS210" s="310"/>
      <c r="AT210" s="310"/>
      <c r="AU210" s="310"/>
      <c r="AV210" s="310"/>
      <c r="AW210" s="3"/>
    </row>
    <row r="211">
      <c r="A211" s="12">
        <v>207.0</v>
      </c>
      <c r="B211" s="303" t="s">
        <v>3520</v>
      </c>
      <c r="C211" s="303" t="s">
        <v>3521</v>
      </c>
      <c r="D211" s="303" t="s">
        <v>496</v>
      </c>
      <c r="E211" s="303" t="s">
        <v>3515</v>
      </c>
      <c r="F211" s="364" t="s">
        <v>3522</v>
      </c>
      <c r="G211" s="303" t="s">
        <v>26</v>
      </c>
      <c r="H211" s="304" t="s">
        <v>459</v>
      </c>
      <c r="I211" s="305">
        <v>46164.0</v>
      </c>
      <c r="J211" s="306">
        <v>46167.0</v>
      </c>
      <c r="K211" s="132" t="s">
        <v>57</v>
      </c>
      <c r="L211" s="307">
        <v>1.0</v>
      </c>
      <c r="M211" s="290">
        <v>800.0</v>
      </c>
      <c r="N211" s="304" t="s">
        <v>71</v>
      </c>
      <c r="O211" s="303" t="s">
        <v>29</v>
      </c>
      <c r="P211" s="304" t="s">
        <v>72</v>
      </c>
      <c r="Q211" s="304">
        <v>3056.0</v>
      </c>
      <c r="R211" s="303" t="s">
        <v>233</v>
      </c>
      <c r="S211" s="303" t="s">
        <v>148</v>
      </c>
      <c r="T211" s="309"/>
      <c r="U211" s="146" t="s">
        <v>1867</v>
      </c>
      <c r="V211" s="303" t="s">
        <v>1867</v>
      </c>
      <c r="W211" s="303" t="s">
        <v>1867</v>
      </c>
      <c r="X211" s="304" t="s">
        <v>2949</v>
      </c>
      <c r="Y211" s="310"/>
      <c r="Z211" s="310"/>
      <c r="AA211" s="310"/>
      <c r="AB211" s="310"/>
      <c r="AC211" s="310"/>
      <c r="AD211" s="310"/>
      <c r="AE211" s="310"/>
      <c r="AF211" s="310"/>
      <c r="AG211" s="310"/>
      <c r="AH211" s="310"/>
      <c r="AI211" s="310"/>
      <c r="AJ211" s="310"/>
      <c r="AK211" s="310"/>
      <c r="AL211" s="310"/>
      <c r="AM211" s="310"/>
      <c r="AN211" s="310"/>
      <c r="AO211" s="310"/>
      <c r="AP211" s="310"/>
      <c r="AQ211" s="310"/>
      <c r="AR211" s="310"/>
      <c r="AS211" s="310"/>
      <c r="AT211" s="310"/>
      <c r="AU211" s="310"/>
      <c r="AV211" s="310"/>
      <c r="AW211" s="3"/>
    </row>
    <row r="212">
      <c r="A212" s="12">
        <v>208.0</v>
      </c>
      <c r="B212" s="303" t="s">
        <v>3523</v>
      </c>
      <c r="C212" s="303" t="s">
        <v>3524</v>
      </c>
      <c r="D212" s="303" t="s">
        <v>3525</v>
      </c>
      <c r="E212" s="303" t="s">
        <v>3526</v>
      </c>
      <c r="F212" s="303" t="s">
        <v>3527</v>
      </c>
      <c r="G212" s="303">
        <v>3.0</v>
      </c>
      <c r="H212" s="304" t="s">
        <v>711</v>
      </c>
      <c r="I212" s="305">
        <v>46150.0</v>
      </c>
      <c r="J212" s="306">
        <v>46167.0</v>
      </c>
      <c r="K212" s="128">
        <v>250.0</v>
      </c>
      <c r="L212" s="307">
        <v>4.0</v>
      </c>
      <c r="M212" s="308">
        <f>K212*4</f>
        <v>1000</v>
      </c>
      <c r="N212" s="304" t="s">
        <v>71</v>
      </c>
      <c r="O212" s="303" t="s">
        <v>91</v>
      </c>
      <c r="P212" s="304" t="s">
        <v>72</v>
      </c>
      <c r="Q212" s="304">
        <v>3047.0</v>
      </c>
      <c r="R212" s="303" t="s">
        <v>73</v>
      </c>
      <c r="S212" s="303" t="s">
        <v>2208</v>
      </c>
      <c r="T212" s="309"/>
      <c r="U212" s="146" t="s">
        <v>1867</v>
      </c>
      <c r="V212" s="303" t="s">
        <v>1867</v>
      </c>
      <c r="W212" s="303" t="s">
        <v>1867</v>
      </c>
      <c r="X212" s="304" t="s">
        <v>2949</v>
      </c>
      <c r="Y212" s="310"/>
      <c r="Z212" s="310"/>
      <c r="AA212" s="310"/>
      <c r="AB212" s="310"/>
      <c r="AC212" s="310"/>
      <c r="AD212" s="310"/>
      <c r="AE212" s="310"/>
      <c r="AF212" s="310"/>
      <c r="AG212" s="310"/>
      <c r="AH212" s="310"/>
      <c r="AI212" s="310"/>
      <c r="AJ212" s="310"/>
      <c r="AK212" s="310"/>
      <c r="AL212" s="310"/>
      <c r="AM212" s="310"/>
      <c r="AN212" s="310"/>
      <c r="AO212" s="310"/>
      <c r="AP212" s="310"/>
      <c r="AQ212" s="310"/>
      <c r="AR212" s="310"/>
      <c r="AS212" s="310"/>
      <c r="AT212" s="310"/>
      <c r="AU212" s="310"/>
      <c r="AV212" s="310"/>
      <c r="AW212" s="314"/>
    </row>
    <row r="213" ht="15.0" customHeight="1">
      <c r="A213" s="12">
        <v>209.0</v>
      </c>
      <c r="B213" s="303" t="s">
        <v>3528</v>
      </c>
      <c r="C213" s="303" t="s">
        <v>3529</v>
      </c>
      <c r="D213" s="303" t="s">
        <v>3530</v>
      </c>
      <c r="E213" s="303" t="s">
        <v>3531</v>
      </c>
      <c r="F213" s="303" t="s">
        <v>3532</v>
      </c>
      <c r="G213" s="303">
        <v>5.0</v>
      </c>
      <c r="H213" s="304" t="s">
        <v>1874</v>
      </c>
      <c r="I213" s="305">
        <v>46167.0</v>
      </c>
      <c r="J213" s="306">
        <v>46168.0</v>
      </c>
      <c r="K213" s="128">
        <v>163.0</v>
      </c>
      <c r="L213" s="307">
        <v>12.0</v>
      </c>
      <c r="M213" s="308">
        <f>K213*12</f>
        <v>1956</v>
      </c>
      <c r="N213" s="304" t="s">
        <v>71</v>
      </c>
      <c r="O213" s="303" t="s">
        <v>91</v>
      </c>
      <c r="P213" s="304" t="s">
        <v>72</v>
      </c>
      <c r="Q213" s="304">
        <v>3097.0</v>
      </c>
      <c r="R213" s="303" t="s">
        <v>73</v>
      </c>
      <c r="S213" s="303" t="s">
        <v>2208</v>
      </c>
      <c r="T213" s="309"/>
      <c r="U213" s="146" t="s">
        <v>1867</v>
      </c>
      <c r="V213" s="303" t="s">
        <v>1867</v>
      </c>
      <c r="W213" s="303" t="s">
        <v>1867</v>
      </c>
      <c r="X213" s="304" t="s">
        <v>2949</v>
      </c>
      <c r="Y213" s="310"/>
      <c r="Z213" s="310"/>
      <c r="AA213" s="310"/>
      <c r="AB213" s="310"/>
      <c r="AC213" s="310"/>
      <c r="AD213" s="310"/>
      <c r="AE213" s="310"/>
      <c r="AF213" s="310"/>
      <c r="AG213" s="310"/>
      <c r="AH213" s="310"/>
      <c r="AI213" s="310"/>
      <c r="AJ213" s="310"/>
      <c r="AK213" s="310"/>
      <c r="AL213" s="310"/>
      <c r="AM213" s="310"/>
      <c r="AN213" s="310"/>
      <c r="AO213" s="310"/>
      <c r="AP213" s="310"/>
      <c r="AQ213" s="310"/>
      <c r="AR213" s="310"/>
      <c r="AS213" s="310"/>
      <c r="AT213" s="310"/>
      <c r="AU213" s="310"/>
      <c r="AV213" s="310"/>
      <c r="AW213" s="3"/>
    </row>
    <row r="214">
      <c r="A214" s="12">
        <v>210.0</v>
      </c>
      <c r="B214" s="303" t="s">
        <v>3533</v>
      </c>
      <c r="C214" s="303" t="s">
        <v>3534</v>
      </c>
      <c r="D214" s="303" t="s">
        <v>3535</v>
      </c>
      <c r="E214" s="303" t="s">
        <v>3090</v>
      </c>
      <c r="F214" s="303" t="s">
        <v>3536</v>
      </c>
      <c r="G214" s="303">
        <v>4.0</v>
      </c>
      <c r="H214" s="304" t="s">
        <v>711</v>
      </c>
      <c r="I214" s="305">
        <v>46167.0</v>
      </c>
      <c r="J214" s="306">
        <v>46170.0</v>
      </c>
      <c r="K214" s="132" t="s">
        <v>3537</v>
      </c>
      <c r="L214" s="307">
        <v>4.0</v>
      </c>
      <c r="M214" s="290">
        <v>1000.0</v>
      </c>
      <c r="N214" s="304" t="s">
        <v>71</v>
      </c>
      <c r="O214" s="303" t="s">
        <v>91</v>
      </c>
      <c r="P214" s="304" t="s">
        <v>72</v>
      </c>
      <c r="Q214" s="304">
        <v>3107.0</v>
      </c>
      <c r="R214" s="303" t="s">
        <v>41</v>
      </c>
      <c r="S214" s="303" t="s">
        <v>2208</v>
      </c>
      <c r="T214" s="309"/>
      <c r="U214" s="146" t="s">
        <v>1867</v>
      </c>
      <c r="V214" s="303" t="s">
        <v>1867</v>
      </c>
      <c r="W214" s="303" t="s">
        <v>1867</v>
      </c>
      <c r="X214" s="304" t="s">
        <v>2949</v>
      </c>
      <c r="Y214" s="310"/>
      <c r="Z214" s="310"/>
      <c r="AA214" s="310"/>
      <c r="AB214" s="310"/>
      <c r="AC214" s="310"/>
      <c r="AD214" s="310"/>
      <c r="AE214" s="310"/>
      <c r="AF214" s="310"/>
      <c r="AG214" s="310"/>
      <c r="AH214" s="310"/>
      <c r="AI214" s="310"/>
      <c r="AJ214" s="310"/>
      <c r="AK214" s="310"/>
      <c r="AL214" s="310"/>
      <c r="AM214" s="310"/>
      <c r="AN214" s="310"/>
      <c r="AO214" s="310"/>
      <c r="AP214" s="310"/>
      <c r="AQ214" s="310"/>
      <c r="AR214" s="310"/>
      <c r="AS214" s="310"/>
      <c r="AT214" s="310"/>
      <c r="AU214" s="310"/>
      <c r="AV214" s="310"/>
      <c r="AW214" s="3"/>
    </row>
    <row r="215">
      <c r="A215" s="12">
        <v>211.0</v>
      </c>
      <c r="B215" s="303" t="s">
        <v>3538</v>
      </c>
      <c r="C215" s="303" t="s">
        <v>3539</v>
      </c>
      <c r="D215" s="303" t="s">
        <v>3540</v>
      </c>
      <c r="E215" s="303" t="s">
        <v>3541</v>
      </c>
      <c r="F215" s="303" t="s">
        <v>3542</v>
      </c>
      <c r="G215" s="303">
        <v>3.0</v>
      </c>
      <c r="H215" s="304" t="s">
        <v>711</v>
      </c>
      <c r="I215" s="305">
        <v>46164.0</v>
      </c>
      <c r="J215" s="306">
        <v>46167.0</v>
      </c>
      <c r="K215" s="128">
        <v>500.0</v>
      </c>
      <c r="L215" s="307">
        <v>2.0</v>
      </c>
      <c r="M215" s="308">
        <f>K215*2</f>
        <v>1000</v>
      </c>
      <c r="N215" s="304" t="s">
        <v>71</v>
      </c>
      <c r="O215" s="303" t="s">
        <v>91</v>
      </c>
      <c r="P215" s="304" t="s">
        <v>72</v>
      </c>
      <c r="Q215" s="304">
        <v>3051.0</v>
      </c>
      <c r="R215" s="303" t="s">
        <v>41</v>
      </c>
      <c r="S215" s="303" t="s">
        <v>2208</v>
      </c>
      <c r="T215" s="309"/>
      <c r="U215" s="146" t="s">
        <v>1867</v>
      </c>
      <c r="V215" s="303" t="s">
        <v>1867</v>
      </c>
      <c r="W215" s="303" t="s">
        <v>1867</v>
      </c>
      <c r="X215" s="304" t="s">
        <v>2949</v>
      </c>
      <c r="Y215" s="310"/>
      <c r="Z215" s="310"/>
      <c r="AA215" s="310"/>
      <c r="AB215" s="310"/>
      <c r="AC215" s="310"/>
      <c r="AD215" s="310"/>
      <c r="AE215" s="310"/>
      <c r="AF215" s="310"/>
      <c r="AG215" s="310"/>
      <c r="AH215" s="310"/>
      <c r="AI215" s="310"/>
      <c r="AJ215" s="310"/>
      <c r="AK215" s="310"/>
      <c r="AL215" s="310"/>
      <c r="AM215" s="310"/>
      <c r="AN215" s="310"/>
      <c r="AO215" s="310"/>
      <c r="AP215" s="310"/>
      <c r="AQ215" s="310"/>
      <c r="AR215" s="310"/>
      <c r="AS215" s="310"/>
      <c r="AT215" s="310"/>
      <c r="AU215" s="310"/>
      <c r="AV215" s="310"/>
      <c r="AW215" s="3"/>
    </row>
    <row r="216">
      <c r="A216" s="12">
        <v>212.0</v>
      </c>
      <c r="B216" s="303" t="s">
        <v>3543</v>
      </c>
      <c r="C216" s="303" t="s">
        <v>3544</v>
      </c>
      <c r="D216" s="303" t="s">
        <v>3545</v>
      </c>
      <c r="E216" s="303" t="s">
        <v>3546</v>
      </c>
      <c r="F216" s="303" t="s">
        <v>3547</v>
      </c>
      <c r="G216" s="303">
        <v>5.0</v>
      </c>
      <c r="H216" s="304" t="s">
        <v>711</v>
      </c>
      <c r="I216" s="305">
        <v>46155.0</v>
      </c>
      <c r="J216" s="306">
        <v>46167.0</v>
      </c>
      <c r="K216" s="128">
        <v>250.0</v>
      </c>
      <c r="L216" s="307">
        <v>4.0</v>
      </c>
      <c r="M216" s="308">
        <f>K216*4</f>
        <v>1000</v>
      </c>
      <c r="N216" s="304" t="s">
        <v>71</v>
      </c>
      <c r="O216" s="303" t="s">
        <v>91</v>
      </c>
      <c r="P216" s="304" t="s">
        <v>72</v>
      </c>
      <c r="Q216" s="304">
        <v>3060.0</v>
      </c>
      <c r="R216" s="303" t="s">
        <v>73</v>
      </c>
      <c r="S216" s="303" t="s">
        <v>2208</v>
      </c>
      <c r="T216" s="309"/>
      <c r="U216" s="146" t="s">
        <v>1867</v>
      </c>
      <c r="V216" s="303" t="s">
        <v>1867</v>
      </c>
      <c r="W216" s="303" t="s">
        <v>1867</v>
      </c>
      <c r="X216" s="304" t="s">
        <v>2949</v>
      </c>
      <c r="Y216" s="310"/>
      <c r="Z216" s="310"/>
      <c r="AA216" s="310"/>
      <c r="AB216" s="310"/>
      <c r="AC216" s="310"/>
      <c r="AD216" s="310"/>
      <c r="AE216" s="310"/>
      <c r="AF216" s="310"/>
      <c r="AG216" s="310"/>
      <c r="AH216" s="310"/>
      <c r="AI216" s="310"/>
      <c r="AJ216" s="310"/>
      <c r="AK216" s="310"/>
      <c r="AL216" s="310"/>
      <c r="AM216" s="310"/>
      <c r="AN216" s="310"/>
      <c r="AO216" s="310"/>
      <c r="AP216" s="310"/>
      <c r="AQ216" s="310"/>
      <c r="AR216" s="310"/>
      <c r="AS216" s="310"/>
      <c r="AT216" s="310"/>
      <c r="AU216" s="310"/>
      <c r="AV216" s="310"/>
      <c r="AW216" s="3"/>
    </row>
    <row r="217">
      <c r="A217" s="12">
        <v>213.0</v>
      </c>
      <c r="B217" s="303" t="s">
        <v>3548</v>
      </c>
      <c r="C217" s="303" t="s">
        <v>3549</v>
      </c>
      <c r="D217" s="303" t="s">
        <v>3550</v>
      </c>
      <c r="E217" s="303" t="s">
        <v>3551</v>
      </c>
      <c r="F217" s="303" t="s">
        <v>3552</v>
      </c>
      <c r="G217" s="303" t="s">
        <v>26</v>
      </c>
      <c r="H217" s="304" t="s">
        <v>711</v>
      </c>
      <c r="I217" s="305">
        <v>46167.0</v>
      </c>
      <c r="J217" s="306">
        <v>46167.0</v>
      </c>
      <c r="K217" s="132" t="s">
        <v>57</v>
      </c>
      <c r="L217" s="307">
        <v>1.0</v>
      </c>
      <c r="M217" s="290">
        <v>800.0</v>
      </c>
      <c r="N217" s="304" t="s">
        <v>71</v>
      </c>
      <c r="O217" s="303" t="s">
        <v>91</v>
      </c>
      <c r="P217" s="304" t="s">
        <v>72</v>
      </c>
      <c r="Q217" s="304">
        <v>3070.0</v>
      </c>
      <c r="R217" s="303" t="s">
        <v>1979</v>
      </c>
      <c r="S217" s="303" t="s">
        <v>148</v>
      </c>
      <c r="T217" s="309"/>
      <c r="U217" s="146" t="s">
        <v>1867</v>
      </c>
      <c r="V217" s="303" t="s">
        <v>1867</v>
      </c>
      <c r="W217" s="303" t="s">
        <v>1867</v>
      </c>
      <c r="X217" s="304" t="s">
        <v>2949</v>
      </c>
      <c r="Y217" s="310"/>
      <c r="Z217" s="310"/>
      <c r="AA217" s="310"/>
      <c r="AB217" s="310"/>
      <c r="AC217" s="310"/>
      <c r="AD217" s="310"/>
      <c r="AE217" s="310"/>
      <c r="AF217" s="310"/>
      <c r="AG217" s="310"/>
      <c r="AH217" s="310"/>
      <c r="AI217" s="310"/>
      <c r="AJ217" s="310"/>
      <c r="AK217" s="310"/>
      <c r="AL217" s="310"/>
      <c r="AM217" s="310"/>
      <c r="AN217" s="310"/>
      <c r="AO217" s="310"/>
      <c r="AP217" s="310"/>
      <c r="AQ217" s="310"/>
      <c r="AR217" s="310"/>
      <c r="AS217" s="310"/>
      <c r="AT217" s="310"/>
      <c r="AU217" s="310"/>
      <c r="AV217" s="310"/>
      <c r="AW217" s="3"/>
    </row>
    <row r="218">
      <c r="A218" s="12">
        <v>214.0</v>
      </c>
      <c r="B218" s="303" t="s">
        <v>3553</v>
      </c>
      <c r="C218" s="303" t="s">
        <v>3554</v>
      </c>
      <c r="D218" s="303" t="s">
        <v>3550</v>
      </c>
      <c r="E218" s="303" t="s">
        <v>3551</v>
      </c>
      <c r="F218" s="303" t="s">
        <v>3555</v>
      </c>
      <c r="G218" s="303" t="s">
        <v>26</v>
      </c>
      <c r="H218" s="304" t="s">
        <v>711</v>
      </c>
      <c r="I218" s="305">
        <v>46167.0</v>
      </c>
      <c r="J218" s="306">
        <v>46167.0</v>
      </c>
      <c r="K218" s="132" t="s">
        <v>57</v>
      </c>
      <c r="L218" s="307">
        <v>1.0</v>
      </c>
      <c r="M218" s="290">
        <v>800.0</v>
      </c>
      <c r="N218" s="304" t="s">
        <v>71</v>
      </c>
      <c r="O218" s="303" t="s">
        <v>91</v>
      </c>
      <c r="P218" s="304" t="s">
        <v>72</v>
      </c>
      <c r="Q218" s="304">
        <v>3069.0</v>
      </c>
      <c r="R218" s="303" t="s">
        <v>1979</v>
      </c>
      <c r="S218" s="303" t="s">
        <v>148</v>
      </c>
      <c r="T218" s="309"/>
      <c r="U218" s="146" t="s">
        <v>1867</v>
      </c>
      <c r="V218" s="303" t="s">
        <v>1867</v>
      </c>
      <c r="W218" s="303" t="s">
        <v>1867</v>
      </c>
      <c r="X218" s="304" t="s">
        <v>2949</v>
      </c>
      <c r="Y218" s="310"/>
      <c r="Z218" s="310"/>
      <c r="AA218" s="310"/>
      <c r="AB218" s="310"/>
      <c r="AC218" s="310"/>
      <c r="AD218" s="310"/>
      <c r="AE218" s="310"/>
      <c r="AF218" s="310"/>
      <c r="AG218" s="310"/>
      <c r="AH218" s="310"/>
      <c r="AI218" s="310"/>
      <c r="AJ218" s="310"/>
      <c r="AK218" s="310"/>
      <c r="AL218" s="310"/>
      <c r="AM218" s="310"/>
      <c r="AN218" s="310"/>
      <c r="AO218" s="310"/>
      <c r="AP218" s="310"/>
      <c r="AQ218" s="310"/>
      <c r="AR218" s="310"/>
      <c r="AS218" s="310"/>
      <c r="AT218" s="310"/>
      <c r="AU218" s="310"/>
      <c r="AV218" s="310"/>
      <c r="AW218" s="3"/>
    </row>
    <row r="219">
      <c r="A219" s="12">
        <v>215.0</v>
      </c>
      <c r="B219" s="303" t="s">
        <v>3556</v>
      </c>
      <c r="C219" s="303" t="s">
        <v>3557</v>
      </c>
      <c r="D219" s="303" t="s">
        <v>3558</v>
      </c>
      <c r="E219" s="303" t="s">
        <v>3559</v>
      </c>
      <c r="F219" s="364" t="s">
        <v>3560</v>
      </c>
      <c r="G219" s="303" t="s">
        <v>26</v>
      </c>
      <c r="H219" s="304" t="s">
        <v>711</v>
      </c>
      <c r="I219" s="305">
        <v>46167.0</v>
      </c>
      <c r="J219" s="306">
        <v>46167.0</v>
      </c>
      <c r="K219" s="128">
        <v>400.0</v>
      </c>
      <c r="L219" s="307">
        <v>2.0</v>
      </c>
      <c r="M219" s="308">
        <f>K219*2</f>
        <v>800</v>
      </c>
      <c r="N219" s="304" t="s">
        <v>71</v>
      </c>
      <c r="O219" s="303" t="s">
        <v>91</v>
      </c>
      <c r="P219" s="304" t="s">
        <v>72</v>
      </c>
      <c r="Q219" s="304">
        <v>3054.0</v>
      </c>
      <c r="R219" s="303" t="s">
        <v>41</v>
      </c>
      <c r="S219" s="303" t="s">
        <v>148</v>
      </c>
      <c r="T219" s="309"/>
      <c r="U219" s="146" t="s">
        <v>1867</v>
      </c>
      <c r="V219" s="303" t="s">
        <v>1867</v>
      </c>
      <c r="W219" s="303" t="s">
        <v>1867</v>
      </c>
      <c r="X219" s="304" t="s">
        <v>2949</v>
      </c>
      <c r="Y219" s="310"/>
      <c r="Z219" s="310"/>
      <c r="AA219" s="310"/>
      <c r="AB219" s="310"/>
      <c r="AC219" s="310"/>
      <c r="AD219" s="310"/>
      <c r="AE219" s="310"/>
      <c r="AF219" s="310"/>
      <c r="AG219" s="310"/>
      <c r="AH219" s="310"/>
      <c r="AI219" s="310"/>
      <c r="AJ219" s="310"/>
      <c r="AK219" s="310"/>
      <c r="AL219" s="310"/>
      <c r="AM219" s="310"/>
      <c r="AN219" s="310"/>
      <c r="AO219" s="310"/>
      <c r="AP219" s="310"/>
      <c r="AQ219" s="310"/>
      <c r="AR219" s="310"/>
      <c r="AS219" s="310"/>
      <c r="AT219" s="310"/>
      <c r="AU219" s="310"/>
      <c r="AV219" s="310"/>
      <c r="AW219" s="3"/>
    </row>
    <row r="220" ht="16.5" customHeight="1">
      <c r="A220" s="12">
        <v>216.0</v>
      </c>
      <c r="B220" s="416" t="s">
        <v>3561</v>
      </c>
      <c r="C220" s="123" t="s">
        <v>3562</v>
      </c>
      <c r="D220" s="123" t="s">
        <v>3563</v>
      </c>
      <c r="E220" s="181" t="s">
        <v>3564</v>
      </c>
      <c r="F220" s="337" t="s">
        <v>3565</v>
      </c>
      <c r="G220" s="123" t="s">
        <v>26</v>
      </c>
      <c r="H220" s="123" t="s">
        <v>711</v>
      </c>
      <c r="I220" s="177">
        <v>46167.0</v>
      </c>
      <c r="J220" s="177">
        <v>46169.0</v>
      </c>
      <c r="K220" s="179">
        <v>250.0</v>
      </c>
      <c r="L220" s="471">
        <v>4.0</v>
      </c>
      <c r="M220" s="180">
        <f>K220*4</f>
        <v>1000</v>
      </c>
      <c r="N220" s="286" t="s">
        <v>71</v>
      </c>
      <c r="O220" s="120" t="s">
        <v>91</v>
      </c>
      <c r="P220" s="353" t="s">
        <v>72</v>
      </c>
      <c r="Q220" s="123">
        <v>3148.0</v>
      </c>
      <c r="R220" s="353" t="s">
        <v>41</v>
      </c>
      <c r="S220" s="286" t="s">
        <v>148</v>
      </c>
      <c r="T220" s="188"/>
      <c r="U220" s="146" t="s">
        <v>1867</v>
      </c>
      <c r="V220" s="303" t="s">
        <v>1867</v>
      </c>
      <c r="W220" s="303" t="s">
        <v>1867</v>
      </c>
      <c r="X220" s="304" t="s">
        <v>2949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</row>
    <row r="221">
      <c r="A221" s="12">
        <v>217.0</v>
      </c>
      <c r="B221" s="303" t="s">
        <v>3566</v>
      </c>
      <c r="C221" s="303" t="s">
        <v>3567</v>
      </c>
      <c r="D221" s="303" t="s">
        <v>3568</v>
      </c>
      <c r="E221" s="303" t="s">
        <v>3569</v>
      </c>
      <c r="F221" s="364" t="s">
        <v>3570</v>
      </c>
      <c r="G221" s="303" t="s">
        <v>26</v>
      </c>
      <c r="H221" s="304" t="s">
        <v>711</v>
      </c>
      <c r="I221" s="305">
        <v>46167.0</v>
      </c>
      <c r="J221" s="306">
        <v>46168.0</v>
      </c>
      <c r="K221" s="132" t="s">
        <v>57</v>
      </c>
      <c r="L221" s="307">
        <v>1.0</v>
      </c>
      <c r="M221" s="290">
        <v>1000.0</v>
      </c>
      <c r="N221" s="304" t="s">
        <v>71</v>
      </c>
      <c r="O221" s="303" t="s">
        <v>91</v>
      </c>
      <c r="P221" s="304" t="s">
        <v>72</v>
      </c>
      <c r="Q221" s="304">
        <v>3071.0</v>
      </c>
      <c r="R221" s="303" t="s">
        <v>233</v>
      </c>
      <c r="S221" s="303" t="s">
        <v>148</v>
      </c>
      <c r="T221" s="309"/>
      <c r="U221" s="146" t="s">
        <v>1867</v>
      </c>
      <c r="V221" s="303" t="s">
        <v>1867</v>
      </c>
      <c r="W221" s="303" t="s">
        <v>1867</v>
      </c>
      <c r="X221" s="304" t="s">
        <v>2949</v>
      </c>
      <c r="Y221" s="310"/>
      <c r="Z221" s="310"/>
      <c r="AA221" s="310"/>
      <c r="AB221" s="310"/>
      <c r="AC221" s="310"/>
      <c r="AD221" s="310"/>
      <c r="AE221" s="310"/>
      <c r="AF221" s="310"/>
      <c r="AG221" s="310"/>
      <c r="AH221" s="310"/>
      <c r="AI221" s="310"/>
      <c r="AJ221" s="310"/>
      <c r="AK221" s="310"/>
      <c r="AL221" s="310"/>
      <c r="AM221" s="310"/>
      <c r="AN221" s="310"/>
      <c r="AO221" s="310"/>
      <c r="AP221" s="310"/>
      <c r="AQ221" s="310"/>
      <c r="AR221" s="310"/>
      <c r="AS221" s="310"/>
      <c r="AT221" s="310"/>
      <c r="AU221" s="310"/>
      <c r="AV221" s="310"/>
      <c r="AW221" s="31"/>
    </row>
    <row r="222">
      <c r="A222" s="12">
        <v>218.0</v>
      </c>
      <c r="B222" s="212" t="s">
        <v>3571</v>
      </c>
      <c r="C222" s="117">
        <v>3.60924940002E13</v>
      </c>
      <c r="D222" s="97" t="s">
        <v>3572</v>
      </c>
      <c r="E222" s="566">
        <v>1.1916153774E10</v>
      </c>
      <c r="F222" s="326" t="s">
        <v>3573</v>
      </c>
      <c r="G222" s="123" t="s">
        <v>399</v>
      </c>
      <c r="H222" s="146" t="s">
        <v>711</v>
      </c>
      <c r="I222" s="177">
        <v>46168.0</v>
      </c>
      <c r="J222" s="178"/>
      <c r="K222" s="179" t="s">
        <v>57</v>
      </c>
      <c r="L222" s="471">
        <v>1.0</v>
      </c>
      <c r="M222" s="179">
        <v>1000.0</v>
      </c>
      <c r="N222" s="286" t="s">
        <v>58</v>
      </c>
      <c r="O222" s="120" t="s">
        <v>91</v>
      </c>
      <c r="P222" s="353" t="s">
        <v>40</v>
      </c>
      <c r="Q222" s="123"/>
      <c r="R222" s="353" t="s">
        <v>233</v>
      </c>
      <c r="S222" s="286" t="s">
        <v>129</v>
      </c>
      <c r="T222" s="188"/>
      <c r="U222" s="178"/>
      <c r="V222" s="178"/>
      <c r="W222" s="178"/>
      <c r="X222" s="120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</row>
    <row r="223">
      <c r="A223" s="12">
        <v>219.0</v>
      </c>
      <c r="B223" s="303" t="s">
        <v>3574</v>
      </c>
      <c r="C223" s="303" t="s">
        <v>3575</v>
      </c>
      <c r="D223" s="303" t="s">
        <v>3576</v>
      </c>
      <c r="E223" s="303" t="s">
        <v>3577</v>
      </c>
      <c r="F223" s="303" t="s">
        <v>3578</v>
      </c>
      <c r="G223" s="303">
        <v>4.0</v>
      </c>
      <c r="H223" s="304" t="s">
        <v>2816</v>
      </c>
      <c r="I223" s="305">
        <v>46156.0</v>
      </c>
      <c r="J223" s="306">
        <v>46168.0</v>
      </c>
      <c r="K223" s="128">
        <v>157.0</v>
      </c>
      <c r="L223" s="307">
        <v>12.0</v>
      </c>
      <c r="M223" s="308">
        <f>K223*12</f>
        <v>1884</v>
      </c>
      <c r="N223" s="304" t="s">
        <v>71</v>
      </c>
      <c r="O223" s="303" t="s">
        <v>29</v>
      </c>
      <c r="P223" s="304" t="s">
        <v>72</v>
      </c>
      <c r="Q223" s="304">
        <v>3072.0</v>
      </c>
      <c r="R223" s="303" t="s">
        <v>73</v>
      </c>
      <c r="S223" s="303" t="s">
        <v>148</v>
      </c>
      <c r="T223" s="309"/>
      <c r="U223" s="146" t="s">
        <v>1867</v>
      </c>
      <c r="V223" s="303" t="s">
        <v>1867</v>
      </c>
      <c r="W223" s="303" t="s">
        <v>1867</v>
      </c>
      <c r="X223" s="304" t="s">
        <v>2949</v>
      </c>
      <c r="Y223" s="310"/>
      <c r="Z223" s="310"/>
      <c r="AA223" s="310"/>
      <c r="AB223" s="310"/>
      <c r="AC223" s="310"/>
      <c r="AD223" s="310"/>
      <c r="AE223" s="310"/>
      <c r="AF223" s="310"/>
      <c r="AG223" s="310"/>
      <c r="AH223" s="310"/>
      <c r="AI223" s="310"/>
      <c r="AJ223" s="310"/>
      <c r="AK223" s="310"/>
      <c r="AL223" s="310"/>
      <c r="AM223" s="310"/>
      <c r="AN223" s="310"/>
      <c r="AO223" s="310"/>
      <c r="AP223" s="310"/>
      <c r="AQ223" s="310"/>
      <c r="AR223" s="310"/>
      <c r="AS223" s="310"/>
      <c r="AT223" s="310"/>
      <c r="AU223" s="310"/>
      <c r="AV223" s="310"/>
      <c r="AW223" s="3"/>
    </row>
    <row r="224">
      <c r="A224" s="12">
        <v>220.0</v>
      </c>
      <c r="B224" s="123" t="s">
        <v>3579</v>
      </c>
      <c r="C224" s="123" t="s">
        <v>3580</v>
      </c>
      <c r="D224" s="123" t="s">
        <v>3581</v>
      </c>
      <c r="E224" s="181" t="s">
        <v>3582</v>
      </c>
      <c r="F224" s="123" t="s">
        <v>3583</v>
      </c>
      <c r="G224" s="123">
        <v>4.0</v>
      </c>
      <c r="H224" s="123" t="s">
        <v>2816</v>
      </c>
      <c r="I224" s="177">
        <v>46167.0</v>
      </c>
      <c r="J224" s="178"/>
      <c r="K224" s="179">
        <v>157.0</v>
      </c>
      <c r="L224" s="471">
        <v>12.0</v>
      </c>
      <c r="M224" s="179">
        <v>1884.0</v>
      </c>
      <c r="N224" s="286" t="s">
        <v>58</v>
      </c>
      <c r="O224" s="120" t="s">
        <v>29</v>
      </c>
      <c r="P224" s="353" t="s">
        <v>40</v>
      </c>
      <c r="Q224" s="123"/>
      <c r="R224" s="353" t="s">
        <v>73</v>
      </c>
      <c r="S224" s="286" t="s">
        <v>148</v>
      </c>
      <c r="T224" s="188"/>
      <c r="U224" s="178"/>
      <c r="V224" s="178"/>
      <c r="W224" s="178"/>
      <c r="X224" s="178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</row>
    <row r="225">
      <c r="A225" s="12">
        <v>221.0</v>
      </c>
      <c r="B225" s="146" t="s">
        <v>3584</v>
      </c>
      <c r="C225" s="146" t="s">
        <v>3585</v>
      </c>
      <c r="D225" s="146" t="s">
        <v>3581</v>
      </c>
      <c r="E225" s="182" t="s">
        <v>3582</v>
      </c>
      <c r="F225" s="146" t="s">
        <v>3583</v>
      </c>
      <c r="G225" s="146">
        <v>4.0</v>
      </c>
      <c r="H225" s="146" t="s">
        <v>2816</v>
      </c>
      <c r="I225" s="321">
        <v>46167.0</v>
      </c>
      <c r="J225" s="312"/>
      <c r="K225" s="126">
        <v>157.0</v>
      </c>
      <c r="L225" s="497">
        <v>12.0</v>
      </c>
      <c r="M225" s="126">
        <v>1884.0</v>
      </c>
      <c r="N225" s="286" t="s">
        <v>58</v>
      </c>
      <c r="O225" s="304" t="s">
        <v>29</v>
      </c>
      <c r="P225" s="353" t="s">
        <v>40</v>
      </c>
      <c r="Q225" s="146"/>
      <c r="R225" s="353" t="s">
        <v>73</v>
      </c>
      <c r="S225" s="286" t="s">
        <v>148</v>
      </c>
      <c r="T225" s="313"/>
      <c r="U225" s="312"/>
      <c r="V225" s="312"/>
      <c r="W225" s="312"/>
      <c r="X225" s="312"/>
      <c r="Y225" s="314"/>
      <c r="Z225" s="314"/>
      <c r="AA225" s="314"/>
      <c r="AB225" s="314"/>
      <c r="AC225" s="314"/>
      <c r="AD225" s="314"/>
      <c r="AE225" s="314"/>
      <c r="AF225" s="314"/>
      <c r="AG225" s="314"/>
      <c r="AH225" s="314"/>
      <c r="AI225" s="314"/>
      <c r="AJ225" s="314"/>
      <c r="AK225" s="314"/>
      <c r="AL225" s="314"/>
      <c r="AM225" s="314"/>
      <c r="AN225" s="314"/>
      <c r="AO225" s="314"/>
      <c r="AP225" s="314"/>
      <c r="AQ225" s="314"/>
      <c r="AR225" s="314"/>
      <c r="AS225" s="314"/>
      <c r="AT225" s="314"/>
      <c r="AU225" s="314"/>
      <c r="AV225" s="314"/>
      <c r="AW225" s="314"/>
    </row>
    <row r="226">
      <c r="A226" s="12">
        <v>222.0</v>
      </c>
      <c r="B226" s="357" t="s">
        <v>1668</v>
      </c>
      <c r="C226" s="357" t="s">
        <v>1669</v>
      </c>
      <c r="D226" s="146" t="s">
        <v>3586</v>
      </c>
      <c r="E226" s="359">
        <v>1.1953126329E10</v>
      </c>
      <c r="F226" s="560" t="s">
        <v>3587</v>
      </c>
      <c r="G226" s="146" t="s">
        <v>26</v>
      </c>
      <c r="H226" s="146" t="s">
        <v>711</v>
      </c>
      <c r="I226" s="321">
        <v>46167.0</v>
      </c>
      <c r="J226" s="321">
        <v>46169.0</v>
      </c>
      <c r="K226" s="126">
        <v>250.0</v>
      </c>
      <c r="L226" s="497">
        <v>4.0</v>
      </c>
      <c r="M226" s="209">
        <f>K226*4</f>
        <v>1000</v>
      </c>
      <c r="N226" s="286" t="s">
        <v>71</v>
      </c>
      <c r="O226" s="304" t="s">
        <v>91</v>
      </c>
      <c r="P226" s="353" t="s">
        <v>72</v>
      </c>
      <c r="Q226" s="146">
        <v>3087.0</v>
      </c>
      <c r="R226" s="353" t="s">
        <v>233</v>
      </c>
      <c r="S226" s="286" t="s">
        <v>148</v>
      </c>
      <c r="T226" s="313"/>
      <c r="U226" s="146" t="s">
        <v>1867</v>
      </c>
      <c r="V226" s="303" t="s">
        <v>1867</v>
      </c>
      <c r="W226" s="303" t="s">
        <v>1867</v>
      </c>
      <c r="X226" s="304" t="s">
        <v>2949</v>
      </c>
      <c r="Y226" s="314"/>
      <c r="Z226" s="314"/>
      <c r="AA226" s="314"/>
      <c r="AB226" s="314"/>
      <c r="AC226" s="314"/>
      <c r="AD226" s="314"/>
      <c r="AE226" s="314"/>
      <c r="AF226" s="314"/>
      <c r="AG226" s="314"/>
      <c r="AH226" s="314"/>
      <c r="AI226" s="314"/>
      <c r="AJ226" s="314"/>
      <c r="AK226" s="314"/>
      <c r="AL226" s="314"/>
      <c r="AM226" s="314"/>
      <c r="AN226" s="314"/>
      <c r="AO226" s="314"/>
      <c r="AP226" s="314"/>
      <c r="AQ226" s="314"/>
      <c r="AR226" s="314"/>
      <c r="AS226" s="314"/>
      <c r="AT226" s="314"/>
      <c r="AU226" s="314"/>
      <c r="AV226" s="314"/>
      <c r="AW226" s="314"/>
    </row>
    <row r="227">
      <c r="A227" s="12">
        <v>223.0</v>
      </c>
      <c r="B227" s="303" t="s">
        <v>3588</v>
      </c>
      <c r="C227" s="303" t="s">
        <v>3589</v>
      </c>
      <c r="D227" s="303" t="s">
        <v>3586</v>
      </c>
      <c r="E227" s="303" t="s">
        <v>3590</v>
      </c>
      <c r="F227" s="303" t="s">
        <v>3591</v>
      </c>
      <c r="G227" s="303" t="s">
        <v>26</v>
      </c>
      <c r="H227" s="304" t="s">
        <v>711</v>
      </c>
      <c r="I227" s="305">
        <v>46167.0</v>
      </c>
      <c r="J227" s="306">
        <v>46169.0</v>
      </c>
      <c r="K227" s="132" t="s">
        <v>57</v>
      </c>
      <c r="L227" s="307">
        <v>1.0</v>
      </c>
      <c r="M227" s="290">
        <v>800.0</v>
      </c>
      <c r="N227" s="304" t="s">
        <v>71</v>
      </c>
      <c r="O227" s="303" t="s">
        <v>91</v>
      </c>
      <c r="P227" s="304" t="s">
        <v>72</v>
      </c>
      <c r="Q227" s="304">
        <v>3075.0</v>
      </c>
      <c r="R227" s="303" t="s">
        <v>41</v>
      </c>
      <c r="S227" s="303" t="s">
        <v>148</v>
      </c>
      <c r="T227" s="309"/>
      <c r="U227" s="146" t="s">
        <v>1867</v>
      </c>
      <c r="V227" s="303" t="s">
        <v>1867</v>
      </c>
      <c r="W227" s="303" t="s">
        <v>1867</v>
      </c>
      <c r="X227" s="304" t="s">
        <v>2949</v>
      </c>
      <c r="Y227" s="310"/>
      <c r="Z227" s="310"/>
      <c r="AA227" s="310"/>
      <c r="AB227" s="310"/>
      <c r="AC227" s="310"/>
      <c r="AD227" s="310"/>
      <c r="AE227" s="310"/>
      <c r="AF227" s="310"/>
      <c r="AG227" s="310"/>
      <c r="AH227" s="310"/>
      <c r="AI227" s="310"/>
      <c r="AJ227" s="310"/>
      <c r="AK227" s="310"/>
      <c r="AL227" s="310"/>
      <c r="AM227" s="310"/>
      <c r="AN227" s="310"/>
      <c r="AO227" s="310"/>
      <c r="AP227" s="310"/>
      <c r="AQ227" s="310"/>
      <c r="AR227" s="310"/>
      <c r="AS227" s="310"/>
      <c r="AT227" s="310"/>
      <c r="AU227" s="310"/>
      <c r="AV227" s="310"/>
      <c r="AW227" s="314"/>
    </row>
    <row r="228">
      <c r="A228" s="12">
        <v>224.0</v>
      </c>
      <c r="B228" s="146" t="s">
        <v>3592</v>
      </c>
      <c r="C228" s="146" t="s">
        <v>3593</v>
      </c>
      <c r="D228" s="146" t="s">
        <v>3594</v>
      </c>
      <c r="E228" s="182" t="s">
        <v>3590</v>
      </c>
      <c r="F228" s="106" t="s">
        <v>3591</v>
      </c>
      <c r="G228" s="146" t="s">
        <v>26</v>
      </c>
      <c r="H228" s="146" t="s">
        <v>711</v>
      </c>
      <c r="I228" s="321">
        <v>46167.0</v>
      </c>
      <c r="J228" s="321">
        <v>46169.0</v>
      </c>
      <c r="K228" s="126" t="s">
        <v>57</v>
      </c>
      <c r="L228" s="497">
        <v>1.0</v>
      </c>
      <c r="M228" s="126">
        <v>800.0</v>
      </c>
      <c r="N228" s="286" t="s">
        <v>28</v>
      </c>
      <c r="O228" s="304" t="s">
        <v>91</v>
      </c>
      <c r="P228" s="353" t="s">
        <v>40</v>
      </c>
      <c r="Q228" s="146"/>
      <c r="R228" s="353" t="s">
        <v>41</v>
      </c>
      <c r="S228" s="286" t="s">
        <v>148</v>
      </c>
      <c r="T228" s="323" t="s">
        <v>3595</v>
      </c>
      <c r="U228" s="312"/>
      <c r="V228" s="312"/>
      <c r="W228" s="312"/>
      <c r="X228" s="312"/>
      <c r="Y228" s="314"/>
      <c r="Z228" s="314"/>
      <c r="AA228" s="314"/>
      <c r="AB228" s="314"/>
      <c r="AC228" s="314"/>
      <c r="AD228" s="314"/>
      <c r="AE228" s="314"/>
      <c r="AF228" s="314"/>
      <c r="AG228" s="314"/>
      <c r="AH228" s="314"/>
      <c r="AI228" s="314"/>
      <c r="AJ228" s="314"/>
      <c r="AK228" s="314"/>
      <c r="AL228" s="314"/>
      <c r="AM228" s="314"/>
      <c r="AN228" s="314"/>
      <c r="AO228" s="314"/>
      <c r="AP228" s="314"/>
      <c r="AQ228" s="314"/>
      <c r="AR228" s="314"/>
      <c r="AS228" s="314"/>
      <c r="AT228" s="314"/>
      <c r="AU228" s="314"/>
      <c r="AV228" s="314"/>
      <c r="AW228" s="314"/>
    </row>
    <row r="229">
      <c r="A229" s="12">
        <v>225.0</v>
      </c>
      <c r="B229" s="212" t="s">
        <v>3596</v>
      </c>
      <c r="C229" s="212" t="s">
        <v>3597</v>
      </c>
      <c r="D229" s="146" t="s">
        <v>3598</v>
      </c>
      <c r="E229" s="567">
        <v>1.1960575456E10</v>
      </c>
      <c r="F229" s="146" t="s">
        <v>3599</v>
      </c>
      <c r="G229" s="146" t="s">
        <v>399</v>
      </c>
      <c r="H229" s="146" t="s">
        <v>711</v>
      </c>
      <c r="I229" s="321">
        <v>46168.0</v>
      </c>
      <c r="J229" s="321">
        <v>46170.0</v>
      </c>
      <c r="K229" s="126" t="s">
        <v>1268</v>
      </c>
      <c r="L229" s="497">
        <v>1.0</v>
      </c>
      <c r="M229" s="126">
        <v>1000.0</v>
      </c>
      <c r="N229" s="286" t="s">
        <v>71</v>
      </c>
      <c r="O229" s="304" t="s">
        <v>91</v>
      </c>
      <c r="P229" s="353" t="s">
        <v>72</v>
      </c>
      <c r="Q229" s="295">
        <v>3113.0</v>
      </c>
      <c r="R229" s="353" t="s">
        <v>233</v>
      </c>
      <c r="S229" s="286" t="s">
        <v>129</v>
      </c>
      <c r="T229" s="313"/>
      <c r="U229" s="146" t="s">
        <v>1867</v>
      </c>
      <c r="V229" s="303" t="s">
        <v>1867</v>
      </c>
      <c r="W229" s="303" t="s">
        <v>1867</v>
      </c>
      <c r="X229" s="304" t="s">
        <v>2949</v>
      </c>
      <c r="Y229" s="314"/>
      <c r="Z229" s="314"/>
      <c r="AA229" s="314"/>
      <c r="AB229" s="314"/>
      <c r="AC229" s="314"/>
      <c r="AD229" s="314"/>
      <c r="AE229" s="314"/>
      <c r="AF229" s="314"/>
      <c r="AG229" s="314"/>
      <c r="AH229" s="314"/>
      <c r="AI229" s="314"/>
      <c r="AJ229" s="314"/>
      <c r="AK229" s="314"/>
      <c r="AL229" s="314"/>
      <c r="AM229" s="314"/>
      <c r="AN229" s="314"/>
      <c r="AO229" s="314"/>
      <c r="AP229" s="314"/>
      <c r="AQ229" s="314"/>
      <c r="AR229" s="314"/>
      <c r="AS229" s="314"/>
      <c r="AT229" s="314"/>
      <c r="AU229" s="314"/>
      <c r="AV229" s="314"/>
      <c r="AW229" s="314"/>
    </row>
    <row r="230">
      <c r="A230" s="12">
        <v>226.0</v>
      </c>
      <c r="B230" s="303" t="s">
        <v>3600</v>
      </c>
      <c r="C230" s="303" t="s">
        <v>3601</v>
      </c>
      <c r="D230" s="303" t="s">
        <v>3602</v>
      </c>
      <c r="E230" s="303" t="s">
        <v>3603</v>
      </c>
      <c r="F230" s="303" t="s">
        <v>3604</v>
      </c>
      <c r="G230" s="303">
        <v>7.0</v>
      </c>
      <c r="H230" s="304" t="s">
        <v>711</v>
      </c>
      <c r="I230" s="305">
        <v>46167.0</v>
      </c>
      <c r="J230" s="306">
        <v>46168.0</v>
      </c>
      <c r="K230" s="128">
        <v>250.0</v>
      </c>
      <c r="L230" s="307">
        <v>4.0</v>
      </c>
      <c r="M230" s="308">
        <f>K230*4</f>
        <v>1000</v>
      </c>
      <c r="N230" s="304" t="s">
        <v>71</v>
      </c>
      <c r="O230" s="303" t="s">
        <v>91</v>
      </c>
      <c r="P230" s="304" t="s">
        <v>72</v>
      </c>
      <c r="Q230" s="304">
        <v>3076.0</v>
      </c>
      <c r="R230" s="303" t="s">
        <v>73</v>
      </c>
      <c r="S230" s="303" t="s">
        <v>2208</v>
      </c>
      <c r="T230" s="309"/>
      <c r="U230" s="146" t="s">
        <v>1867</v>
      </c>
      <c r="V230" s="303" t="s">
        <v>1867</v>
      </c>
      <c r="W230" s="303" t="s">
        <v>1867</v>
      </c>
      <c r="X230" s="304" t="s">
        <v>2949</v>
      </c>
      <c r="Y230" s="310"/>
      <c r="Z230" s="310"/>
      <c r="AA230" s="310"/>
      <c r="AB230" s="310"/>
      <c r="AC230" s="310"/>
      <c r="AD230" s="310"/>
      <c r="AE230" s="310"/>
      <c r="AF230" s="310"/>
      <c r="AG230" s="310"/>
      <c r="AH230" s="310"/>
      <c r="AI230" s="310"/>
      <c r="AJ230" s="310"/>
      <c r="AK230" s="310"/>
      <c r="AL230" s="310"/>
      <c r="AM230" s="310"/>
      <c r="AN230" s="310"/>
      <c r="AO230" s="310"/>
      <c r="AP230" s="310"/>
      <c r="AQ230" s="310"/>
      <c r="AR230" s="310"/>
      <c r="AS230" s="310"/>
      <c r="AT230" s="310"/>
      <c r="AU230" s="310"/>
      <c r="AV230" s="310"/>
      <c r="AW230" s="314"/>
    </row>
    <row r="231">
      <c r="A231" s="12">
        <v>227.0</v>
      </c>
      <c r="B231" s="123" t="s">
        <v>3605</v>
      </c>
      <c r="C231" s="123" t="s">
        <v>3606</v>
      </c>
      <c r="D231" s="146" t="s">
        <v>3607</v>
      </c>
      <c r="E231" s="181" t="s">
        <v>3608</v>
      </c>
      <c r="F231" s="123" t="s">
        <v>3609</v>
      </c>
      <c r="G231" s="146">
        <v>8.0</v>
      </c>
      <c r="H231" s="146" t="s">
        <v>711</v>
      </c>
      <c r="I231" s="321">
        <v>46167.0</v>
      </c>
      <c r="J231" s="312"/>
      <c r="K231" s="126">
        <v>250.0</v>
      </c>
      <c r="L231" s="497">
        <v>4.0</v>
      </c>
      <c r="M231" s="126">
        <v>1000.0</v>
      </c>
      <c r="N231" s="286" t="s">
        <v>58</v>
      </c>
      <c r="O231" s="304" t="s">
        <v>91</v>
      </c>
      <c r="P231" s="353" t="s">
        <v>40</v>
      </c>
      <c r="Q231" s="146"/>
      <c r="R231" s="353" t="s">
        <v>41</v>
      </c>
      <c r="S231" s="286" t="s">
        <v>2208</v>
      </c>
      <c r="T231" s="313"/>
      <c r="U231" s="312"/>
      <c r="V231" s="312"/>
      <c r="W231" s="312"/>
      <c r="X231" s="312"/>
      <c r="Y231" s="314"/>
      <c r="Z231" s="314"/>
      <c r="AA231" s="314"/>
      <c r="AB231" s="314"/>
      <c r="AC231" s="314"/>
      <c r="AD231" s="314"/>
      <c r="AE231" s="314"/>
      <c r="AF231" s="314"/>
      <c r="AG231" s="314"/>
      <c r="AH231" s="314"/>
      <c r="AI231" s="314"/>
      <c r="AJ231" s="314"/>
      <c r="AK231" s="314"/>
      <c r="AL231" s="314"/>
      <c r="AM231" s="314"/>
      <c r="AN231" s="314"/>
      <c r="AO231" s="314"/>
      <c r="AP231" s="314"/>
      <c r="AQ231" s="314"/>
      <c r="AR231" s="314"/>
      <c r="AS231" s="314"/>
      <c r="AT231" s="314"/>
      <c r="AU231" s="314"/>
      <c r="AV231" s="314"/>
      <c r="AW231" s="314"/>
    </row>
    <row r="232">
      <c r="A232" s="12">
        <v>228.0</v>
      </c>
      <c r="B232" s="303" t="s">
        <v>3610</v>
      </c>
      <c r="C232" s="303" t="s">
        <v>3611</v>
      </c>
      <c r="D232" s="303" t="s">
        <v>681</v>
      </c>
      <c r="E232" s="303" t="s">
        <v>3612</v>
      </c>
      <c r="F232" s="303" t="s">
        <v>3613</v>
      </c>
      <c r="G232" s="303">
        <v>42.0</v>
      </c>
      <c r="H232" s="304" t="s">
        <v>711</v>
      </c>
      <c r="I232" s="305">
        <v>46167.0</v>
      </c>
      <c r="J232" s="306">
        <v>46169.0</v>
      </c>
      <c r="K232" s="132" t="s">
        <v>211</v>
      </c>
      <c r="L232" s="307">
        <v>1.0</v>
      </c>
      <c r="M232" s="290">
        <v>1200.0</v>
      </c>
      <c r="N232" s="304" t="s">
        <v>71</v>
      </c>
      <c r="O232" s="303" t="s">
        <v>91</v>
      </c>
      <c r="P232" s="304" t="s">
        <v>72</v>
      </c>
      <c r="Q232" s="304">
        <v>3086.0</v>
      </c>
      <c r="R232" s="303" t="s">
        <v>41</v>
      </c>
      <c r="S232" s="303" t="s">
        <v>2208</v>
      </c>
      <c r="T232" s="309"/>
      <c r="U232" s="146" t="s">
        <v>1867</v>
      </c>
      <c r="V232" s="303" t="s">
        <v>1867</v>
      </c>
      <c r="W232" s="303" t="s">
        <v>1867</v>
      </c>
      <c r="X232" s="304" t="s">
        <v>2949</v>
      </c>
      <c r="Y232" s="310"/>
      <c r="Z232" s="310"/>
      <c r="AA232" s="310"/>
      <c r="AB232" s="310"/>
      <c r="AC232" s="310"/>
      <c r="AD232" s="310"/>
      <c r="AE232" s="310"/>
      <c r="AF232" s="310"/>
      <c r="AG232" s="310"/>
      <c r="AH232" s="310"/>
      <c r="AI232" s="310"/>
      <c r="AJ232" s="310"/>
      <c r="AK232" s="310"/>
      <c r="AL232" s="310"/>
      <c r="AM232" s="310"/>
      <c r="AN232" s="310"/>
      <c r="AO232" s="310"/>
      <c r="AP232" s="310"/>
      <c r="AQ232" s="310"/>
      <c r="AR232" s="310"/>
      <c r="AS232" s="310"/>
      <c r="AT232" s="310"/>
      <c r="AU232" s="310"/>
      <c r="AV232" s="310"/>
      <c r="AW232" s="314"/>
    </row>
    <row r="233">
      <c r="A233" s="12">
        <v>229.0</v>
      </c>
      <c r="B233" s="303" t="s">
        <v>3614</v>
      </c>
      <c r="C233" s="303" t="s">
        <v>3615</v>
      </c>
      <c r="D233" s="303" t="s">
        <v>3616</v>
      </c>
      <c r="E233" s="303">
        <v>1.1985142264E10</v>
      </c>
      <c r="F233" s="364" t="s">
        <v>3617</v>
      </c>
      <c r="G233" s="303">
        <v>2.0</v>
      </c>
      <c r="H233" s="304" t="s">
        <v>254</v>
      </c>
      <c r="I233" s="305">
        <v>46167.0</v>
      </c>
      <c r="J233" s="306">
        <v>46167.0</v>
      </c>
      <c r="K233" s="132" t="s">
        <v>57</v>
      </c>
      <c r="L233" s="307">
        <v>1.0</v>
      </c>
      <c r="M233" s="290">
        <v>760.0</v>
      </c>
      <c r="N233" s="304" t="s">
        <v>71</v>
      </c>
      <c r="O233" s="303" t="s">
        <v>29</v>
      </c>
      <c r="P233" s="304" t="s">
        <v>72</v>
      </c>
      <c r="Q233" s="304">
        <v>3045.0</v>
      </c>
      <c r="R233" s="303" t="s">
        <v>233</v>
      </c>
      <c r="S233" s="303" t="s">
        <v>110</v>
      </c>
      <c r="T233" s="309"/>
      <c r="U233" s="146" t="s">
        <v>1867</v>
      </c>
      <c r="V233" s="303" t="s">
        <v>1867</v>
      </c>
      <c r="W233" s="303" t="s">
        <v>1867</v>
      </c>
      <c r="X233" s="304" t="s">
        <v>2949</v>
      </c>
      <c r="Y233" s="310"/>
      <c r="Z233" s="310"/>
      <c r="AA233" s="310"/>
      <c r="AB233" s="310"/>
      <c r="AC233" s="310"/>
      <c r="AD233" s="310"/>
      <c r="AE233" s="310"/>
      <c r="AF233" s="310"/>
      <c r="AG233" s="310"/>
      <c r="AH233" s="310"/>
      <c r="AI233" s="310"/>
      <c r="AJ233" s="310"/>
      <c r="AK233" s="310"/>
      <c r="AL233" s="310"/>
      <c r="AM233" s="310"/>
      <c r="AN233" s="310"/>
      <c r="AO233" s="310"/>
      <c r="AP233" s="310"/>
      <c r="AQ233" s="310"/>
      <c r="AR233" s="310"/>
      <c r="AS233" s="310"/>
      <c r="AT233" s="310"/>
      <c r="AU233" s="310"/>
      <c r="AV233" s="310"/>
      <c r="AW233" s="3"/>
    </row>
    <row r="234">
      <c r="A234" s="12">
        <v>230.0</v>
      </c>
      <c r="B234" s="303" t="s">
        <v>3618</v>
      </c>
      <c r="C234" s="303" t="s">
        <v>3619</v>
      </c>
      <c r="D234" s="303" t="s">
        <v>3620</v>
      </c>
      <c r="E234" s="303" t="s">
        <v>3621</v>
      </c>
      <c r="F234" s="303" t="s">
        <v>3622</v>
      </c>
      <c r="G234" s="303">
        <v>1.0</v>
      </c>
      <c r="H234" s="304" t="s">
        <v>2816</v>
      </c>
      <c r="I234" s="305">
        <v>46168.0</v>
      </c>
      <c r="J234" s="306">
        <v>46168.0</v>
      </c>
      <c r="K234" s="128">
        <v>139.0</v>
      </c>
      <c r="L234" s="307">
        <v>12.0</v>
      </c>
      <c r="M234" s="308">
        <f t="shared" ref="M234:M235" si="27">K234*12</f>
        <v>1668</v>
      </c>
      <c r="N234" s="304" t="s">
        <v>71</v>
      </c>
      <c r="O234" s="303" t="s">
        <v>29</v>
      </c>
      <c r="P234" s="304" t="s">
        <v>72</v>
      </c>
      <c r="Q234" s="304">
        <v>3063.0</v>
      </c>
      <c r="R234" s="303" t="s">
        <v>73</v>
      </c>
      <c r="S234" s="303" t="s">
        <v>110</v>
      </c>
      <c r="T234" s="309"/>
      <c r="U234" s="146" t="s">
        <v>1867</v>
      </c>
      <c r="V234" s="303" t="s">
        <v>1867</v>
      </c>
      <c r="W234" s="303" t="s">
        <v>1867</v>
      </c>
      <c r="X234" s="304" t="s">
        <v>2949</v>
      </c>
      <c r="Y234" s="310"/>
      <c r="Z234" s="310"/>
      <c r="AA234" s="310"/>
      <c r="AB234" s="310"/>
      <c r="AC234" s="310"/>
      <c r="AD234" s="310"/>
      <c r="AE234" s="310"/>
      <c r="AF234" s="310"/>
      <c r="AG234" s="310"/>
      <c r="AH234" s="310"/>
      <c r="AI234" s="310"/>
      <c r="AJ234" s="310"/>
      <c r="AK234" s="310"/>
      <c r="AL234" s="310"/>
      <c r="AM234" s="310"/>
      <c r="AN234" s="310"/>
      <c r="AO234" s="310"/>
      <c r="AP234" s="310"/>
      <c r="AQ234" s="310"/>
      <c r="AR234" s="310"/>
      <c r="AS234" s="310"/>
      <c r="AT234" s="310"/>
      <c r="AU234" s="310"/>
      <c r="AV234" s="310"/>
      <c r="AW234" s="3"/>
    </row>
    <row r="235">
      <c r="A235" s="12">
        <v>231.0</v>
      </c>
      <c r="B235" s="303" t="s">
        <v>3623</v>
      </c>
      <c r="C235" s="303" t="s">
        <v>3624</v>
      </c>
      <c r="D235" s="303" t="s">
        <v>3625</v>
      </c>
      <c r="E235" s="303" t="s">
        <v>3626</v>
      </c>
      <c r="F235" s="364" t="s">
        <v>3627</v>
      </c>
      <c r="G235" s="303">
        <v>3.0</v>
      </c>
      <c r="H235" s="304" t="s">
        <v>2816</v>
      </c>
      <c r="I235" s="305">
        <v>46168.0</v>
      </c>
      <c r="J235" s="306">
        <v>46168.0</v>
      </c>
      <c r="K235" s="128">
        <v>145.0</v>
      </c>
      <c r="L235" s="307">
        <v>12.0</v>
      </c>
      <c r="M235" s="308">
        <f t="shared" si="27"/>
        <v>1740</v>
      </c>
      <c r="N235" s="304" t="s">
        <v>71</v>
      </c>
      <c r="O235" s="303" t="s">
        <v>29</v>
      </c>
      <c r="P235" s="304" t="s">
        <v>72</v>
      </c>
      <c r="Q235" s="304">
        <v>3066.0</v>
      </c>
      <c r="R235" s="303" t="s">
        <v>233</v>
      </c>
      <c r="S235" s="303" t="s">
        <v>110</v>
      </c>
      <c r="T235" s="309"/>
      <c r="U235" s="146" t="s">
        <v>1867</v>
      </c>
      <c r="V235" s="303" t="s">
        <v>1867</v>
      </c>
      <c r="W235" s="303" t="s">
        <v>1867</v>
      </c>
      <c r="X235" s="304" t="s">
        <v>2949</v>
      </c>
      <c r="Y235" s="310"/>
      <c r="Z235" s="310"/>
      <c r="AA235" s="310"/>
      <c r="AB235" s="310"/>
      <c r="AC235" s="310"/>
      <c r="AD235" s="310"/>
      <c r="AE235" s="310"/>
      <c r="AF235" s="310"/>
      <c r="AG235" s="310"/>
      <c r="AH235" s="310"/>
      <c r="AI235" s="310"/>
      <c r="AJ235" s="310"/>
      <c r="AK235" s="310"/>
      <c r="AL235" s="310"/>
      <c r="AM235" s="310"/>
      <c r="AN235" s="310"/>
      <c r="AO235" s="310"/>
      <c r="AP235" s="310"/>
      <c r="AQ235" s="310"/>
      <c r="AR235" s="310"/>
      <c r="AS235" s="310"/>
      <c r="AT235" s="310"/>
      <c r="AU235" s="310"/>
      <c r="AV235" s="310"/>
      <c r="AW235" s="3"/>
    </row>
    <row r="236">
      <c r="A236" s="12">
        <v>232.0</v>
      </c>
      <c r="B236" s="106" t="s">
        <v>3628</v>
      </c>
      <c r="C236" s="120" t="s">
        <v>3629</v>
      </c>
      <c r="D236" s="106" t="s">
        <v>3630</v>
      </c>
      <c r="E236" s="166">
        <v>1.1925103476E10</v>
      </c>
      <c r="F236" s="207" t="s">
        <v>3631</v>
      </c>
      <c r="G236" s="120">
        <v>1.0</v>
      </c>
      <c r="H236" s="146" t="s">
        <v>711</v>
      </c>
      <c r="I236" s="317">
        <v>46168.0</v>
      </c>
      <c r="J236" s="108"/>
      <c r="K236" s="125" t="s">
        <v>1268</v>
      </c>
      <c r="L236" s="546">
        <v>1.0</v>
      </c>
      <c r="M236" s="125">
        <v>700.0</v>
      </c>
      <c r="N236" s="120" t="s">
        <v>58</v>
      </c>
      <c r="O236" s="120" t="s">
        <v>29</v>
      </c>
      <c r="P236" s="120" t="s">
        <v>40</v>
      </c>
      <c r="Q236" s="106"/>
      <c r="R236" s="120" t="s">
        <v>233</v>
      </c>
      <c r="S236" s="120" t="s">
        <v>129</v>
      </c>
      <c r="T236" s="133"/>
      <c r="U236" s="178"/>
      <c r="V236" s="178"/>
      <c r="W236" s="178"/>
      <c r="X236" s="178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</row>
    <row r="237">
      <c r="A237" s="12">
        <v>233.0</v>
      </c>
      <c r="B237" s="106" t="s">
        <v>3632</v>
      </c>
      <c r="C237" s="106" t="s">
        <v>3633</v>
      </c>
      <c r="D237" s="106" t="s">
        <v>3630</v>
      </c>
      <c r="E237" s="166">
        <v>1.1925103476E10</v>
      </c>
      <c r="F237" s="207" t="s">
        <v>3634</v>
      </c>
      <c r="G237" s="120">
        <v>7.0</v>
      </c>
      <c r="H237" s="146" t="s">
        <v>711</v>
      </c>
      <c r="I237" s="317">
        <v>46168.0</v>
      </c>
      <c r="J237" s="108"/>
      <c r="K237" s="125" t="s">
        <v>1268</v>
      </c>
      <c r="L237" s="546">
        <v>1.0</v>
      </c>
      <c r="M237" s="125">
        <v>1000.0</v>
      </c>
      <c r="N237" s="120" t="s">
        <v>58</v>
      </c>
      <c r="O237" s="120" t="s">
        <v>29</v>
      </c>
      <c r="P237" s="120" t="s">
        <v>40</v>
      </c>
      <c r="Q237" s="106"/>
      <c r="R237" s="120" t="s">
        <v>233</v>
      </c>
      <c r="S237" s="120" t="s">
        <v>129</v>
      </c>
      <c r="T237" s="133"/>
      <c r="U237" s="178"/>
      <c r="V237" s="178"/>
      <c r="W237" s="178"/>
      <c r="X237" s="178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</row>
    <row r="238">
      <c r="A238" s="12">
        <v>234.0</v>
      </c>
      <c r="B238" s="568" t="s">
        <v>3635</v>
      </c>
      <c r="C238" s="146" t="s">
        <v>3636</v>
      </c>
      <c r="D238" s="569" t="s">
        <v>1350</v>
      </c>
      <c r="E238" s="146" t="s">
        <v>3637</v>
      </c>
      <c r="F238" s="560" t="s">
        <v>3638</v>
      </c>
      <c r="G238" s="569">
        <v>3.0</v>
      </c>
      <c r="H238" s="146" t="s">
        <v>711</v>
      </c>
      <c r="I238" s="570">
        <v>46169.0</v>
      </c>
      <c r="J238" s="571"/>
      <c r="K238" s="572">
        <v>175.0</v>
      </c>
      <c r="L238" s="573">
        <v>4.0</v>
      </c>
      <c r="M238" s="572">
        <v>700.0</v>
      </c>
      <c r="N238" s="569" t="s">
        <v>58</v>
      </c>
      <c r="O238" s="569" t="s">
        <v>91</v>
      </c>
      <c r="P238" s="569" t="s">
        <v>40</v>
      </c>
      <c r="Q238" s="568"/>
      <c r="R238" s="569" t="s">
        <v>73</v>
      </c>
      <c r="S238" s="569" t="s">
        <v>2208</v>
      </c>
      <c r="T238" s="574"/>
      <c r="U238" s="312"/>
      <c r="V238" s="312"/>
      <c r="W238" s="312"/>
      <c r="X238" s="312"/>
      <c r="Y238" s="314"/>
      <c r="Z238" s="314"/>
      <c r="AA238" s="314"/>
      <c r="AB238" s="314"/>
      <c r="AC238" s="314"/>
      <c r="AD238" s="314"/>
      <c r="AE238" s="314"/>
      <c r="AF238" s="314"/>
      <c r="AG238" s="314"/>
      <c r="AH238" s="314"/>
      <c r="AI238" s="314"/>
      <c r="AJ238" s="314"/>
      <c r="AK238" s="314"/>
      <c r="AL238" s="314"/>
      <c r="AM238" s="314"/>
      <c r="AN238" s="314"/>
      <c r="AO238" s="314"/>
      <c r="AP238" s="314"/>
      <c r="AQ238" s="314"/>
      <c r="AR238" s="314"/>
      <c r="AS238" s="314"/>
      <c r="AT238" s="314"/>
      <c r="AU238" s="314"/>
      <c r="AV238" s="314"/>
      <c r="AW238" s="314"/>
    </row>
    <row r="239">
      <c r="A239" s="12">
        <v>235.0</v>
      </c>
      <c r="B239" s="568" t="s">
        <v>3639</v>
      </c>
      <c r="C239" s="575" t="s">
        <v>3640</v>
      </c>
      <c r="D239" s="576" t="s">
        <v>3641</v>
      </c>
      <c r="E239" s="577" t="s">
        <v>3642</v>
      </c>
      <c r="F239" s="578" t="s">
        <v>3643</v>
      </c>
      <c r="G239" s="569">
        <v>5.0</v>
      </c>
      <c r="H239" s="569" t="s">
        <v>3644</v>
      </c>
      <c r="I239" s="570">
        <v>46169.0</v>
      </c>
      <c r="J239" s="571"/>
      <c r="K239" s="572">
        <v>263.0</v>
      </c>
      <c r="L239" s="573">
        <v>12.0</v>
      </c>
      <c r="M239" s="579">
        <f t="shared" ref="M239:M240" si="28">K239*12</f>
        <v>3156</v>
      </c>
      <c r="N239" s="569" t="s">
        <v>58</v>
      </c>
      <c r="O239" s="569" t="s">
        <v>29</v>
      </c>
      <c r="P239" s="569" t="s">
        <v>40</v>
      </c>
      <c r="Q239" s="568"/>
      <c r="R239" s="569" t="s">
        <v>3645</v>
      </c>
      <c r="S239" s="569" t="s">
        <v>129</v>
      </c>
      <c r="T239" s="574"/>
      <c r="U239" s="312"/>
      <c r="V239" s="312"/>
      <c r="W239" s="312"/>
      <c r="X239" s="312"/>
      <c r="Y239" s="314"/>
      <c r="Z239" s="314"/>
      <c r="AA239" s="314"/>
      <c r="AB239" s="314"/>
      <c r="AC239" s="314"/>
      <c r="AD239" s="314"/>
      <c r="AE239" s="314"/>
      <c r="AF239" s="314"/>
      <c r="AG239" s="314"/>
      <c r="AH239" s="314"/>
      <c r="AI239" s="314"/>
      <c r="AJ239" s="314"/>
      <c r="AK239" s="314"/>
      <c r="AL239" s="314"/>
      <c r="AM239" s="314"/>
      <c r="AN239" s="314"/>
      <c r="AO239" s="314"/>
      <c r="AP239" s="314"/>
      <c r="AQ239" s="314"/>
      <c r="AR239" s="314"/>
      <c r="AS239" s="314"/>
      <c r="AT239" s="314"/>
      <c r="AU239" s="314"/>
      <c r="AV239" s="314"/>
      <c r="AW239" s="314"/>
    </row>
    <row r="240">
      <c r="A240" s="12">
        <v>236.0</v>
      </c>
      <c r="B240" s="303" t="s">
        <v>3646</v>
      </c>
      <c r="C240" s="303" t="s">
        <v>3647</v>
      </c>
      <c r="D240" s="303" t="s">
        <v>3581</v>
      </c>
      <c r="E240" s="303" t="s">
        <v>3648</v>
      </c>
      <c r="F240" s="303" t="s">
        <v>3649</v>
      </c>
      <c r="G240" s="303">
        <v>1.0</v>
      </c>
      <c r="H240" s="304" t="s">
        <v>2816</v>
      </c>
      <c r="I240" s="305">
        <v>46169.0</v>
      </c>
      <c r="J240" s="306">
        <v>46169.0</v>
      </c>
      <c r="K240" s="128">
        <v>145.0</v>
      </c>
      <c r="L240" s="548">
        <v>12.0</v>
      </c>
      <c r="M240" s="308">
        <f t="shared" si="28"/>
        <v>1740</v>
      </c>
      <c r="N240" s="304" t="s">
        <v>71</v>
      </c>
      <c r="O240" s="303" t="s">
        <v>29</v>
      </c>
      <c r="P240" s="304" t="s">
        <v>72</v>
      </c>
      <c r="Q240" s="304">
        <v>3083.0</v>
      </c>
      <c r="R240" s="303" t="s">
        <v>41</v>
      </c>
      <c r="S240" s="303" t="s">
        <v>148</v>
      </c>
      <c r="T240" s="309"/>
      <c r="U240" s="146" t="s">
        <v>1867</v>
      </c>
      <c r="V240" s="303" t="s">
        <v>1867</v>
      </c>
      <c r="W240" s="303" t="s">
        <v>1867</v>
      </c>
      <c r="X240" s="304" t="s">
        <v>2949</v>
      </c>
      <c r="Y240" s="310"/>
      <c r="Z240" s="310"/>
      <c r="AA240" s="310"/>
      <c r="AB240" s="310"/>
      <c r="AC240" s="310"/>
      <c r="AD240" s="310"/>
      <c r="AE240" s="310"/>
      <c r="AF240" s="310"/>
      <c r="AG240" s="310"/>
      <c r="AH240" s="310"/>
      <c r="AI240" s="310"/>
      <c r="AJ240" s="310"/>
      <c r="AK240" s="310"/>
      <c r="AL240" s="310"/>
      <c r="AM240" s="310"/>
      <c r="AN240" s="310"/>
      <c r="AO240" s="310"/>
      <c r="AP240" s="310"/>
      <c r="AQ240" s="310"/>
      <c r="AR240" s="310"/>
      <c r="AS240" s="310"/>
      <c r="AT240" s="310"/>
      <c r="AU240" s="310"/>
      <c r="AV240" s="310"/>
      <c r="AW240" s="54"/>
    </row>
    <row r="241">
      <c r="A241" s="12">
        <v>237.0</v>
      </c>
      <c r="B241" s="303" t="s">
        <v>3650</v>
      </c>
      <c r="C241" s="303" t="s">
        <v>3651</v>
      </c>
      <c r="D241" s="303" t="s">
        <v>3652</v>
      </c>
      <c r="E241" s="303" t="s">
        <v>3653</v>
      </c>
      <c r="F241" s="303" t="s">
        <v>3654</v>
      </c>
      <c r="G241" s="303">
        <v>10.0</v>
      </c>
      <c r="H241" s="304" t="s">
        <v>711</v>
      </c>
      <c r="I241" s="305">
        <v>46169.0</v>
      </c>
      <c r="J241" s="306">
        <v>46169.0</v>
      </c>
      <c r="K241" s="128">
        <v>241.67</v>
      </c>
      <c r="L241" s="548">
        <v>3.0</v>
      </c>
      <c r="M241" s="308">
        <f t="shared" ref="M241:M243" si="29">K241*3</f>
        <v>725.01</v>
      </c>
      <c r="N241" s="304" t="s">
        <v>71</v>
      </c>
      <c r="O241" s="303" t="s">
        <v>91</v>
      </c>
      <c r="P241" s="304" t="s">
        <v>72</v>
      </c>
      <c r="Q241" s="304">
        <v>3090.0</v>
      </c>
      <c r="R241" s="303" t="s">
        <v>233</v>
      </c>
      <c r="S241" s="303" t="s">
        <v>2208</v>
      </c>
      <c r="T241" s="309"/>
      <c r="U241" s="146" t="s">
        <v>1867</v>
      </c>
      <c r="V241" s="303" t="s">
        <v>1867</v>
      </c>
      <c r="W241" s="303" t="s">
        <v>1867</v>
      </c>
      <c r="X241" s="304" t="s">
        <v>2949</v>
      </c>
      <c r="Y241" s="310"/>
      <c r="Z241" s="310"/>
      <c r="AA241" s="310"/>
      <c r="AB241" s="310"/>
      <c r="AC241" s="310"/>
      <c r="AD241" s="310"/>
      <c r="AE241" s="310"/>
      <c r="AF241" s="310"/>
      <c r="AG241" s="310"/>
      <c r="AH241" s="310"/>
      <c r="AI241" s="310"/>
      <c r="AJ241" s="310"/>
      <c r="AK241" s="310"/>
      <c r="AL241" s="310"/>
      <c r="AM241" s="310"/>
      <c r="AN241" s="310"/>
      <c r="AO241" s="310"/>
      <c r="AP241" s="310"/>
      <c r="AQ241" s="310"/>
      <c r="AR241" s="310"/>
      <c r="AS241" s="310"/>
      <c r="AT241" s="310"/>
      <c r="AU241" s="310"/>
      <c r="AV241" s="310"/>
      <c r="AW241" s="54"/>
    </row>
    <row r="242">
      <c r="A242" s="12">
        <v>238.0</v>
      </c>
      <c r="B242" s="303" t="s">
        <v>3655</v>
      </c>
      <c r="C242" s="303" t="s">
        <v>3656</v>
      </c>
      <c r="D242" s="303" t="s">
        <v>3657</v>
      </c>
      <c r="E242" s="303" t="s">
        <v>3658</v>
      </c>
      <c r="F242" s="303" t="s">
        <v>3659</v>
      </c>
      <c r="G242" s="303">
        <v>3.0</v>
      </c>
      <c r="H242" s="304" t="s">
        <v>711</v>
      </c>
      <c r="I242" s="305">
        <v>46169.0</v>
      </c>
      <c r="J242" s="306">
        <v>46169.0</v>
      </c>
      <c r="K242" s="128">
        <v>200.0</v>
      </c>
      <c r="L242" s="548">
        <v>3.0</v>
      </c>
      <c r="M242" s="308">
        <f t="shared" si="29"/>
        <v>600</v>
      </c>
      <c r="N242" s="304" t="s">
        <v>71</v>
      </c>
      <c r="O242" s="303" t="s">
        <v>91</v>
      </c>
      <c r="P242" s="304" t="s">
        <v>72</v>
      </c>
      <c r="Q242" s="304">
        <v>3088.0</v>
      </c>
      <c r="R242" s="303" t="s">
        <v>233</v>
      </c>
      <c r="S242" s="303" t="s">
        <v>2208</v>
      </c>
      <c r="T242" s="309"/>
      <c r="U242" s="146" t="s">
        <v>1867</v>
      </c>
      <c r="V242" s="303" t="s">
        <v>1867</v>
      </c>
      <c r="W242" s="303" t="s">
        <v>1867</v>
      </c>
      <c r="X242" s="304" t="s">
        <v>2949</v>
      </c>
      <c r="Y242" s="310"/>
      <c r="Z242" s="310"/>
      <c r="AA242" s="310"/>
      <c r="AB242" s="310"/>
      <c r="AC242" s="310"/>
      <c r="AD242" s="310"/>
      <c r="AE242" s="310"/>
      <c r="AF242" s="310"/>
      <c r="AG242" s="310"/>
      <c r="AH242" s="310"/>
      <c r="AI242" s="310"/>
      <c r="AJ242" s="310"/>
      <c r="AK242" s="310"/>
      <c r="AL242" s="310"/>
      <c r="AM242" s="310"/>
      <c r="AN242" s="310"/>
      <c r="AO242" s="310"/>
      <c r="AP242" s="310"/>
      <c r="AQ242" s="310"/>
      <c r="AR242" s="310"/>
      <c r="AS242" s="310"/>
      <c r="AT242" s="310"/>
      <c r="AU242" s="310"/>
      <c r="AV242" s="310"/>
      <c r="AW242" s="314"/>
    </row>
    <row r="243">
      <c r="A243" s="12">
        <v>239.0</v>
      </c>
      <c r="B243" s="303" t="s">
        <v>3660</v>
      </c>
      <c r="C243" s="303" t="s">
        <v>3661</v>
      </c>
      <c r="D243" s="303" t="s">
        <v>3652</v>
      </c>
      <c r="E243" s="303" t="s">
        <v>3662</v>
      </c>
      <c r="F243" s="303" t="s">
        <v>3663</v>
      </c>
      <c r="G243" s="303">
        <v>11.0</v>
      </c>
      <c r="H243" s="304" t="s">
        <v>711</v>
      </c>
      <c r="I243" s="305">
        <v>46169.0</v>
      </c>
      <c r="J243" s="306">
        <v>46169.0</v>
      </c>
      <c r="K243" s="128">
        <v>241.67</v>
      </c>
      <c r="L243" s="307">
        <v>3.0</v>
      </c>
      <c r="M243" s="308">
        <f t="shared" si="29"/>
        <v>725.01</v>
      </c>
      <c r="N243" s="304" t="s">
        <v>71</v>
      </c>
      <c r="O243" s="303" t="s">
        <v>91</v>
      </c>
      <c r="P243" s="304" t="s">
        <v>72</v>
      </c>
      <c r="Q243" s="304">
        <v>3085.0</v>
      </c>
      <c r="R243" s="303" t="s">
        <v>233</v>
      </c>
      <c r="S243" s="303" t="s">
        <v>2208</v>
      </c>
      <c r="T243" s="309"/>
      <c r="U243" s="146" t="s">
        <v>1867</v>
      </c>
      <c r="V243" s="303" t="s">
        <v>1867</v>
      </c>
      <c r="W243" s="303" t="s">
        <v>1867</v>
      </c>
      <c r="X243" s="304" t="s">
        <v>2949</v>
      </c>
      <c r="Y243" s="310"/>
      <c r="Z243" s="310"/>
      <c r="AA243" s="310"/>
      <c r="AB243" s="310"/>
      <c r="AC243" s="310"/>
      <c r="AD243" s="310"/>
      <c r="AE243" s="310"/>
      <c r="AF243" s="310"/>
      <c r="AG243" s="310"/>
      <c r="AH243" s="310"/>
      <c r="AI243" s="310"/>
      <c r="AJ243" s="310"/>
      <c r="AK243" s="310"/>
      <c r="AL243" s="310"/>
      <c r="AM243" s="310"/>
      <c r="AN243" s="310"/>
      <c r="AO243" s="310"/>
      <c r="AP243" s="310"/>
      <c r="AQ243" s="310"/>
      <c r="AR243" s="310"/>
      <c r="AS243" s="310"/>
      <c r="AT243" s="310"/>
      <c r="AU243" s="310"/>
      <c r="AV243" s="310"/>
      <c r="AW243" s="314"/>
    </row>
    <row r="244">
      <c r="A244" s="12">
        <v>240.0</v>
      </c>
      <c r="B244" s="303" t="s">
        <v>3664</v>
      </c>
      <c r="C244" s="303" t="s">
        <v>3665</v>
      </c>
      <c r="D244" s="303" t="s">
        <v>3657</v>
      </c>
      <c r="E244" s="303" t="s">
        <v>3666</v>
      </c>
      <c r="F244" s="303" t="s">
        <v>3659</v>
      </c>
      <c r="G244" s="303">
        <v>9.0</v>
      </c>
      <c r="H244" s="304" t="s">
        <v>711</v>
      </c>
      <c r="I244" s="305">
        <v>46169.0</v>
      </c>
      <c r="J244" s="306">
        <v>46169.0</v>
      </c>
      <c r="K244" s="132" t="s">
        <v>3667</v>
      </c>
      <c r="L244" s="307">
        <v>3.0</v>
      </c>
      <c r="M244" s="290">
        <v>725.0</v>
      </c>
      <c r="N244" s="304" t="s">
        <v>71</v>
      </c>
      <c r="O244" s="303" t="s">
        <v>91</v>
      </c>
      <c r="P244" s="304" t="s">
        <v>72</v>
      </c>
      <c r="Q244" s="304">
        <v>3084.0</v>
      </c>
      <c r="R244" s="303" t="s">
        <v>233</v>
      </c>
      <c r="S244" s="303" t="s">
        <v>2208</v>
      </c>
      <c r="T244" s="309"/>
      <c r="U244" s="146" t="s">
        <v>1867</v>
      </c>
      <c r="V244" s="303" t="s">
        <v>1867</v>
      </c>
      <c r="W244" s="303" t="s">
        <v>1867</v>
      </c>
      <c r="X244" s="304" t="s">
        <v>2949</v>
      </c>
      <c r="Y244" s="310"/>
      <c r="Z244" s="310"/>
      <c r="AA244" s="310"/>
      <c r="AB244" s="310"/>
      <c r="AC244" s="310"/>
      <c r="AD244" s="310"/>
      <c r="AE244" s="310"/>
      <c r="AF244" s="310"/>
      <c r="AG244" s="310"/>
      <c r="AH244" s="310"/>
      <c r="AI244" s="310"/>
      <c r="AJ244" s="310"/>
      <c r="AK244" s="310"/>
      <c r="AL244" s="310"/>
      <c r="AM244" s="310"/>
      <c r="AN244" s="310"/>
      <c r="AO244" s="310"/>
      <c r="AP244" s="310"/>
      <c r="AQ244" s="310"/>
      <c r="AR244" s="310"/>
      <c r="AS244" s="310"/>
      <c r="AT244" s="310"/>
      <c r="AU244" s="310"/>
      <c r="AV244" s="310"/>
      <c r="AW244" s="54"/>
    </row>
    <row r="245">
      <c r="A245" s="12">
        <v>241.0</v>
      </c>
      <c r="B245" s="303" t="s">
        <v>3668</v>
      </c>
      <c r="C245" s="303" t="s">
        <v>3669</v>
      </c>
      <c r="D245" s="303" t="s">
        <v>3670</v>
      </c>
      <c r="E245" s="303" t="s">
        <v>3671</v>
      </c>
      <c r="F245" s="303" t="s">
        <v>3672</v>
      </c>
      <c r="G245" s="303">
        <v>1.0</v>
      </c>
      <c r="H245" s="304" t="s">
        <v>711</v>
      </c>
      <c r="I245" s="305">
        <v>46168.0</v>
      </c>
      <c r="J245" s="306">
        <v>46168.0</v>
      </c>
      <c r="K245" s="128">
        <v>200.0</v>
      </c>
      <c r="L245" s="307">
        <v>4.0</v>
      </c>
      <c r="M245" s="308">
        <f>K245*4</f>
        <v>800</v>
      </c>
      <c r="N245" s="304" t="s">
        <v>71</v>
      </c>
      <c r="O245" s="303" t="s">
        <v>91</v>
      </c>
      <c r="P245" s="304" t="s">
        <v>72</v>
      </c>
      <c r="Q245" s="304">
        <v>3067.0</v>
      </c>
      <c r="R245" s="303" t="s">
        <v>233</v>
      </c>
      <c r="S245" s="303" t="s">
        <v>110</v>
      </c>
      <c r="T245" s="309"/>
      <c r="U245" s="146" t="s">
        <v>1867</v>
      </c>
      <c r="V245" s="303" t="s">
        <v>1867</v>
      </c>
      <c r="W245" s="303" t="s">
        <v>1867</v>
      </c>
      <c r="X245" s="304" t="s">
        <v>2949</v>
      </c>
      <c r="Y245" s="310"/>
      <c r="Z245" s="310"/>
      <c r="AA245" s="310"/>
      <c r="AB245" s="310"/>
      <c r="AC245" s="310"/>
      <c r="AD245" s="310"/>
      <c r="AE245" s="310"/>
      <c r="AF245" s="310"/>
      <c r="AG245" s="310"/>
      <c r="AH245" s="310"/>
      <c r="AI245" s="310"/>
      <c r="AJ245" s="310"/>
      <c r="AK245" s="310"/>
      <c r="AL245" s="310"/>
      <c r="AM245" s="310"/>
      <c r="AN245" s="310"/>
      <c r="AO245" s="310"/>
      <c r="AP245" s="310"/>
      <c r="AQ245" s="310"/>
      <c r="AR245" s="310"/>
      <c r="AS245" s="310"/>
      <c r="AT245" s="310"/>
      <c r="AU245" s="310"/>
      <c r="AV245" s="310"/>
      <c r="AW245" s="3"/>
    </row>
    <row r="246">
      <c r="A246" s="12">
        <v>242.0</v>
      </c>
      <c r="B246" s="303" t="s">
        <v>3673</v>
      </c>
      <c r="C246" s="303" t="s">
        <v>3674</v>
      </c>
      <c r="D246" s="303" t="s">
        <v>3675</v>
      </c>
      <c r="E246" s="303">
        <v>8.8999746003E10</v>
      </c>
      <c r="F246" s="303" t="s">
        <v>3676</v>
      </c>
      <c r="G246" s="303" t="s">
        <v>26</v>
      </c>
      <c r="H246" s="304" t="s">
        <v>711</v>
      </c>
      <c r="I246" s="305">
        <v>46168.0</v>
      </c>
      <c r="J246" s="306">
        <v>46169.0</v>
      </c>
      <c r="K246" s="132" t="s">
        <v>57</v>
      </c>
      <c r="L246" s="307">
        <v>1.0</v>
      </c>
      <c r="M246" s="290">
        <v>1000.0</v>
      </c>
      <c r="N246" s="304" t="s">
        <v>71</v>
      </c>
      <c r="O246" s="303" t="s">
        <v>91</v>
      </c>
      <c r="P246" s="304" t="s">
        <v>72</v>
      </c>
      <c r="Q246" s="304">
        <v>3098.0</v>
      </c>
      <c r="R246" s="303" t="s">
        <v>233</v>
      </c>
      <c r="S246" s="303" t="s">
        <v>110</v>
      </c>
      <c r="T246" s="309"/>
      <c r="U246" s="146" t="s">
        <v>1867</v>
      </c>
      <c r="V246" s="303" t="s">
        <v>1867</v>
      </c>
      <c r="W246" s="303" t="s">
        <v>1867</v>
      </c>
      <c r="X246" s="304" t="s">
        <v>2949</v>
      </c>
      <c r="Y246" s="310"/>
      <c r="Z246" s="310"/>
      <c r="AA246" s="310"/>
      <c r="AB246" s="310"/>
      <c r="AC246" s="310"/>
      <c r="AD246" s="310"/>
      <c r="AE246" s="310"/>
      <c r="AF246" s="310"/>
      <c r="AG246" s="310"/>
      <c r="AH246" s="310"/>
      <c r="AI246" s="310"/>
      <c r="AJ246" s="310"/>
      <c r="AK246" s="310"/>
      <c r="AL246" s="310"/>
      <c r="AM246" s="310"/>
      <c r="AN246" s="310"/>
      <c r="AO246" s="310"/>
      <c r="AP246" s="310"/>
      <c r="AQ246" s="310"/>
      <c r="AR246" s="310"/>
      <c r="AS246" s="310"/>
      <c r="AT246" s="310"/>
      <c r="AU246" s="310"/>
      <c r="AV246" s="310"/>
      <c r="AW246" s="314"/>
    </row>
    <row r="247">
      <c r="A247" s="12">
        <v>243.0</v>
      </c>
      <c r="B247" s="303" t="s">
        <v>3677</v>
      </c>
      <c r="C247" s="303" t="s">
        <v>3678</v>
      </c>
      <c r="D247" s="303" t="s">
        <v>3679</v>
      </c>
      <c r="E247" s="303">
        <v>1.1968525697E10</v>
      </c>
      <c r="F247" s="303" t="s">
        <v>3680</v>
      </c>
      <c r="G247" s="303">
        <v>90.0</v>
      </c>
      <c r="H247" s="304" t="s">
        <v>711</v>
      </c>
      <c r="I247" s="305">
        <v>46169.0</v>
      </c>
      <c r="J247" s="306">
        <v>46169.0</v>
      </c>
      <c r="K247" s="128">
        <v>250.0</v>
      </c>
      <c r="L247" s="307">
        <v>4.0</v>
      </c>
      <c r="M247" s="308">
        <f>K247*4</f>
        <v>1000</v>
      </c>
      <c r="N247" s="304" t="s">
        <v>71</v>
      </c>
      <c r="O247" s="303" t="s">
        <v>91</v>
      </c>
      <c r="P247" s="304" t="s">
        <v>72</v>
      </c>
      <c r="Q247" s="304">
        <v>3099.0</v>
      </c>
      <c r="R247" s="303" t="s">
        <v>233</v>
      </c>
      <c r="S247" s="303" t="s">
        <v>110</v>
      </c>
      <c r="T247" s="309"/>
      <c r="U247" s="146" t="s">
        <v>1867</v>
      </c>
      <c r="V247" s="303" t="s">
        <v>1867</v>
      </c>
      <c r="W247" s="303" t="s">
        <v>1867</v>
      </c>
      <c r="X247" s="304" t="s">
        <v>2949</v>
      </c>
      <c r="Y247" s="310"/>
      <c r="Z247" s="310"/>
      <c r="AA247" s="310"/>
      <c r="AB247" s="310"/>
      <c r="AC247" s="310"/>
      <c r="AD247" s="310"/>
      <c r="AE247" s="310"/>
      <c r="AF247" s="310"/>
      <c r="AG247" s="310"/>
      <c r="AH247" s="310"/>
      <c r="AI247" s="310"/>
      <c r="AJ247" s="310"/>
      <c r="AK247" s="310"/>
      <c r="AL247" s="310"/>
      <c r="AM247" s="310"/>
      <c r="AN247" s="310"/>
      <c r="AO247" s="310"/>
      <c r="AP247" s="310"/>
      <c r="AQ247" s="310"/>
      <c r="AR247" s="310"/>
      <c r="AS247" s="310"/>
      <c r="AT247" s="310"/>
      <c r="AU247" s="310"/>
      <c r="AV247" s="310"/>
      <c r="AW247" s="314"/>
    </row>
    <row r="248">
      <c r="A248" s="12">
        <v>244.0</v>
      </c>
      <c r="B248" s="303" t="s">
        <v>3681</v>
      </c>
      <c r="C248" s="303" t="s">
        <v>3682</v>
      </c>
      <c r="D248" s="303" t="s">
        <v>3679</v>
      </c>
      <c r="E248" s="303">
        <v>1.1968525697E10</v>
      </c>
      <c r="F248" s="303" t="s">
        <v>3680</v>
      </c>
      <c r="G248" s="303">
        <v>90.0</v>
      </c>
      <c r="H248" s="304" t="s">
        <v>123</v>
      </c>
      <c r="I248" s="305">
        <v>46169.0</v>
      </c>
      <c r="J248" s="306">
        <v>46169.0</v>
      </c>
      <c r="K248" s="128">
        <v>291.09</v>
      </c>
      <c r="L248" s="307">
        <v>12.0</v>
      </c>
      <c r="M248" s="308">
        <f>K248*12</f>
        <v>3493.08</v>
      </c>
      <c r="N248" s="304" t="s">
        <v>71</v>
      </c>
      <c r="O248" s="303" t="s">
        <v>29</v>
      </c>
      <c r="P248" s="304" t="s">
        <v>72</v>
      </c>
      <c r="Q248" s="304">
        <v>3100.0</v>
      </c>
      <c r="R248" s="303" t="s">
        <v>233</v>
      </c>
      <c r="S248" s="303" t="s">
        <v>110</v>
      </c>
      <c r="T248" s="309"/>
      <c r="U248" s="146" t="s">
        <v>1867</v>
      </c>
      <c r="V248" s="303" t="s">
        <v>1867</v>
      </c>
      <c r="W248" s="303" t="s">
        <v>1867</v>
      </c>
      <c r="X248" s="304" t="s">
        <v>2949</v>
      </c>
      <c r="Y248" s="310"/>
      <c r="Z248" s="310"/>
      <c r="AA248" s="310"/>
      <c r="AB248" s="310"/>
      <c r="AC248" s="310"/>
      <c r="AD248" s="310"/>
      <c r="AE248" s="310"/>
      <c r="AF248" s="310"/>
      <c r="AG248" s="310"/>
      <c r="AH248" s="310"/>
      <c r="AI248" s="310"/>
      <c r="AJ248" s="310"/>
      <c r="AK248" s="310"/>
      <c r="AL248" s="310"/>
      <c r="AM248" s="310"/>
      <c r="AN248" s="310"/>
      <c r="AO248" s="310"/>
      <c r="AP248" s="310"/>
      <c r="AQ248" s="310"/>
      <c r="AR248" s="310"/>
      <c r="AS248" s="310"/>
      <c r="AT248" s="310"/>
      <c r="AU248" s="310"/>
      <c r="AV248" s="310"/>
      <c r="AW248" s="314"/>
    </row>
    <row r="249">
      <c r="A249" s="12">
        <v>245.0</v>
      </c>
      <c r="B249" s="303" t="s">
        <v>3683</v>
      </c>
      <c r="C249" s="303" t="s">
        <v>3684</v>
      </c>
      <c r="D249" s="303" t="s">
        <v>3685</v>
      </c>
      <c r="E249" s="303">
        <v>1.1991976824E10</v>
      </c>
      <c r="F249" s="303" t="s">
        <v>3686</v>
      </c>
      <c r="G249" s="303">
        <v>7.0</v>
      </c>
      <c r="H249" s="304" t="s">
        <v>711</v>
      </c>
      <c r="I249" s="305">
        <v>46169.0</v>
      </c>
      <c r="J249" s="306">
        <v>46169.0</v>
      </c>
      <c r="K249" s="132" t="s">
        <v>211</v>
      </c>
      <c r="L249" s="307">
        <v>1.0</v>
      </c>
      <c r="M249" s="290">
        <v>650.0</v>
      </c>
      <c r="N249" s="304" t="s">
        <v>71</v>
      </c>
      <c r="O249" s="303" t="s">
        <v>91</v>
      </c>
      <c r="P249" s="304" t="s">
        <v>72</v>
      </c>
      <c r="Q249" s="304">
        <v>3101.0</v>
      </c>
      <c r="R249" s="303" t="s">
        <v>233</v>
      </c>
      <c r="S249" s="303" t="s">
        <v>110</v>
      </c>
      <c r="T249" s="309"/>
      <c r="U249" s="146" t="s">
        <v>1867</v>
      </c>
      <c r="V249" s="303" t="s">
        <v>1867</v>
      </c>
      <c r="W249" s="303" t="s">
        <v>1867</v>
      </c>
      <c r="X249" s="304" t="s">
        <v>2949</v>
      </c>
      <c r="Y249" s="310"/>
      <c r="Z249" s="310"/>
      <c r="AA249" s="310"/>
      <c r="AB249" s="310"/>
      <c r="AC249" s="310"/>
      <c r="AD249" s="310"/>
      <c r="AE249" s="310"/>
      <c r="AF249" s="310"/>
      <c r="AG249" s="310"/>
      <c r="AH249" s="310"/>
      <c r="AI249" s="310"/>
      <c r="AJ249" s="310"/>
      <c r="AK249" s="310"/>
      <c r="AL249" s="310"/>
      <c r="AM249" s="310"/>
      <c r="AN249" s="310"/>
      <c r="AO249" s="310"/>
      <c r="AP249" s="310"/>
      <c r="AQ249" s="310"/>
      <c r="AR249" s="310"/>
      <c r="AS249" s="310"/>
      <c r="AT249" s="310"/>
      <c r="AU249" s="310"/>
      <c r="AV249" s="310"/>
      <c r="AW249" s="3"/>
    </row>
    <row r="250">
      <c r="A250" s="12">
        <v>246.0</v>
      </c>
      <c r="B250" s="303" t="s">
        <v>3687</v>
      </c>
      <c r="C250" s="303" t="s">
        <v>3688</v>
      </c>
      <c r="D250" s="303" t="s">
        <v>3685</v>
      </c>
      <c r="E250" s="303">
        <v>1.1991976824E10</v>
      </c>
      <c r="F250" s="303" t="s">
        <v>3686</v>
      </c>
      <c r="G250" s="303">
        <v>4.0</v>
      </c>
      <c r="H250" s="304" t="s">
        <v>711</v>
      </c>
      <c r="I250" s="305">
        <v>46169.0</v>
      </c>
      <c r="J250" s="306">
        <v>46169.0</v>
      </c>
      <c r="K250" s="132" t="s">
        <v>211</v>
      </c>
      <c r="L250" s="307">
        <v>1.0</v>
      </c>
      <c r="M250" s="290">
        <v>650.0</v>
      </c>
      <c r="N250" s="304" t="s">
        <v>71</v>
      </c>
      <c r="O250" s="303" t="s">
        <v>91</v>
      </c>
      <c r="P250" s="304" t="s">
        <v>72</v>
      </c>
      <c r="Q250" s="304">
        <v>3104.0</v>
      </c>
      <c r="R250" s="303" t="s">
        <v>233</v>
      </c>
      <c r="S250" s="303" t="s">
        <v>110</v>
      </c>
      <c r="T250" s="309"/>
      <c r="U250" s="146" t="s">
        <v>1867</v>
      </c>
      <c r="V250" s="303" t="s">
        <v>1867</v>
      </c>
      <c r="W250" s="303" t="s">
        <v>1867</v>
      </c>
      <c r="X250" s="304" t="s">
        <v>2949</v>
      </c>
      <c r="Y250" s="310"/>
      <c r="Z250" s="310"/>
      <c r="AA250" s="310"/>
      <c r="AB250" s="310"/>
      <c r="AC250" s="310"/>
      <c r="AD250" s="310"/>
      <c r="AE250" s="310"/>
      <c r="AF250" s="310"/>
      <c r="AG250" s="310"/>
      <c r="AH250" s="310"/>
      <c r="AI250" s="310"/>
      <c r="AJ250" s="310"/>
      <c r="AK250" s="310"/>
      <c r="AL250" s="310"/>
      <c r="AM250" s="310"/>
      <c r="AN250" s="310"/>
      <c r="AO250" s="310"/>
      <c r="AP250" s="310"/>
      <c r="AQ250" s="310"/>
      <c r="AR250" s="310"/>
      <c r="AS250" s="310"/>
      <c r="AT250" s="310"/>
      <c r="AU250" s="310"/>
      <c r="AV250" s="310"/>
      <c r="AW250" s="3"/>
    </row>
    <row r="251">
      <c r="A251" s="12">
        <v>247.0</v>
      </c>
      <c r="B251" s="303" t="s">
        <v>3689</v>
      </c>
      <c r="C251" s="303" t="s">
        <v>3690</v>
      </c>
      <c r="D251" s="303" t="s">
        <v>3685</v>
      </c>
      <c r="E251" s="303">
        <v>1.1991976824E10</v>
      </c>
      <c r="F251" s="303" t="s">
        <v>3686</v>
      </c>
      <c r="G251" s="303">
        <v>4.0</v>
      </c>
      <c r="H251" s="304" t="s">
        <v>711</v>
      </c>
      <c r="I251" s="305">
        <v>46169.0</v>
      </c>
      <c r="J251" s="306">
        <v>46169.0</v>
      </c>
      <c r="K251" s="132" t="s">
        <v>211</v>
      </c>
      <c r="L251" s="307">
        <v>1.0</v>
      </c>
      <c r="M251" s="290">
        <v>650.0</v>
      </c>
      <c r="N251" s="304" t="s">
        <v>71</v>
      </c>
      <c r="O251" s="303" t="s">
        <v>91</v>
      </c>
      <c r="P251" s="304" t="s">
        <v>72</v>
      </c>
      <c r="Q251" s="304">
        <v>3105.0</v>
      </c>
      <c r="R251" s="303" t="s">
        <v>233</v>
      </c>
      <c r="S251" s="303" t="s">
        <v>110</v>
      </c>
      <c r="T251" s="309"/>
      <c r="U251" s="146" t="s">
        <v>1867</v>
      </c>
      <c r="V251" s="303" t="s">
        <v>1867</v>
      </c>
      <c r="W251" s="303" t="s">
        <v>1867</v>
      </c>
      <c r="X251" s="304" t="s">
        <v>2949</v>
      </c>
      <c r="Y251" s="310"/>
      <c r="Z251" s="310"/>
      <c r="AA251" s="310"/>
      <c r="AB251" s="310"/>
      <c r="AC251" s="310"/>
      <c r="AD251" s="310"/>
      <c r="AE251" s="310"/>
      <c r="AF251" s="310"/>
      <c r="AG251" s="310"/>
      <c r="AH251" s="310"/>
      <c r="AI251" s="310"/>
      <c r="AJ251" s="310"/>
      <c r="AK251" s="310"/>
      <c r="AL251" s="310"/>
      <c r="AM251" s="310"/>
      <c r="AN251" s="310"/>
      <c r="AO251" s="310"/>
      <c r="AP251" s="310"/>
      <c r="AQ251" s="310"/>
      <c r="AR251" s="310"/>
      <c r="AS251" s="310"/>
      <c r="AT251" s="310"/>
      <c r="AU251" s="310"/>
      <c r="AV251" s="310"/>
      <c r="AW251" s="3"/>
    </row>
    <row r="252">
      <c r="A252" s="12">
        <v>248.0</v>
      </c>
      <c r="B252" s="303" t="s">
        <v>3691</v>
      </c>
      <c r="C252" s="303" t="s">
        <v>3692</v>
      </c>
      <c r="D252" s="303" t="s">
        <v>3693</v>
      </c>
      <c r="E252" s="303" t="s">
        <v>3694</v>
      </c>
      <c r="F252" s="364" t="s">
        <v>3695</v>
      </c>
      <c r="G252" s="303">
        <v>1.0</v>
      </c>
      <c r="H252" s="304" t="s">
        <v>3696</v>
      </c>
      <c r="I252" s="305">
        <v>46169.0</v>
      </c>
      <c r="J252" s="306">
        <v>46169.0</v>
      </c>
      <c r="K252" s="132" t="s">
        <v>211</v>
      </c>
      <c r="L252" s="307">
        <v>1.0</v>
      </c>
      <c r="M252" s="290">
        <v>2800.0</v>
      </c>
      <c r="N252" s="304" t="s">
        <v>71</v>
      </c>
      <c r="O252" s="303" t="s">
        <v>91</v>
      </c>
      <c r="P252" s="304" t="s">
        <v>72</v>
      </c>
      <c r="Q252" s="304">
        <v>3092.0</v>
      </c>
      <c r="R252" s="303" t="s">
        <v>73</v>
      </c>
      <c r="S252" s="303" t="s">
        <v>2208</v>
      </c>
      <c r="T252" s="309"/>
      <c r="U252" s="146" t="s">
        <v>1867</v>
      </c>
      <c r="V252" s="303" t="s">
        <v>1867</v>
      </c>
      <c r="W252" s="303" t="s">
        <v>1867</v>
      </c>
      <c r="X252" s="304" t="s">
        <v>2949</v>
      </c>
      <c r="Y252" s="310"/>
      <c r="Z252" s="310"/>
      <c r="AA252" s="310"/>
      <c r="AB252" s="310"/>
      <c r="AC252" s="310"/>
      <c r="AD252" s="310"/>
      <c r="AE252" s="310"/>
      <c r="AF252" s="310"/>
      <c r="AG252" s="310"/>
      <c r="AH252" s="310"/>
      <c r="AI252" s="310"/>
      <c r="AJ252" s="310"/>
      <c r="AK252" s="310"/>
      <c r="AL252" s="310"/>
      <c r="AM252" s="310"/>
      <c r="AN252" s="310"/>
      <c r="AO252" s="310"/>
      <c r="AP252" s="310"/>
      <c r="AQ252" s="310"/>
      <c r="AR252" s="310"/>
      <c r="AS252" s="310"/>
      <c r="AT252" s="310"/>
      <c r="AU252" s="310"/>
      <c r="AV252" s="310"/>
      <c r="AW252" s="3"/>
    </row>
    <row r="253">
      <c r="A253" s="12">
        <v>249.0</v>
      </c>
      <c r="B253" s="303" t="s">
        <v>3697</v>
      </c>
      <c r="C253" s="303" t="s">
        <v>3698</v>
      </c>
      <c r="D253" s="303" t="s">
        <v>3350</v>
      </c>
      <c r="E253" s="303" t="s">
        <v>3699</v>
      </c>
      <c r="F253" s="303" t="s">
        <v>3700</v>
      </c>
      <c r="G253" s="303">
        <v>1.0</v>
      </c>
      <c r="H253" s="304" t="s">
        <v>711</v>
      </c>
      <c r="I253" s="305">
        <v>46163.0</v>
      </c>
      <c r="J253" s="306">
        <v>46168.0</v>
      </c>
      <c r="K253" s="128">
        <v>250.0</v>
      </c>
      <c r="L253" s="307">
        <v>2.0</v>
      </c>
      <c r="M253" s="308">
        <f>K253*2</f>
        <v>500</v>
      </c>
      <c r="N253" s="304" t="s">
        <v>71</v>
      </c>
      <c r="O253" s="303" t="s">
        <v>91</v>
      </c>
      <c r="P253" s="304" t="s">
        <v>72</v>
      </c>
      <c r="Q253" s="304">
        <v>3080.0</v>
      </c>
      <c r="R253" s="303" t="s">
        <v>41</v>
      </c>
      <c r="S253" s="303" t="s">
        <v>2208</v>
      </c>
      <c r="T253" s="309"/>
      <c r="U253" s="146" t="s">
        <v>1867</v>
      </c>
      <c r="V253" s="303" t="s">
        <v>1867</v>
      </c>
      <c r="W253" s="303" t="s">
        <v>1867</v>
      </c>
      <c r="X253" s="304" t="s">
        <v>2949</v>
      </c>
      <c r="Y253" s="310"/>
      <c r="Z253" s="310"/>
      <c r="AA253" s="310"/>
      <c r="AB253" s="310"/>
      <c r="AC253" s="310"/>
      <c r="AD253" s="310"/>
      <c r="AE253" s="310"/>
      <c r="AF253" s="310"/>
      <c r="AG253" s="310"/>
      <c r="AH253" s="310"/>
      <c r="AI253" s="310"/>
      <c r="AJ253" s="310"/>
      <c r="AK253" s="310"/>
      <c r="AL253" s="310"/>
      <c r="AM253" s="310"/>
      <c r="AN253" s="310"/>
      <c r="AO253" s="310"/>
      <c r="AP253" s="310"/>
      <c r="AQ253" s="310"/>
      <c r="AR253" s="310"/>
      <c r="AS253" s="310"/>
      <c r="AT253" s="310"/>
      <c r="AU253" s="310"/>
      <c r="AV253" s="310"/>
      <c r="AW253" s="3"/>
    </row>
    <row r="254">
      <c r="A254" s="12">
        <v>250.0</v>
      </c>
      <c r="B254" s="303" t="s">
        <v>3701</v>
      </c>
      <c r="C254" s="303" t="s">
        <v>3702</v>
      </c>
      <c r="D254" s="303" t="s">
        <v>1350</v>
      </c>
      <c r="E254" s="303" t="s">
        <v>3703</v>
      </c>
      <c r="F254" s="303" t="s">
        <v>3704</v>
      </c>
      <c r="G254" s="303">
        <v>2.0</v>
      </c>
      <c r="H254" s="304" t="s">
        <v>711</v>
      </c>
      <c r="I254" s="305">
        <v>46156.0</v>
      </c>
      <c r="J254" s="306">
        <v>46170.0</v>
      </c>
      <c r="K254" s="128">
        <v>200.0</v>
      </c>
      <c r="L254" s="307">
        <v>4.0</v>
      </c>
      <c r="M254" s="308">
        <f>K254*4</f>
        <v>800</v>
      </c>
      <c r="N254" s="304" t="s">
        <v>71</v>
      </c>
      <c r="O254" s="303" t="s">
        <v>91</v>
      </c>
      <c r="P254" s="304" t="s">
        <v>72</v>
      </c>
      <c r="Q254" s="304">
        <v>3111.0</v>
      </c>
      <c r="R254" s="303" t="s">
        <v>73</v>
      </c>
      <c r="S254" s="303" t="s">
        <v>2208</v>
      </c>
      <c r="T254" s="309"/>
      <c r="U254" s="146" t="s">
        <v>1867</v>
      </c>
      <c r="V254" s="303" t="s">
        <v>1867</v>
      </c>
      <c r="W254" s="303" t="s">
        <v>1867</v>
      </c>
      <c r="X254" s="304" t="s">
        <v>2949</v>
      </c>
      <c r="Y254" s="310"/>
      <c r="Z254" s="310"/>
      <c r="AA254" s="310"/>
      <c r="AB254" s="310"/>
      <c r="AC254" s="310"/>
      <c r="AD254" s="310"/>
      <c r="AE254" s="310"/>
      <c r="AF254" s="310"/>
      <c r="AG254" s="310"/>
      <c r="AH254" s="310"/>
      <c r="AI254" s="310"/>
      <c r="AJ254" s="310"/>
      <c r="AK254" s="310"/>
      <c r="AL254" s="310"/>
      <c r="AM254" s="310"/>
      <c r="AN254" s="310"/>
      <c r="AO254" s="310"/>
      <c r="AP254" s="310"/>
      <c r="AQ254" s="310"/>
      <c r="AR254" s="310"/>
      <c r="AS254" s="310"/>
      <c r="AT254" s="310"/>
      <c r="AU254" s="310"/>
      <c r="AV254" s="310"/>
      <c r="AW254" s="3"/>
    </row>
    <row r="255">
      <c r="A255" s="12">
        <v>251.0</v>
      </c>
      <c r="B255" s="303" t="s">
        <v>3705</v>
      </c>
      <c r="C255" s="303" t="s">
        <v>3706</v>
      </c>
      <c r="D255" s="303" t="s">
        <v>3707</v>
      </c>
      <c r="E255" s="303" t="s">
        <v>3708</v>
      </c>
      <c r="F255" s="303" t="s">
        <v>3709</v>
      </c>
      <c r="G255" s="303">
        <v>3.0</v>
      </c>
      <c r="H255" s="304" t="s">
        <v>1874</v>
      </c>
      <c r="I255" s="305">
        <v>46169.0</v>
      </c>
      <c r="J255" s="306">
        <v>46169.0</v>
      </c>
      <c r="K255" s="128">
        <v>151.0</v>
      </c>
      <c r="L255" s="307">
        <v>12.0</v>
      </c>
      <c r="M255" s="308">
        <f>K255*12</f>
        <v>1812</v>
      </c>
      <c r="N255" s="304" t="s">
        <v>71</v>
      </c>
      <c r="O255" s="303" t="s">
        <v>29</v>
      </c>
      <c r="P255" s="304" t="s">
        <v>72</v>
      </c>
      <c r="Q255" s="304">
        <v>3103.0</v>
      </c>
      <c r="R255" s="303" t="s">
        <v>233</v>
      </c>
      <c r="S255" s="303" t="s">
        <v>2208</v>
      </c>
      <c r="T255" s="309"/>
      <c r="U255" s="146" t="s">
        <v>1867</v>
      </c>
      <c r="V255" s="303" t="s">
        <v>1867</v>
      </c>
      <c r="W255" s="303" t="s">
        <v>1867</v>
      </c>
      <c r="X255" s="304" t="s">
        <v>2949</v>
      </c>
      <c r="Y255" s="310"/>
      <c r="Z255" s="310"/>
      <c r="AA255" s="310"/>
      <c r="AB255" s="310"/>
      <c r="AC255" s="310"/>
      <c r="AD255" s="310"/>
      <c r="AE255" s="310"/>
      <c r="AF255" s="310"/>
      <c r="AG255" s="310"/>
      <c r="AH255" s="310"/>
      <c r="AI255" s="310"/>
      <c r="AJ255" s="310"/>
      <c r="AK255" s="310"/>
      <c r="AL255" s="310"/>
      <c r="AM255" s="310"/>
      <c r="AN255" s="310"/>
      <c r="AO255" s="310"/>
      <c r="AP255" s="310"/>
      <c r="AQ255" s="310"/>
      <c r="AR255" s="310"/>
      <c r="AS255" s="310"/>
      <c r="AT255" s="310"/>
      <c r="AU255" s="310"/>
      <c r="AV255" s="310"/>
      <c r="AW255" s="3"/>
    </row>
    <row r="256">
      <c r="A256" s="12">
        <v>252.0</v>
      </c>
      <c r="B256" s="123" t="s">
        <v>3710</v>
      </c>
      <c r="C256" s="120" t="s">
        <v>3711</v>
      </c>
      <c r="D256" s="120" t="s">
        <v>3712</v>
      </c>
      <c r="E256" s="97">
        <v>1.132218034E9</v>
      </c>
      <c r="F256" s="106" t="s">
        <v>3713</v>
      </c>
      <c r="G256" s="120">
        <v>1.0</v>
      </c>
      <c r="H256" s="146" t="s">
        <v>711</v>
      </c>
      <c r="I256" s="317">
        <v>46169.0</v>
      </c>
      <c r="J256" s="317">
        <v>46169.0</v>
      </c>
      <c r="K256" s="125">
        <v>200.0</v>
      </c>
      <c r="L256" s="546">
        <v>3.0</v>
      </c>
      <c r="M256" s="125">
        <f>K256*3</f>
        <v>600</v>
      </c>
      <c r="N256" s="120" t="s">
        <v>71</v>
      </c>
      <c r="O256" s="120" t="s">
        <v>91</v>
      </c>
      <c r="P256" s="120" t="s">
        <v>72</v>
      </c>
      <c r="Q256" s="167">
        <v>3116.0</v>
      </c>
      <c r="R256" s="120" t="s">
        <v>41</v>
      </c>
      <c r="S256" s="120" t="s">
        <v>129</v>
      </c>
      <c r="T256" s="133"/>
      <c r="U256" s="123" t="s">
        <v>1867</v>
      </c>
      <c r="V256" s="123" t="s">
        <v>1867</v>
      </c>
      <c r="W256" s="123" t="s">
        <v>1867</v>
      </c>
      <c r="X256" s="304" t="s">
        <v>2949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</row>
    <row r="257">
      <c r="A257" s="12">
        <v>253.0</v>
      </c>
      <c r="B257" s="120" t="s">
        <v>3714</v>
      </c>
      <c r="C257" s="120" t="s">
        <v>3715</v>
      </c>
      <c r="D257" s="120" t="s">
        <v>3716</v>
      </c>
      <c r="E257" s="580" t="s">
        <v>3717</v>
      </c>
      <c r="F257" s="581" t="s">
        <v>3718</v>
      </c>
      <c r="G257" s="120">
        <v>3.0</v>
      </c>
      <c r="H257" s="120" t="s">
        <v>1874</v>
      </c>
      <c r="I257" s="317">
        <v>46170.0</v>
      </c>
      <c r="J257" s="108"/>
      <c r="K257" s="125">
        <v>151.0</v>
      </c>
      <c r="L257" s="546">
        <v>12.0</v>
      </c>
      <c r="M257" s="89">
        <f>K257*L257</f>
        <v>1812</v>
      </c>
      <c r="N257" s="120" t="s">
        <v>58</v>
      </c>
      <c r="O257" s="120" t="s">
        <v>29</v>
      </c>
      <c r="P257" s="120" t="s">
        <v>40</v>
      </c>
      <c r="Q257" s="106"/>
      <c r="R257" s="120" t="s">
        <v>73</v>
      </c>
      <c r="S257" s="120" t="s">
        <v>129</v>
      </c>
      <c r="T257" s="133"/>
      <c r="U257" s="178"/>
      <c r="V257" s="178"/>
      <c r="W257" s="178"/>
      <c r="X257" s="178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</row>
    <row r="258">
      <c r="A258" s="12">
        <v>254.0</v>
      </c>
      <c r="B258" s="120" t="s">
        <v>3719</v>
      </c>
      <c r="C258" s="120" t="s">
        <v>3720</v>
      </c>
      <c r="D258" s="120" t="s">
        <v>3716</v>
      </c>
      <c r="E258" s="161">
        <v>1.137499391E9</v>
      </c>
      <c r="F258" s="120" t="s">
        <v>3721</v>
      </c>
      <c r="G258" s="120">
        <v>2.0</v>
      </c>
      <c r="H258" s="120" t="s">
        <v>1874</v>
      </c>
      <c r="I258" s="317">
        <v>46170.0</v>
      </c>
      <c r="J258" s="317">
        <v>46170.0</v>
      </c>
      <c r="K258" s="125" t="s">
        <v>1268</v>
      </c>
      <c r="L258" s="546">
        <v>1.0</v>
      </c>
      <c r="M258" s="125">
        <v>1600.0</v>
      </c>
      <c r="N258" s="120" t="s">
        <v>71</v>
      </c>
      <c r="O258" s="120" t="s">
        <v>91</v>
      </c>
      <c r="P258" s="120" t="s">
        <v>72</v>
      </c>
      <c r="Q258" s="167">
        <v>3119.0</v>
      </c>
      <c r="R258" s="120" t="s">
        <v>233</v>
      </c>
      <c r="S258" s="120" t="s">
        <v>129</v>
      </c>
      <c r="T258" s="133"/>
      <c r="U258" s="123" t="s">
        <v>1867</v>
      </c>
      <c r="V258" s="123" t="s">
        <v>1867</v>
      </c>
      <c r="W258" s="123" t="s">
        <v>1867</v>
      </c>
      <c r="X258" s="304" t="s">
        <v>2949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</row>
    <row r="259">
      <c r="A259" s="12">
        <v>255.0</v>
      </c>
      <c r="B259" s="303" t="s">
        <v>3722</v>
      </c>
      <c r="C259" s="303" t="s">
        <v>3723</v>
      </c>
      <c r="D259" s="303" t="s">
        <v>3724</v>
      </c>
      <c r="E259" s="303" t="s">
        <v>3725</v>
      </c>
      <c r="F259" s="364" t="s">
        <v>3726</v>
      </c>
      <c r="G259" s="303">
        <v>1.0</v>
      </c>
      <c r="H259" s="304" t="s">
        <v>2816</v>
      </c>
      <c r="I259" s="305">
        <v>46157.0</v>
      </c>
      <c r="J259" s="306">
        <v>46170.0</v>
      </c>
      <c r="K259" s="128">
        <v>139.0</v>
      </c>
      <c r="L259" s="307">
        <v>12.0</v>
      </c>
      <c r="M259" s="308">
        <f>K259*12</f>
        <v>1668</v>
      </c>
      <c r="N259" s="304" t="s">
        <v>71</v>
      </c>
      <c r="O259" s="303" t="s">
        <v>29</v>
      </c>
      <c r="P259" s="304" t="s">
        <v>72</v>
      </c>
      <c r="Q259" s="304">
        <v>3125.0</v>
      </c>
      <c r="R259" s="303" t="s">
        <v>41</v>
      </c>
      <c r="S259" s="303" t="s">
        <v>148</v>
      </c>
      <c r="T259" s="309"/>
      <c r="U259" s="146" t="s">
        <v>1867</v>
      </c>
      <c r="V259" s="303" t="s">
        <v>1867</v>
      </c>
      <c r="W259" s="303" t="s">
        <v>1867</v>
      </c>
      <c r="X259" s="304" t="s">
        <v>2949</v>
      </c>
      <c r="Y259" s="310"/>
      <c r="Z259" s="310"/>
      <c r="AA259" s="310"/>
      <c r="AB259" s="310"/>
      <c r="AC259" s="310"/>
      <c r="AD259" s="310"/>
      <c r="AE259" s="310"/>
      <c r="AF259" s="310"/>
      <c r="AG259" s="310"/>
      <c r="AH259" s="310"/>
      <c r="AI259" s="310"/>
      <c r="AJ259" s="310"/>
      <c r="AK259" s="310"/>
      <c r="AL259" s="310"/>
      <c r="AM259" s="310"/>
      <c r="AN259" s="310"/>
      <c r="AO259" s="310"/>
      <c r="AP259" s="310"/>
      <c r="AQ259" s="310"/>
      <c r="AR259" s="310"/>
      <c r="AS259" s="310"/>
      <c r="AT259" s="310"/>
      <c r="AU259" s="310"/>
      <c r="AV259" s="310"/>
      <c r="AW259" s="3"/>
    </row>
    <row r="260">
      <c r="A260" s="12">
        <v>256.0</v>
      </c>
      <c r="B260" s="303" t="s">
        <v>3727</v>
      </c>
      <c r="C260" s="303" t="s">
        <v>3728</v>
      </c>
      <c r="D260" s="303" t="s">
        <v>3685</v>
      </c>
      <c r="E260" s="303">
        <v>1.1991976824E10</v>
      </c>
      <c r="F260" s="303" t="s">
        <v>3686</v>
      </c>
      <c r="G260" s="303">
        <v>5.0</v>
      </c>
      <c r="H260" s="304" t="s">
        <v>711</v>
      </c>
      <c r="I260" s="305">
        <v>46169.0</v>
      </c>
      <c r="J260" s="306">
        <v>46169.0</v>
      </c>
      <c r="K260" s="132" t="s">
        <v>211</v>
      </c>
      <c r="L260" s="307">
        <v>1.0</v>
      </c>
      <c r="M260" s="290">
        <v>650.0</v>
      </c>
      <c r="N260" s="304" t="s">
        <v>71</v>
      </c>
      <c r="O260" s="303" t="s">
        <v>91</v>
      </c>
      <c r="P260" s="304" t="s">
        <v>72</v>
      </c>
      <c r="Q260" s="304">
        <v>3106.0</v>
      </c>
      <c r="R260" s="303" t="s">
        <v>233</v>
      </c>
      <c r="S260" s="303" t="s">
        <v>110</v>
      </c>
      <c r="T260" s="309"/>
      <c r="U260" s="146" t="s">
        <v>1867</v>
      </c>
      <c r="V260" s="303" t="s">
        <v>1867</v>
      </c>
      <c r="W260" s="303" t="s">
        <v>1867</v>
      </c>
      <c r="X260" s="304" t="s">
        <v>2949</v>
      </c>
      <c r="Y260" s="310"/>
      <c r="Z260" s="310"/>
      <c r="AA260" s="310"/>
      <c r="AB260" s="310"/>
      <c r="AC260" s="310"/>
      <c r="AD260" s="310"/>
      <c r="AE260" s="310"/>
      <c r="AF260" s="310"/>
      <c r="AG260" s="310"/>
      <c r="AH260" s="310"/>
      <c r="AI260" s="310"/>
      <c r="AJ260" s="310"/>
      <c r="AK260" s="310"/>
      <c r="AL260" s="310"/>
      <c r="AM260" s="310"/>
      <c r="AN260" s="310"/>
      <c r="AO260" s="310"/>
      <c r="AP260" s="310"/>
      <c r="AQ260" s="310"/>
      <c r="AR260" s="310"/>
      <c r="AS260" s="310"/>
      <c r="AT260" s="310"/>
      <c r="AU260" s="310"/>
      <c r="AV260" s="310"/>
      <c r="AW260" s="3"/>
    </row>
    <row r="261">
      <c r="A261" s="12">
        <v>257.0</v>
      </c>
      <c r="B261" s="303" t="s">
        <v>3729</v>
      </c>
      <c r="C261" s="303" t="s">
        <v>3730</v>
      </c>
      <c r="D261" s="303" t="s">
        <v>3731</v>
      </c>
      <c r="E261" s="303" t="s">
        <v>3732</v>
      </c>
      <c r="F261" s="303" t="s">
        <v>3733</v>
      </c>
      <c r="G261" s="303">
        <v>15.0</v>
      </c>
      <c r="H261" s="304" t="s">
        <v>123</v>
      </c>
      <c r="I261" s="305">
        <v>46157.0</v>
      </c>
      <c r="J261" s="306">
        <v>46169.0</v>
      </c>
      <c r="K261" s="128">
        <v>235.5</v>
      </c>
      <c r="L261" s="307">
        <v>12.0</v>
      </c>
      <c r="M261" s="308">
        <f>K261*12</f>
        <v>2826</v>
      </c>
      <c r="N261" s="304" t="s">
        <v>71</v>
      </c>
      <c r="O261" s="303" t="s">
        <v>29</v>
      </c>
      <c r="P261" s="304" t="s">
        <v>72</v>
      </c>
      <c r="Q261" s="304">
        <v>3108.0</v>
      </c>
      <c r="R261" s="303" t="s">
        <v>233</v>
      </c>
      <c r="S261" s="303" t="s">
        <v>110</v>
      </c>
      <c r="T261" s="309"/>
      <c r="U261" s="146" t="s">
        <v>1867</v>
      </c>
      <c r="V261" s="303" t="s">
        <v>1867</v>
      </c>
      <c r="W261" s="303" t="s">
        <v>1867</v>
      </c>
      <c r="X261" s="304" t="s">
        <v>2949</v>
      </c>
      <c r="Y261" s="310"/>
      <c r="Z261" s="310"/>
      <c r="AA261" s="310"/>
      <c r="AB261" s="310"/>
      <c r="AC261" s="310"/>
      <c r="AD261" s="310"/>
      <c r="AE261" s="310"/>
      <c r="AF261" s="310"/>
      <c r="AG261" s="310"/>
      <c r="AH261" s="310"/>
      <c r="AI261" s="310"/>
      <c r="AJ261" s="310"/>
      <c r="AK261" s="310"/>
      <c r="AL261" s="310"/>
      <c r="AM261" s="310"/>
      <c r="AN261" s="310"/>
      <c r="AO261" s="310"/>
      <c r="AP261" s="310"/>
      <c r="AQ261" s="310"/>
      <c r="AR261" s="310"/>
      <c r="AS261" s="310"/>
      <c r="AT261" s="310"/>
      <c r="AU261" s="310"/>
      <c r="AV261" s="310"/>
      <c r="AW261" s="3"/>
    </row>
    <row r="262">
      <c r="A262" s="12">
        <v>258.0</v>
      </c>
      <c r="B262" s="303" t="s">
        <v>3734</v>
      </c>
      <c r="C262" s="303" t="s">
        <v>3735</v>
      </c>
      <c r="D262" s="303" t="s">
        <v>3736</v>
      </c>
      <c r="E262" s="303" t="s">
        <v>3737</v>
      </c>
      <c r="F262" s="303" t="s">
        <v>3738</v>
      </c>
      <c r="G262" s="303">
        <v>1.0</v>
      </c>
      <c r="H262" s="304" t="s">
        <v>254</v>
      </c>
      <c r="I262" s="305">
        <v>46148.0</v>
      </c>
      <c r="J262" s="306">
        <v>46170.0</v>
      </c>
      <c r="K262" s="128">
        <v>250.0</v>
      </c>
      <c r="L262" s="307">
        <v>4.0</v>
      </c>
      <c r="M262" s="308">
        <f>K262*4</f>
        <v>1000</v>
      </c>
      <c r="N262" s="304" t="s">
        <v>71</v>
      </c>
      <c r="O262" s="303" t="s">
        <v>91</v>
      </c>
      <c r="P262" s="304" t="s">
        <v>72</v>
      </c>
      <c r="Q262" s="304">
        <v>3112.0</v>
      </c>
      <c r="R262" s="303" t="s">
        <v>73</v>
      </c>
      <c r="S262" s="303" t="s">
        <v>2208</v>
      </c>
      <c r="T262" s="309"/>
      <c r="U262" s="146" t="s">
        <v>1867</v>
      </c>
      <c r="V262" s="303" t="s">
        <v>1867</v>
      </c>
      <c r="W262" s="303" t="s">
        <v>1867</v>
      </c>
      <c r="X262" s="304" t="s">
        <v>2949</v>
      </c>
      <c r="Y262" s="310"/>
      <c r="Z262" s="310"/>
      <c r="AA262" s="310"/>
      <c r="AB262" s="310"/>
      <c r="AC262" s="310"/>
      <c r="AD262" s="310"/>
      <c r="AE262" s="310"/>
      <c r="AF262" s="310"/>
      <c r="AG262" s="310"/>
      <c r="AH262" s="310"/>
      <c r="AI262" s="310"/>
      <c r="AJ262" s="310"/>
      <c r="AK262" s="310"/>
      <c r="AL262" s="310"/>
      <c r="AM262" s="310"/>
      <c r="AN262" s="310"/>
      <c r="AO262" s="310"/>
      <c r="AP262" s="310"/>
      <c r="AQ262" s="310"/>
      <c r="AR262" s="310"/>
      <c r="AS262" s="310"/>
      <c r="AT262" s="310"/>
      <c r="AU262" s="310"/>
      <c r="AV262" s="310"/>
      <c r="AW262" s="3"/>
    </row>
    <row r="263">
      <c r="A263" s="12">
        <v>259.0</v>
      </c>
      <c r="B263" s="303" t="s">
        <v>3739</v>
      </c>
      <c r="C263" s="303" t="s">
        <v>3740</v>
      </c>
      <c r="D263" s="303" t="s">
        <v>3741</v>
      </c>
      <c r="E263" s="303" t="s">
        <v>3742</v>
      </c>
      <c r="F263" s="303" t="s">
        <v>3743</v>
      </c>
      <c r="G263" s="303">
        <v>5.0</v>
      </c>
      <c r="H263" s="304" t="s">
        <v>3744</v>
      </c>
      <c r="I263" s="305">
        <v>46167.0</v>
      </c>
      <c r="J263" s="306">
        <v>46170.0</v>
      </c>
      <c r="K263" s="128">
        <v>163.0</v>
      </c>
      <c r="L263" s="307">
        <v>12.0</v>
      </c>
      <c r="M263" s="308">
        <f t="shared" ref="M263:M267" si="30">K263*12</f>
        <v>1956</v>
      </c>
      <c r="N263" s="304" t="s">
        <v>71</v>
      </c>
      <c r="O263" s="303" t="s">
        <v>29</v>
      </c>
      <c r="P263" s="304" t="s">
        <v>72</v>
      </c>
      <c r="Q263" s="304">
        <v>3114.0</v>
      </c>
      <c r="R263" s="303" t="s">
        <v>41</v>
      </c>
      <c r="S263" s="303" t="s">
        <v>2208</v>
      </c>
      <c r="T263" s="309"/>
      <c r="U263" s="146" t="s">
        <v>1867</v>
      </c>
      <c r="V263" s="303" t="s">
        <v>1867</v>
      </c>
      <c r="W263" s="303" t="s">
        <v>1867</v>
      </c>
      <c r="X263" s="304" t="s">
        <v>2949</v>
      </c>
      <c r="Y263" s="310"/>
      <c r="Z263" s="310"/>
      <c r="AA263" s="310"/>
      <c r="AB263" s="310"/>
      <c r="AC263" s="310"/>
      <c r="AD263" s="310"/>
      <c r="AE263" s="310"/>
      <c r="AF263" s="310"/>
      <c r="AG263" s="310"/>
      <c r="AH263" s="310"/>
      <c r="AI263" s="310"/>
      <c r="AJ263" s="310"/>
      <c r="AK263" s="310"/>
      <c r="AL263" s="310"/>
      <c r="AM263" s="310"/>
      <c r="AN263" s="310"/>
      <c r="AO263" s="310"/>
      <c r="AP263" s="310"/>
      <c r="AQ263" s="310"/>
      <c r="AR263" s="310"/>
      <c r="AS263" s="310"/>
      <c r="AT263" s="310"/>
      <c r="AU263" s="310"/>
      <c r="AV263" s="310"/>
      <c r="AW263" s="3"/>
    </row>
    <row r="264">
      <c r="A264" s="12">
        <v>260.0</v>
      </c>
      <c r="B264" s="303" t="s">
        <v>3745</v>
      </c>
      <c r="C264" s="303" t="s">
        <v>3746</v>
      </c>
      <c r="D264" s="303" t="s">
        <v>3747</v>
      </c>
      <c r="E264" s="303" t="s">
        <v>3748</v>
      </c>
      <c r="F264" s="303" t="s">
        <v>3749</v>
      </c>
      <c r="G264" s="303">
        <v>19.0</v>
      </c>
      <c r="H264" s="304" t="s">
        <v>2816</v>
      </c>
      <c r="I264" s="305">
        <v>46163.0</v>
      </c>
      <c r="J264" s="306">
        <v>46171.0</v>
      </c>
      <c r="K264" s="128">
        <v>222.3</v>
      </c>
      <c r="L264" s="307">
        <v>12.0</v>
      </c>
      <c r="M264" s="308">
        <f t="shared" si="30"/>
        <v>2667.6</v>
      </c>
      <c r="N264" s="304" t="s">
        <v>71</v>
      </c>
      <c r="O264" s="303" t="s">
        <v>29</v>
      </c>
      <c r="P264" s="304" t="s">
        <v>72</v>
      </c>
      <c r="Q264" s="304">
        <v>3126.0</v>
      </c>
      <c r="R264" s="303" t="s">
        <v>1979</v>
      </c>
      <c r="S264" s="303" t="s">
        <v>148</v>
      </c>
      <c r="T264" s="309"/>
      <c r="U264" s="146" t="s">
        <v>1867</v>
      </c>
      <c r="V264" s="303" t="s">
        <v>1867</v>
      </c>
      <c r="W264" s="303" t="s">
        <v>1867</v>
      </c>
      <c r="X264" s="304" t="s">
        <v>2949</v>
      </c>
      <c r="Y264" s="310"/>
      <c r="Z264" s="310"/>
      <c r="AA264" s="310"/>
      <c r="AB264" s="310"/>
      <c r="AC264" s="310"/>
      <c r="AD264" s="310"/>
      <c r="AE264" s="310"/>
      <c r="AF264" s="310"/>
      <c r="AG264" s="310"/>
      <c r="AH264" s="310"/>
      <c r="AI264" s="310"/>
      <c r="AJ264" s="310"/>
      <c r="AK264" s="310"/>
      <c r="AL264" s="310"/>
      <c r="AM264" s="310"/>
      <c r="AN264" s="310"/>
      <c r="AO264" s="310"/>
      <c r="AP264" s="310"/>
      <c r="AQ264" s="310"/>
      <c r="AR264" s="310"/>
      <c r="AS264" s="310"/>
      <c r="AT264" s="310"/>
      <c r="AU264" s="310"/>
      <c r="AV264" s="310"/>
      <c r="AW264" s="3"/>
    </row>
    <row r="265">
      <c r="A265" s="12">
        <v>261.0</v>
      </c>
      <c r="B265" s="303" t="s">
        <v>3750</v>
      </c>
      <c r="C265" s="303" t="s">
        <v>3751</v>
      </c>
      <c r="D265" s="303" t="s">
        <v>3747</v>
      </c>
      <c r="E265" s="303" t="s">
        <v>3748</v>
      </c>
      <c r="F265" s="364" t="s">
        <v>3752</v>
      </c>
      <c r="G265" s="303">
        <v>34.0</v>
      </c>
      <c r="H265" s="304" t="s">
        <v>2816</v>
      </c>
      <c r="I265" s="305">
        <v>46163.0</v>
      </c>
      <c r="J265" s="306">
        <v>46171.0</v>
      </c>
      <c r="K265" s="128">
        <v>303.3</v>
      </c>
      <c r="L265" s="307">
        <v>12.0</v>
      </c>
      <c r="M265" s="308">
        <f t="shared" si="30"/>
        <v>3639.6</v>
      </c>
      <c r="N265" s="304" t="s">
        <v>71</v>
      </c>
      <c r="O265" s="303" t="s">
        <v>29</v>
      </c>
      <c r="P265" s="304" t="s">
        <v>72</v>
      </c>
      <c r="Q265" s="304">
        <v>3135.0</v>
      </c>
      <c r="R265" s="303" t="s">
        <v>1979</v>
      </c>
      <c r="S265" s="303" t="s">
        <v>148</v>
      </c>
      <c r="T265" s="309"/>
      <c r="U265" s="146" t="s">
        <v>1867</v>
      </c>
      <c r="V265" s="303" t="s">
        <v>1867</v>
      </c>
      <c r="W265" s="303" t="s">
        <v>1867</v>
      </c>
      <c r="X265" s="304" t="s">
        <v>2949</v>
      </c>
      <c r="Y265" s="310"/>
      <c r="Z265" s="310"/>
      <c r="AA265" s="310"/>
      <c r="AB265" s="310"/>
      <c r="AC265" s="310"/>
      <c r="AD265" s="310"/>
      <c r="AE265" s="310"/>
      <c r="AF265" s="310"/>
      <c r="AG265" s="310"/>
      <c r="AH265" s="310"/>
      <c r="AI265" s="310"/>
      <c r="AJ265" s="310"/>
      <c r="AK265" s="310"/>
      <c r="AL265" s="310"/>
      <c r="AM265" s="310"/>
      <c r="AN265" s="310"/>
      <c r="AO265" s="310"/>
      <c r="AP265" s="310"/>
      <c r="AQ265" s="310"/>
      <c r="AR265" s="310"/>
      <c r="AS265" s="310"/>
      <c r="AT265" s="310"/>
      <c r="AU265" s="310"/>
      <c r="AV265" s="310"/>
      <c r="AW265" s="3"/>
    </row>
    <row r="266">
      <c r="A266" s="12">
        <v>262.0</v>
      </c>
      <c r="B266" s="303" t="s">
        <v>3753</v>
      </c>
      <c r="C266" s="303" t="s">
        <v>3580</v>
      </c>
      <c r="D266" s="303" t="s">
        <v>3581</v>
      </c>
      <c r="E266" s="303" t="s">
        <v>3582</v>
      </c>
      <c r="F266" s="364" t="s">
        <v>3754</v>
      </c>
      <c r="G266" s="303">
        <v>4.0</v>
      </c>
      <c r="H266" s="304" t="s">
        <v>3755</v>
      </c>
      <c r="I266" s="305">
        <v>46167.0</v>
      </c>
      <c r="J266" s="306">
        <v>46171.0</v>
      </c>
      <c r="K266" s="128">
        <v>157.0</v>
      </c>
      <c r="L266" s="307">
        <v>12.0</v>
      </c>
      <c r="M266" s="308">
        <f t="shared" si="30"/>
        <v>1884</v>
      </c>
      <c r="N266" s="304" t="s">
        <v>71</v>
      </c>
      <c r="O266" s="303" t="s">
        <v>29</v>
      </c>
      <c r="P266" s="304" t="s">
        <v>72</v>
      </c>
      <c r="Q266" s="304">
        <v>3136.0</v>
      </c>
      <c r="R266" s="303" t="s">
        <v>41</v>
      </c>
      <c r="S266" s="303" t="s">
        <v>148</v>
      </c>
      <c r="T266" s="309"/>
      <c r="U266" s="146" t="s">
        <v>1867</v>
      </c>
      <c r="V266" s="303" t="s">
        <v>1867</v>
      </c>
      <c r="W266" s="303" t="s">
        <v>1867</v>
      </c>
      <c r="X266" s="304" t="s">
        <v>2949</v>
      </c>
      <c r="Y266" s="310"/>
      <c r="Z266" s="310"/>
      <c r="AA266" s="310"/>
      <c r="AB266" s="310"/>
      <c r="AC266" s="310"/>
      <c r="AD266" s="310"/>
      <c r="AE266" s="310"/>
      <c r="AF266" s="310"/>
      <c r="AG266" s="310"/>
      <c r="AH266" s="310"/>
      <c r="AI266" s="310"/>
      <c r="AJ266" s="310"/>
      <c r="AK266" s="310"/>
      <c r="AL266" s="310"/>
      <c r="AM266" s="310"/>
      <c r="AN266" s="310"/>
      <c r="AO266" s="310"/>
      <c r="AP266" s="310"/>
      <c r="AQ266" s="310"/>
      <c r="AR266" s="310"/>
      <c r="AS266" s="310"/>
      <c r="AT266" s="310"/>
      <c r="AU266" s="310"/>
      <c r="AV266" s="310"/>
      <c r="AW266" s="3"/>
    </row>
    <row r="267">
      <c r="A267" s="12">
        <v>263.0</v>
      </c>
      <c r="B267" s="303" t="s">
        <v>3584</v>
      </c>
      <c r="C267" s="303" t="s">
        <v>3585</v>
      </c>
      <c r="D267" s="303" t="s">
        <v>3581</v>
      </c>
      <c r="E267" s="303" t="s">
        <v>3582</v>
      </c>
      <c r="F267" s="364" t="s">
        <v>3756</v>
      </c>
      <c r="G267" s="303">
        <v>4.0</v>
      </c>
      <c r="H267" s="304" t="s">
        <v>2816</v>
      </c>
      <c r="I267" s="305">
        <v>46167.0</v>
      </c>
      <c r="J267" s="306">
        <v>46171.0</v>
      </c>
      <c r="K267" s="128">
        <v>157.0</v>
      </c>
      <c r="L267" s="307">
        <v>12.0</v>
      </c>
      <c r="M267" s="308">
        <f t="shared" si="30"/>
        <v>1884</v>
      </c>
      <c r="N267" s="304" t="s">
        <v>71</v>
      </c>
      <c r="O267" s="303" t="s">
        <v>29</v>
      </c>
      <c r="P267" s="304" t="s">
        <v>72</v>
      </c>
      <c r="Q267" s="304">
        <v>3138.0</v>
      </c>
      <c r="R267" s="303" t="s">
        <v>41</v>
      </c>
      <c r="S267" s="303" t="s">
        <v>148</v>
      </c>
      <c r="T267" s="309"/>
      <c r="U267" s="146" t="s">
        <v>1867</v>
      </c>
      <c r="V267" s="303" t="s">
        <v>1867</v>
      </c>
      <c r="W267" s="303" t="s">
        <v>1867</v>
      </c>
      <c r="X267" s="304" t="s">
        <v>2949</v>
      </c>
      <c r="Y267" s="310"/>
      <c r="Z267" s="310"/>
      <c r="AA267" s="310"/>
      <c r="AB267" s="310"/>
      <c r="AC267" s="310"/>
      <c r="AD267" s="310"/>
      <c r="AE267" s="310"/>
      <c r="AF267" s="310"/>
      <c r="AG267" s="310"/>
      <c r="AH267" s="310"/>
      <c r="AI267" s="310"/>
      <c r="AJ267" s="310"/>
      <c r="AK267" s="310"/>
      <c r="AL267" s="310"/>
      <c r="AM267" s="310"/>
      <c r="AN267" s="310"/>
      <c r="AO267" s="310"/>
      <c r="AP267" s="310"/>
      <c r="AQ267" s="310"/>
      <c r="AR267" s="310"/>
      <c r="AS267" s="310"/>
      <c r="AT267" s="310"/>
      <c r="AU267" s="310"/>
      <c r="AV267" s="310"/>
      <c r="AW267" s="3"/>
    </row>
    <row r="268">
      <c r="A268" s="12">
        <v>264.0</v>
      </c>
      <c r="B268" s="303" t="s">
        <v>1322</v>
      </c>
      <c r="C268" s="303" t="s">
        <v>1323</v>
      </c>
      <c r="D268" s="303" t="s">
        <v>3586</v>
      </c>
      <c r="E268" s="303" t="s">
        <v>3757</v>
      </c>
      <c r="F268" s="364" t="s">
        <v>3758</v>
      </c>
      <c r="G268" s="303">
        <v>35.0</v>
      </c>
      <c r="H268" s="304" t="s">
        <v>3759</v>
      </c>
      <c r="I268" s="305">
        <v>46156.0</v>
      </c>
      <c r="J268" s="306">
        <v>46170.0</v>
      </c>
      <c r="K268" s="132" t="s">
        <v>57</v>
      </c>
      <c r="L268" s="307">
        <v>1.0</v>
      </c>
      <c r="M268" s="290">
        <v>1050.0</v>
      </c>
      <c r="N268" s="304" t="s">
        <v>71</v>
      </c>
      <c r="O268" s="303" t="s">
        <v>91</v>
      </c>
      <c r="P268" s="304" t="s">
        <v>72</v>
      </c>
      <c r="Q268" s="304">
        <v>2963.0</v>
      </c>
      <c r="R268" s="303" t="s">
        <v>73</v>
      </c>
      <c r="S268" s="303" t="s">
        <v>148</v>
      </c>
      <c r="T268" s="309" t="s">
        <v>3760</v>
      </c>
      <c r="U268" s="146" t="s">
        <v>1867</v>
      </c>
      <c r="V268" s="303" t="s">
        <v>1867</v>
      </c>
      <c r="W268" s="303" t="s">
        <v>1867</v>
      </c>
      <c r="X268" s="304" t="s">
        <v>2949</v>
      </c>
      <c r="Y268" s="310"/>
      <c r="Z268" s="310"/>
      <c r="AA268" s="310"/>
      <c r="AB268" s="310"/>
      <c r="AC268" s="310"/>
      <c r="AD268" s="310"/>
      <c r="AE268" s="310"/>
      <c r="AF268" s="310"/>
      <c r="AG268" s="310"/>
      <c r="AH268" s="310"/>
      <c r="AI268" s="310"/>
      <c r="AJ268" s="310"/>
      <c r="AK268" s="310"/>
      <c r="AL268" s="310"/>
      <c r="AM268" s="310"/>
      <c r="AN268" s="310"/>
      <c r="AO268" s="310"/>
      <c r="AP268" s="310"/>
      <c r="AQ268" s="310"/>
      <c r="AR268" s="310"/>
      <c r="AS268" s="310"/>
      <c r="AT268" s="310"/>
      <c r="AU268" s="310"/>
      <c r="AV268" s="310"/>
      <c r="AW268" s="3"/>
    </row>
    <row r="269">
      <c r="A269" s="12">
        <v>265.0</v>
      </c>
      <c r="B269" s="303" t="s">
        <v>3761</v>
      </c>
      <c r="C269" s="303" t="s">
        <v>3762</v>
      </c>
      <c r="D269" s="303" t="s">
        <v>3763</v>
      </c>
      <c r="E269" s="303" t="s">
        <v>3764</v>
      </c>
      <c r="F269" s="303" t="s">
        <v>3765</v>
      </c>
      <c r="G269" s="303">
        <v>6.0</v>
      </c>
      <c r="H269" s="304" t="s">
        <v>123</v>
      </c>
      <c r="I269" s="305">
        <v>46170.0</v>
      </c>
      <c r="J269" s="306">
        <v>46170.0</v>
      </c>
      <c r="K269" s="128">
        <v>379.03</v>
      </c>
      <c r="L269" s="307">
        <v>6.0</v>
      </c>
      <c r="M269" s="308">
        <f>K269*6</f>
        <v>2274.18</v>
      </c>
      <c r="N269" s="304" t="s">
        <v>71</v>
      </c>
      <c r="O269" s="303" t="s">
        <v>29</v>
      </c>
      <c r="P269" s="304" t="s">
        <v>72</v>
      </c>
      <c r="Q269" s="304">
        <v>3128.0</v>
      </c>
      <c r="R269" s="303" t="s">
        <v>233</v>
      </c>
      <c r="S269" s="303" t="s">
        <v>110</v>
      </c>
      <c r="T269" s="309"/>
      <c r="U269" s="146" t="s">
        <v>1867</v>
      </c>
      <c r="V269" s="303" t="s">
        <v>1867</v>
      </c>
      <c r="W269" s="303" t="s">
        <v>1867</v>
      </c>
      <c r="X269" s="304" t="s">
        <v>2949</v>
      </c>
      <c r="Y269" s="310"/>
      <c r="Z269" s="310"/>
      <c r="AA269" s="310"/>
      <c r="AB269" s="310"/>
      <c r="AC269" s="310"/>
      <c r="AD269" s="310"/>
      <c r="AE269" s="310"/>
      <c r="AF269" s="310"/>
      <c r="AG269" s="310"/>
      <c r="AH269" s="310"/>
      <c r="AI269" s="310"/>
      <c r="AJ269" s="310"/>
      <c r="AK269" s="310"/>
      <c r="AL269" s="310"/>
      <c r="AM269" s="310"/>
      <c r="AN269" s="310"/>
      <c r="AO269" s="310"/>
      <c r="AP269" s="310"/>
      <c r="AQ269" s="310"/>
      <c r="AR269" s="310"/>
      <c r="AS269" s="310"/>
      <c r="AT269" s="310"/>
      <c r="AU269" s="310"/>
      <c r="AV269" s="310"/>
      <c r="AW269" s="3"/>
    </row>
    <row r="270">
      <c r="A270" s="582">
        <v>266.0</v>
      </c>
      <c r="B270" s="583"/>
      <c r="C270" s="583"/>
      <c r="D270" s="583"/>
      <c r="E270" s="583"/>
      <c r="F270" s="583"/>
      <c r="G270" s="583"/>
      <c r="H270" s="584"/>
      <c r="I270" s="585"/>
      <c r="J270" s="586"/>
      <c r="K270" s="587"/>
      <c r="L270" s="588"/>
      <c r="M270" s="589"/>
      <c r="N270" s="584"/>
      <c r="O270" s="583"/>
      <c r="P270" s="584"/>
      <c r="Q270" s="584"/>
      <c r="R270" s="583"/>
      <c r="S270" s="583"/>
      <c r="T270" s="590"/>
      <c r="U270" s="591"/>
      <c r="V270" s="583"/>
      <c r="W270" s="583"/>
      <c r="X270" s="583"/>
      <c r="Y270" s="310"/>
      <c r="Z270" s="310"/>
      <c r="AA270" s="310"/>
      <c r="AB270" s="310"/>
      <c r="AC270" s="310"/>
      <c r="AD270" s="310"/>
      <c r="AE270" s="310"/>
      <c r="AF270" s="310"/>
      <c r="AG270" s="310"/>
      <c r="AH270" s="310"/>
      <c r="AI270" s="310"/>
      <c r="AJ270" s="310"/>
      <c r="AK270" s="310"/>
      <c r="AL270" s="310"/>
      <c r="AM270" s="310"/>
      <c r="AN270" s="310"/>
      <c r="AO270" s="310"/>
      <c r="AP270" s="310"/>
      <c r="AQ270" s="310"/>
      <c r="AR270" s="310"/>
      <c r="AS270" s="310"/>
      <c r="AT270" s="310"/>
      <c r="AU270" s="310"/>
      <c r="AV270" s="310"/>
      <c r="AW270" s="3"/>
    </row>
    <row r="271">
      <c r="A271" s="310"/>
      <c r="B271" s="310"/>
      <c r="C271" s="310"/>
      <c r="D271" s="310"/>
      <c r="E271" s="310"/>
      <c r="F271" s="310"/>
      <c r="G271" s="310"/>
      <c r="H271" s="592"/>
      <c r="I271" s="593"/>
      <c r="J271" s="594"/>
      <c r="K271" s="595"/>
      <c r="L271" s="596"/>
      <c r="M271" s="597"/>
      <c r="N271" s="592"/>
      <c r="O271" s="310"/>
      <c r="P271" s="592"/>
      <c r="Q271" s="592"/>
      <c r="R271" s="310"/>
      <c r="S271" s="310"/>
      <c r="T271" s="598"/>
      <c r="U271" s="452"/>
      <c r="V271" s="310"/>
      <c r="W271" s="310"/>
      <c r="X271" s="310"/>
      <c r="Y271" s="310"/>
      <c r="Z271" s="310"/>
      <c r="AA271" s="310"/>
      <c r="AB271" s="310"/>
      <c r="AC271" s="310"/>
      <c r="AD271" s="310"/>
      <c r="AE271" s="310"/>
      <c r="AF271" s="310"/>
      <c r="AG271" s="310"/>
      <c r="AH271" s="310"/>
      <c r="AI271" s="310"/>
      <c r="AJ271" s="310"/>
      <c r="AK271" s="310"/>
      <c r="AL271" s="310"/>
      <c r="AM271" s="310"/>
      <c r="AN271" s="310"/>
      <c r="AO271" s="310"/>
      <c r="AP271" s="310"/>
      <c r="AQ271" s="310"/>
      <c r="AR271" s="310"/>
      <c r="AS271" s="310"/>
      <c r="AT271" s="310"/>
      <c r="AU271" s="310"/>
      <c r="AV271" s="310"/>
      <c r="AW271" s="3"/>
    </row>
    <row r="272">
      <c r="A272" s="310"/>
      <c r="B272" s="310"/>
      <c r="C272" s="310"/>
      <c r="D272" s="310"/>
      <c r="E272" s="310"/>
      <c r="F272" s="310"/>
      <c r="G272" s="310"/>
      <c r="H272" s="592"/>
      <c r="I272" s="593"/>
      <c r="J272" s="594"/>
      <c r="K272" s="595"/>
      <c r="L272" s="596"/>
      <c r="M272" s="597"/>
      <c r="N272" s="592"/>
      <c r="O272" s="310"/>
      <c r="P272" s="592"/>
      <c r="Q272" s="592"/>
      <c r="R272" s="310"/>
      <c r="S272" s="310"/>
      <c r="T272" s="598"/>
      <c r="U272" s="452"/>
      <c r="V272" s="310"/>
      <c r="W272" s="310"/>
      <c r="X272" s="310"/>
      <c r="Y272" s="310"/>
      <c r="Z272" s="310"/>
      <c r="AA272" s="310"/>
      <c r="AB272" s="310"/>
      <c r="AC272" s="310"/>
      <c r="AD272" s="310"/>
      <c r="AE272" s="310"/>
      <c r="AF272" s="310"/>
      <c r="AG272" s="310"/>
      <c r="AH272" s="310"/>
      <c r="AI272" s="310"/>
      <c r="AJ272" s="310"/>
      <c r="AK272" s="310"/>
      <c r="AL272" s="310"/>
      <c r="AM272" s="310"/>
      <c r="AN272" s="310"/>
      <c r="AO272" s="310"/>
      <c r="AP272" s="310"/>
      <c r="AQ272" s="310"/>
      <c r="AR272" s="310"/>
      <c r="AS272" s="310"/>
      <c r="AT272" s="310"/>
      <c r="AU272" s="310"/>
      <c r="AV272" s="310"/>
      <c r="AW272" s="3"/>
    </row>
    <row r="273">
      <c r="A273" s="310"/>
      <c r="B273" s="310"/>
      <c r="C273" s="310"/>
      <c r="D273" s="310"/>
      <c r="E273" s="310"/>
      <c r="F273" s="310"/>
      <c r="G273" s="310"/>
      <c r="H273" s="592"/>
      <c r="I273" s="593"/>
      <c r="J273" s="594"/>
      <c r="K273" s="595"/>
      <c r="L273" s="596"/>
      <c r="M273" s="597"/>
      <c r="N273" s="592"/>
      <c r="O273" s="310"/>
      <c r="P273" s="592"/>
      <c r="Q273" s="592"/>
      <c r="R273" s="310"/>
      <c r="S273" s="310"/>
      <c r="T273" s="598"/>
      <c r="U273" s="452"/>
      <c r="V273" s="310"/>
      <c r="W273" s="310"/>
      <c r="X273" s="310"/>
      <c r="Y273" s="310"/>
      <c r="Z273" s="310"/>
      <c r="AA273" s="310"/>
      <c r="AB273" s="310"/>
      <c r="AC273" s="310"/>
      <c r="AD273" s="310"/>
      <c r="AE273" s="310"/>
      <c r="AF273" s="310"/>
      <c r="AG273" s="310"/>
      <c r="AH273" s="310"/>
      <c r="AI273" s="310"/>
      <c r="AJ273" s="310"/>
      <c r="AK273" s="310"/>
      <c r="AL273" s="310"/>
      <c r="AM273" s="310"/>
      <c r="AN273" s="310"/>
      <c r="AO273" s="310"/>
      <c r="AP273" s="310"/>
      <c r="AQ273" s="310"/>
      <c r="AR273" s="310"/>
      <c r="AS273" s="310"/>
      <c r="AT273" s="310"/>
      <c r="AU273" s="310"/>
      <c r="AV273" s="310"/>
      <c r="AW273" s="3"/>
    </row>
    <row r="274">
      <c r="A274" s="310"/>
      <c r="B274" s="310"/>
      <c r="C274" s="310"/>
      <c r="D274" s="310"/>
      <c r="E274" s="310"/>
      <c r="F274" s="310"/>
      <c r="G274" s="310"/>
      <c r="H274" s="592"/>
      <c r="I274" s="593"/>
      <c r="J274" s="594"/>
      <c r="K274" s="595"/>
      <c r="L274" s="596"/>
      <c r="M274" s="597"/>
      <c r="N274" s="592"/>
      <c r="O274" s="310"/>
      <c r="P274" s="592"/>
      <c r="Q274" s="592"/>
      <c r="R274" s="310"/>
      <c r="S274" s="310"/>
      <c r="T274" s="598"/>
      <c r="U274" s="452"/>
      <c r="V274" s="310"/>
      <c r="W274" s="310"/>
      <c r="X274" s="310"/>
      <c r="Y274" s="310"/>
      <c r="Z274" s="310"/>
      <c r="AA274" s="310"/>
      <c r="AB274" s="310"/>
      <c r="AC274" s="310"/>
      <c r="AD274" s="310"/>
      <c r="AE274" s="310"/>
      <c r="AF274" s="310"/>
      <c r="AG274" s="310"/>
      <c r="AH274" s="310"/>
      <c r="AI274" s="310"/>
      <c r="AJ274" s="310"/>
      <c r="AK274" s="310"/>
      <c r="AL274" s="310"/>
      <c r="AM274" s="310"/>
      <c r="AN274" s="310"/>
      <c r="AO274" s="310"/>
      <c r="AP274" s="310"/>
      <c r="AQ274" s="310"/>
      <c r="AR274" s="310"/>
      <c r="AS274" s="310"/>
      <c r="AT274" s="310"/>
      <c r="AU274" s="310"/>
      <c r="AV274" s="310"/>
      <c r="AW274" s="3"/>
    </row>
    <row r="275">
      <c r="A275" s="310"/>
      <c r="B275" s="310"/>
      <c r="C275" s="310"/>
      <c r="D275" s="310"/>
      <c r="E275" s="310"/>
      <c r="F275" s="310"/>
      <c r="G275" s="310"/>
      <c r="H275" s="592"/>
      <c r="I275" s="593"/>
      <c r="J275" s="594"/>
      <c r="K275" s="595"/>
      <c r="L275" s="596"/>
      <c r="M275" s="597"/>
      <c r="N275" s="592"/>
      <c r="O275" s="310"/>
      <c r="P275" s="592"/>
      <c r="Q275" s="592"/>
      <c r="R275" s="310"/>
      <c r="S275" s="310"/>
      <c r="T275" s="598"/>
      <c r="U275" s="452"/>
      <c r="V275" s="310"/>
      <c r="W275" s="310"/>
      <c r="X275" s="310"/>
      <c r="Y275" s="310"/>
      <c r="Z275" s="310"/>
      <c r="AA275" s="310"/>
      <c r="AB275" s="310"/>
      <c r="AC275" s="310"/>
      <c r="AD275" s="310"/>
      <c r="AE275" s="310"/>
      <c r="AF275" s="310"/>
      <c r="AG275" s="310"/>
      <c r="AH275" s="310"/>
      <c r="AI275" s="310"/>
      <c r="AJ275" s="310"/>
      <c r="AK275" s="310"/>
      <c r="AL275" s="310"/>
      <c r="AM275" s="310"/>
      <c r="AN275" s="310"/>
      <c r="AO275" s="310"/>
      <c r="AP275" s="310"/>
      <c r="AQ275" s="310"/>
      <c r="AR275" s="310"/>
      <c r="AS275" s="310"/>
      <c r="AT275" s="310"/>
      <c r="AU275" s="310"/>
      <c r="AV275" s="310"/>
      <c r="AW275" s="3"/>
    </row>
    <row r="276">
      <c r="A276" s="310"/>
      <c r="B276" s="310"/>
      <c r="C276" s="310"/>
      <c r="D276" s="310"/>
      <c r="E276" s="310"/>
      <c r="F276" s="310"/>
      <c r="G276" s="310"/>
      <c r="H276" s="592"/>
      <c r="I276" s="593"/>
      <c r="J276" s="594"/>
      <c r="K276" s="595"/>
      <c r="L276" s="596"/>
      <c r="M276" s="597"/>
      <c r="N276" s="592"/>
      <c r="O276" s="310"/>
      <c r="P276" s="592"/>
      <c r="Q276" s="592"/>
      <c r="R276" s="310"/>
      <c r="S276" s="310"/>
      <c r="T276" s="598"/>
      <c r="U276" s="452"/>
      <c r="V276" s="310"/>
      <c r="W276" s="310"/>
      <c r="X276" s="310"/>
      <c r="Y276" s="310"/>
      <c r="Z276" s="310"/>
      <c r="AA276" s="310"/>
      <c r="AB276" s="310"/>
      <c r="AC276" s="310"/>
      <c r="AD276" s="310"/>
      <c r="AE276" s="310"/>
      <c r="AF276" s="310"/>
      <c r="AG276" s="310"/>
      <c r="AH276" s="310"/>
      <c r="AI276" s="310"/>
      <c r="AJ276" s="310"/>
      <c r="AK276" s="310"/>
      <c r="AL276" s="310"/>
      <c r="AM276" s="310"/>
      <c r="AN276" s="310"/>
      <c r="AO276" s="310"/>
      <c r="AP276" s="310"/>
      <c r="AQ276" s="310"/>
      <c r="AR276" s="310"/>
      <c r="AS276" s="310"/>
      <c r="AT276" s="310"/>
      <c r="AU276" s="310"/>
      <c r="AV276" s="310"/>
      <c r="AW276" s="3"/>
    </row>
    <row r="277">
      <c r="A277" s="310"/>
      <c r="B277" s="310"/>
      <c r="C277" s="310"/>
      <c r="D277" s="310"/>
      <c r="E277" s="310"/>
      <c r="F277" s="310"/>
      <c r="G277" s="310"/>
      <c r="H277" s="592"/>
      <c r="I277" s="593"/>
      <c r="J277" s="594"/>
      <c r="K277" s="595"/>
      <c r="L277" s="596"/>
      <c r="M277" s="597"/>
      <c r="N277" s="592"/>
      <c r="O277" s="310"/>
      <c r="P277" s="592"/>
      <c r="Q277" s="592"/>
      <c r="R277" s="310"/>
      <c r="S277" s="310"/>
      <c r="T277" s="598"/>
      <c r="U277" s="452"/>
      <c r="V277" s="310"/>
      <c r="W277" s="310"/>
      <c r="X277" s="310"/>
      <c r="Y277" s="310"/>
      <c r="Z277" s="310"/>
      <c r="AA277" s="310"/>
      <c r="AB277" s="310"/>
      <c r="AC277" s="310"/>
      <c r="AD277" s="310"/>
      <c r="AE277" s="310"/>
      <c r="AF277" s="310"/>
      <c r="AG277" s="310"/>
      <c r="AH277" s="310"/>
      <c r="AI277" s="310"/>
      <c r="AJ277" s="310"/>
      <c r="AK277" s="310"/>
      <c r="AL277" s="310"/>
      <c r="AM277" s="310"/>
      <c r="AN277" s="310"/>
      <c r="AO277" s="310"/>
      <c r="AP277" s="310"/>
      <c r="AQ277" s="310"/>
      <c r="AR277" s="310"/>
      <c r="AS277" s="310"/>
      <c r="AT277" s="310"/>
      <c r="AU277" s="310"/>
      <c r="AV277" s="310"/>
      <c r="AW277" s="3"/>
    </row>
    <row r="278">
      <c r="A278" s="310"/>
      <c r="B278" s="310"/>
      <c r="C278" s="310"/>
      <c r="D278" s="310"/>
      <c r="E278" s="310"/>
      <c r="F278" s="310"/>
      <c r="G278" s="310"/>
      <c r="H278" s="592"/>
      <c r="I278" s="593"/>
      <c r="J278" s="594"/>
      <c r="K278" s="595"/>
      <c r="L278" s="596"/>
      <c r="M278" s="597"/>
      <c r="N278" s="592"/>
      <c r="O278" s="310"/>
      <c r="P278" s="592"/>
      <c r="Q278" s="592"/>
      <c r="R278" s="310"/>
      <c r="S278" s="310"/>
      <c r="T278" s="598"/>
      <c r="U278" s="452"/>
      <c r="V278" s="310"/>
      <c r="W278" s="310"/>
      <c r="X278" s="310"/>
      <c r="Y278" s="310"/>
      <c r="Z278" s="310"/>
      <c r="AA278" s="310"/>
      <c r="AB278" s="310"/>
      <c r="AC278" s="310"/>
      <c r="AD278" s="310"/>
      <c r="AE278" s="310"/>
      <c r="AF278" s="310"/>
      <c r="AG278" s="310"/>
      <c r="AH278" s="310"/>
      <c r="AI278" s="310"/>
      <c r="AJ278" s="310"/>
      <c r="AK278" s="310"/>
      <c r="AL278" s="310"/>
      <c r="AM278" s="310"/>
      <c r="AN278" s="310"/>
      <c r="AO278" s="310"/>
      <c r="AP278" s="310"/>
      <c r="AQ278" s="310"/>
      <c r="AR278" s="310"/>
      <c r="AS278" s="310"/>
      <c r="AT278" s="310"/>
      <c r="AU278" s="310"/>
      <c r="AV278" s="310"/>
      <c r="AW278" s="3"/>
    </row>
    <row r="279">
      <c r="A279" s="310"/>
      <c r="B279" s="310"/>
      <c r="C279" s="310"/>
      <c r="D279" s="310"/>
      <c r="E279" s="310"/>
      <c r="F279" s="310"/>
      <c r="G279" s="310"/>
      <c r="H279" s="592"/>
      <c r="I279" s="593"/>
      <c r="J279" s="594"/>
      <c r="K279" s="595"/>
      <c r="L279" s="596"/>
      <c r="M279" s="597"/>
      <c r="N279" s="592"/>
      <c r="O279" s="310"/>
      <c r="P279" s="592"/>
      <c r="Q279" s="592"/>
      <c r="R279" s="310"/>
      <c r="S279" s="310"/>
      <c r="T279" s="598"/>
      <c r="U279" s="452"/>
      <c r="V279" s="310"/>
      <c r="W279" s="310"/>
      <c r="X279" s="310"/>
      <c r="Y279" s="310"/>
      <c r="Z279" s="310"/>
      <c r="AA279" s="310"/>
      <c r="AB279" s="310"/>
      <c r="AC279" s="310"/>
      <c r="AD279" s="310"/>
      <c r="AE279" s="310"/>
      <c r="AF279" s="310"/>
      <c r="AG279" s="310"/>
      <c r="AH279" s="310"/>
      <c r="AI279" s="310"/>
      <c r="AJ279" s="310"/>
      <c r="AK279" s="310"/>
      <c r="AL279" s="310"/>
      <c r="AM279" s="310"/>
      <c r="AN279" s="310"/>
      <c r="AO279" s="310"/>
      <c r="AP279" s="310"/>
      <c r="AQ279" s="310"/>
      <c r="AR279" s="310"/>
      <c r="AS279" s="310"/>
      <c r="AT279" s="310"/>
      <c r="AU279" s="310"/>
      <c r="AV279" s="310"/>
      <c r="AW279" s="3"/>
    </row>
    <row r="280">
      <c r="A280" s="310"/>
      <c r="B280" s="310"/>
      <c r="C280" s="310"/>
      <c r="D280" s="310"/>
      <c r="E280" s="310"/>
      <c r="F280" s="310"/>
      <c r="G280" s="310"/>
      <c r="H280" s="592"/>
      <c r="I280" s="593"/>
      <c r="J280" s="594"/>
      <c r="K280" s="595"/>
      <c r="L280" s="596"/>
      <c r="M280" s="597"/>
      <c r="N280" s="592"/>
      <c r="O280" s="310"/>
      <c r="P280" s="592"/>
      <c r="Q280" s="592"/>
      <c r="R280" s="310"/>
      <c r="S280" s="310"/>
      <c r="T280" s="598"/>
      <c r="U280" s="452"/>
      <c r="V280" s="310"/>
      <c r="W280" s="310"/>
      <c r="X280" s="310"/>
      <c r="Y280" s="310"/>
      <c r="Z280" s="310"/>
      <c r="AA280" s="310"/>
      <c r="AB280" s="310"/>
      <c r="AC280" s="310"/>
      <c r="AD280" s="310"/>
      <c r="AE280" s="310"/>
      <c r="AF280" s="310"/>
      <c r="AG280" s="310"/>
      <c r="AH280" s="310"/>
      <c r="AI280" s="310"/>
      <c r="AJ280" s="310"/>
      <c r="AK280" s="310"/>
      <c r="AL280" s="310"/>
      <c r="AM280" s="310"/>
      <c r="AN280" s="310"/>
      <c r="AO280" s="310"/>
      <c r="AP280" s="310"/>
      <c r="AQ280" s="310"/>
      <c r="AR280" s="310"/>
      <c r="AS280" s="310"/>
      <c r="AT280" s="310"/>
      <c r="AU280" s="310"/>
      <c r="AV280" s="310"/>
      <c r="AW280" s="3"/>
    </row>
    <row r="281">
      <c r="A281" s="310"/>
      <c r="B281" s="310"/>
      <c r="C281" s="310"/>
      <c r="D281" s="310"/>
      <c r="E281" s="310"/>
      <c r="F281" s="310"/>
      <c r="G281" s="310"/>
      <c r="H281" s="592"/>
      <c r="I281" s="593"/>
      <c r="J281" s="594"/>
      <c r="K281" s="595"/>
      <c r="L281" s="596"/>
      <c r="M281" s="597"/>
      <c r="N281" s="592"/>
      <c r="O281" s="310"/>
      <c r="P281" s="592"/>
      <c r="Q281" s="592"/>
      <c r="R281" s="310"/>
      <c r="S281" s="310"/>
      <c r="T281" s="598"/>
      <c r="U281" s="452"/>
      <c r="V281" s="310"/>
      <c r="W281" s="310"/>
      <c r="X281" s="310"/>
      <c r="Y281" s="310"/>
      <c r="Z281" s="310"/>
      <c r="AA281" s="310"/>
      <c r="AB281" s="310"/>
      <c r="AC281" s="310"/>
      <c r="AD281" s="310"/>
      <c r="AE281" s="310"/>
      <c r="AF281" s="310"/>
      <c r="AG281" s="310"/>
      <c r="AH281" s="310"/>
      <c r="AI281" s="310"/>
      <c r="AJ281" s="310"/>
      <c r="AK281" s="310"/>
      <c r="AL281" s="310"/>
      <c r="AM281" s="310"/>
      <c r="AN281" s="310"/>
      <c r="AO281" s="310"/>
      <c r="AP281" s="310"/>
      <c r="AQ281" s="310"/>
      <c r="AR281" s="310"/>
      <c r="AS281" s="310"/>
      <c r="AT281" s="310"/>
      <c r="AU281" s="310"/>
      <c r="AV281" s="310"/>
      <c r="AW281" s="3"/>
    </row>
    <row r="282">
      <c r="A282" s="310"/>
      <c r="B282" s="310"/>
      <c r="C282" s="310"/>
      <c r="D282" s="310"/>
      <c r="E282" s="310"/>
      <c r="F282" s="310"/>
      <c r="G282" s="310"/>
      <c r="H282" s="592"/>
      <c r="I282" s="593"/>
      <c r="J282" s="594"/>
      <c r="K282" s="595"/>
      <c r="L282" s="596"/>
      <c r="M282" s="597"/>
      <c r="N282" s="592"/>
      <c r="O282" s="310"/>
      <c r="P282" s="592"/>
      <c r="Q282" s="592"/>
      <c r="R282" s="310"/>
      <c r="S282" s="310"/>
      <c r="T282" s="598"/>
      <c r="U282" s="452"/>
      <c r="V282" s="310"/>
      <c r="W282" s="310"/>
      <c r="X282" s="310"/>
      <c r="Y282" s="310"/>
      <c r="Z282" s="310"/>
      <c r="AA282" s="310"/>
      <c r="AB282" s="310"/>
      <c r="AC282" s="310"/>
      <c r="AD282" s="310"/>
      <c r="AE282" s="310"/>
      <c r="AF282" s="310"/>
      <c r="AG282" s="310"/>
      <c r="AH282" s="310"/>
      <c r="AI282" s="310"/>
      <c r="AJ282" s="310"/>
      <c r="AK282" s="310"/>
      <c r="AL282" s="310"/>
      <c r="AM282" s="310"/>
      <c r="AN282" s="310"/>
      <c r="AO282" s="310"/>
      <c r="AP282" s="310"/>
      <c r="AQ282" s="310"/>
      <c r="AR282" s="310"/>
      <c r="AS282" s="310"/>
      <c r="AT282" s="310"/>
      <c r="AU282" s="310"/>
      <c r="AV282" s="310"/>
      <c r="AW282" s="3"/>
    </row>
    <row r="283">
      <c r="A283" s="310"/>
      <c r="B283" s="310"/>
      <c r="C283" s="310"/>
      <c r="D283" s="310"/>
      <c r="E283" s="310"/>
      <c r="F283" s="310"/>
      <c r="G283" s="310"/>
      <c r="H283" s="592"/>
      <c r="I283" s="593"/>
      <c r="J283" s="594"/>
      <c r="K283" s="595"/>
      <c r="L283" s="596"/>
      <c r="M283" s="597"/>
      <c r="N283" s="592"/>
      <c r="O283" s="310"/>
      <c r="P283" s="592"/>
      <c r="Q283" s="592"/>
      <c r="R283" s="310"/>
      <c r="S283" s="310"/>
      <c r="T283" s="598"/>
      <c r="U283" s="452"/>
      <c r="V283" s="310"/>
      <c r="W283" s="310"/>
      <c r="X283" s="310"/>
      <c r="Y283" s="310"/>
      <c r="Z283" s="310"/>
      <c r="AA283" s="310"/>
      <c r="AB283" s="310"/>
      <c r="AC283" s="310"/>
      <c r="AD283" s="310"/>
      <c r="AE283" s="310"/>
      <c r="AF283" s="310"/>
      <c r="AG283" s="310"/>
      <c r="AH283" s="310"/>
      <c r="AI283" s="310"/>
      <c r="AJ283" s="310"/>
      <c r="AK283" s="310"/>
      <c r="AL283" s="310"/>
      <c r="AM283" s="310"/>
      <c r="AN283" s="310"/>
      <c r="AO283" s="310"/>
      <c r="AP283" s="310"/>
      <c r="AQ283" s="310"/>
      <c r="AR283" s="310"/>
      <c r="AS283" s="310"/>
      <c r="AT283" s="310"/>
      <c r="AU283" s="310"/>
      <c r="AV283" s="310"/>
      <c r="AW283" s="3"/>
    </row>
    <row r="284">
      <c r="A284" s="310"/>
      <c r="B284" s="310"/>
      <c r="C284" s="310"/>
      <c r="D284" s="310"/>
      <c r="E284" s="310"/>
      <c r="F284" s="310"/>
      <c r="G284" s="310"/>
      <c r="H284" s="592"/>
      <c r="I284" s="593"/>
      <c r="J284" s="594"/>
      <c r="K284" s="595"/>
      <c r="L284" s="596"/>
      <c r="M284" s="597"/>
      <c r="N284" s="592"/>
      <c r="O284" s="310"/>
      <c r="P284" s="592"/>
      <c r="Q284" s="592"/>
      <c r="R284" s="310"/>
      <c r="S284" s="310"/>
      <c r="T284" s="598"/>
      <c r="U284" s="452"/>
      <c r="V284" s="310"/>
      <c r="W284" s="310"/>
      <c r="X284" s="310"/>
      <c r="Y284" s="310"/>
      <c r="Z284" s="310"/>
      <c r="AA284" s="310"/>
      <c r="AB284" s="310"/>
      <c r="AC284" s="310"/>
      <c r="AD284" s="310"/>
      <c r="AE284" s="310"/>
      <c r="AF284" s="310"/>
      <c r="AG284" s="310"/>
      <c r="AH284" s="310"/>
      <c r="AI284" s="310"/>
      <c r="AJ284" s="310"/>
      <c r="AK284" s="310"/>
      <c r="AL284" s="310"/>
      <c r="AM284" s="310"/>
      <c r="AN284" s="310"/>
      <c r="AO284" s="310"/>
      <c r="AP284" s="310"/>
      <c r="AQ284" s="310"/>
      <c r="AR284" s="310"/>
      <c r="AS284" s="310"/>
      <c r="AT284" s="310"/>
      <c r="AU284" s="310"/>
      <c r="AV284" s="310"/>
      <c r="AW284" s="3"/>
    </row>
    <row r="285">
      <c r="A285" s="310"/>
      <c r="B285" s="310"/>
      <c r="C285" s="310"/>
      <c r="D285" s="310"/>
      <c r="E285" s="310"/>
      <c r="F285" s="310"/>
      <c r="G285" s="310"/>
      <c r="H285" s="592"/>
      <c r="I285" s="593"/>
      <c r="J285" s="594"/>
      <c r="K285" s="595"/>
      <c r="L285" s="596"/>
      <c r="M285" s="597"/>
      <c r="N285" s="592"/>
      <c r="O285" s="310"/>
      <c r="P285" s="592"/>
      <c r="Q285" s="592"/>
      <c r="R285" s="310"/>
      <c r="S285" s="310"/>
      <c r="T285" s="598"/>
      <c r="U285" s="452"/>
      <c r="V285" s="310"/>
      <c r="W285" s="310"/>
      <c r="X285" s="310"/>
      <c r="Y285" s="310"/>
      <c r="Z285" s="310"/>
      <c r="AA285" s="310"/>
      <c r="AB285" s="310"/>
      <c r="AC285" s="310"/>
      <c r="AD285" s="310"/>
      <c r="AE285" s="310"/>
      <c r="AF285" s="310"/>
      <c r="AG285" s="310"/>
      <c r="AH285" s="310"/>
      <c r="AI285" s="310"/>
      <c r="AJ285" s="310"/>
      <c r="AK285" s="310"/>
      <c r="AL285" s="310"/>
      <c r="AM285" s="310"/>
      <c r="AN285" s="310"/>
      <c r="AO285" s="310"/>
      <c r="AP285" s="310"/>
      <c r="AQ285" s="310"/>
      <c r="AR285" s="310"/>
      <c r="AS285" s="310"/>
      <c r="AT285" s="310"/>
      <c r="AU285" s="310"/>
      <c r="AV285" s="310"/>
      <c r="AW285" s="3"/>
    </row>
    <row r="286">
      <c r="A286" s="310"/>
      <c r="B286" s="310"/>
      <c r="C286" s="310"/>
      <c r="D286" s="310"/>
      <c r="E286" s="310"/>
      <c r="F286" s="310"/>
      <c r="G286" s="310"/>
      <c r="H286" s="592"/>
      <c r="I286" s="593"/>
      <c r="J286" s="594"/>
      <c r="K286" s="595"/>
      <c r="L286" s="596"/>
      <c r="M286" s="597"/>
      <c r="N286" s="592"/>
      <c r="O286" s="310"/>
      <c r="P286" s="592"/>
      <c r="Q286" s="592"/>
      <c r="R286" s="310"/>
      <c r="S286" s="310"/>
      <c r="T286" s="598"/>
      <c r="U286" s="452"/>
      <c r="V286" s="310"/>
      <c r="W286" s="310"/>
      <c r="X286" s="310"/>
      <c r="Y286" s="310"/>
      <c r="Z286" s="310"/>
      <c r="AA286" s="310"/>
      <c r="AB286" s="310"/>
      <c r="AC286" s="310"/>
      <c r="AD286" s="310"/>
      <c r="AE286" s="310"/>
      <c r="AF286" s="310"/>
      <c r="AG286" s="310"/>
      <c r="AH286" s="310"/>
      <c r="AI286" s="310"/>
      <c r="AJ286" s="310"/>
      <c r="AK286" s="310"/>
      <c r="AL286" s="310"/>
      <c r="AM286" s="310"/>
      <c r="AN286" s="310"/>
      <c r="AO286" s="310"/>
      <c r="AP286" s="310"/>
      <c r="AQ286" s="310"/>
      <c r="AR286" s="310"/>
      <c r="AS286" s="310"/>
      <c r="AT286" s="310"/>
      <c r="AU286" s="310"/>
      <c r="AV286" s="310"/>
      <c r="AW286" s="3"/>
    </row>
    <row r="287">
      <c r="A287" s="310"/>
      <c r="B287" s="310"/>
      <c r="C287" s="310"/>
      <c r="D287" s="310"/>
      <c r="E287" s="310"/>
      <c r="F287" s="310"/>
      <c r="G287" s="310"/>
      <c r="H287" s="592"/>
      <c r="I287" s="593"/>
      <c r="J287" s="594"/>
      <c r="K287" s="595"/>
      <c r="L287" s="596"/>
      <c r="M287" s="597"/>
      <c r="N287" s="592"/>
      <c r="O287" s="310"/>
      <c r="P287" s="592"/>
      <c r="Q287" s="592"/>
      <c r="R287" s="310"/>
      <c r="S287" s="310"/>
      <c r="T287" s="598"/>
      <c r="U287" s="452"/>
      <c r="V287" s="310"/>
      <c r="W287" s="310"/>
      <c r="X287" s="310"/>
      <c r="Y287" s="310"/>
      <c r="Z287" s="310"/>
      <c r="AA287" s="310"/>
      <c r="AB287" s="310"/>
      <c r="AC287" s="310"/>
      <c r="AD287" s="310"/>
      <c r="AE287" s="310"/>
      <c r="AF287" s="310"/>
      <c r="AG287" s="310"/>
      <c r="AH287" s="310"/>
      <c r="AI287" s="310"/>
      <c r="AJ287" s="310"/>
      <c r="AK287" s="310"/>
      <c r="AL287" s="310"/>
      <c r="AM287" s="310"/>
      <c r="AN287" s="310"/>
      <c r="AO287" s="310"/>
      <c r="AP287" s="310"/>
      <c r="AQ287" s="310"/>
      <c r="AR287" s="310"/>
      <c r="AS287" s="310"/>
      <c r="AT287" s="310"/>
      <c r="AU287" s="310"/>
      <c r="AV287" s="310"/>
      <c r="AW287" s="3"/>
    </row>
    <row r="288">
      <c r="A288" s="310"/>
      <c r="B288" s="310"/>
      <c r="C288" s="310"/>
      <c r="D288" s="310"/>
      <c r="E288" s="310"/>
      <c r="F288" s="310"/>
      <c r="G288" s="310"/>
      <c r="H288" s="592"/>
      <c r="I288" s="593"/>
      <c r="J288" s="594"/>
      <c r="K288" s="595"/>
      <c r="L288" s="596"/>
      <c r="M288" s="597"/>
      <c r="N288" s="592"/>
      <c r="O288" s="310"/>
      <c r="P288" s="592"/>
      <c r="Q288" s="592"/>
      <c r="R288" s="310"/>
      <c r="S288" s="310"/>
      <c r="T288" s="598"/>
      <c r="U288" s="452"/>
      <c r="V288" s="310"/>
      <c r="W288" s="310"/>
      <c r="X288" s="310"/>
      <c r="Y288" s="310"/>
      <c r="Z288" s="310"/>
      <c r="AA288" s="310"/>
      <c r="AB288" s="310"/>
      <c r="AC288" s="310"/>
      <c r="AD288" s="310"/>
      <c r="AE288" s="310"/>
      <c r="AF288" s="310"/>
      <c r="AG288" s="310"/>
      <c r="AH288" s="310"/>
      <c r="AI288" s="310"/>
      <c r="AJ288" s="310"/>
      <c r="AK288" s="310"/>
      <c r="AL288" s="310"/>
      <c r="AM288" s="310"/>
      <c r="AN288" s="310"/>
      <c r="AO288" s="310"/>
      <c r="AP288" s="310"/>
      <c r="AQ288" s="310"/>
      <c r="AR288" s="310"/>
      <c r="AS288" s="310"/>
      <c r="AT288" s="310"/>
      <c r="AU288" s="310"/>
      <c r="AV288" s="310"/>
      <c r="AW288" s="3"/>
    </row>
    <row r="289">
      <c r="A289" s="310"/>
      <c r="B289" s="310"/>
      <c r="C289" s="310"/>
      <c r="D289" s="310"/>
      <c r="E289" s="310"/>
      <c r="F289" s="310"/>
      <c r="G289" s="310"/>
      <c r="H289" s="592"/>
      <c r="I289" s="593"/>
      <c r="J289" s="594"/>
      <c r="K289" s="595"/>
      <c r="L289" s="596"/>
      <c r="M289" s="597"/>
      <c r="N289" s="592"/>
      <c r="O289" s="310"/>
      <c r="P289" s="592"/>
      <c r="Q289" s="592"/>
      <c r="R289" s="310"/>
      <c r="S289" s="310"/>
      <c r="T289" s="598"/>
      <c r="U289" s="452"/>
      <c r="V289" s="310"/>
      <c r="W289" s="310"/>
      <c r="X289" s="310"/>
      <c r="Y289" s="310"/>
      <c r="Z289" s="310"/>
      <c r="AA289" s="310"/>
      <c r="AB289" s="310"/>
      <c r="AC289" s="310"/>
      <c r="AD289" s="310"/>
      <c r="AE289" s="310"/>
      <c r="AF289" s="310"/>
      <c r="AG289" s="310"/>
      <c r="AH289" s="310"/>
      <c r="AI289" s="310"/>
      <c r="AJ289" s="310"/>
      <c r="AK289" s="310"/>
      <c r="AL289" s="310"/>
      <c r="AM289" s="310"/>
      <c r="AN289" s="310"/>
      <c r="AO289" s="310"/>
      <c r="AP289" s="310"/>
      <c r="AQ289" s="310"/>
      <c r="AR289" s="310"/>
      <c r="AS289" s="310"/>
      <c r="AT289" s="310"/>
      <c r="AU289" s="310"/>
      <c r="AV289" s="310"/>
      <c r="AW289" s="3"/>
    </row>
    <row r="290">
      <c r="A290" s="310"/>
      <c r="B290" s="310"/>
      <c r="C290" s="310"/>
      <c r="D290" s="310"/>
      <c r="E290" s="310"/>
      <c r="F290" s="310"/>
      <c r="G290" s="310"/>
      <c r="H290" s="592"/>
      <c r="I290" s="593"/>
      <c r="J290" s="594"/>
      <c r="K290" s="595"/>
      <c r="L290" s="596"/>
      <c r="M290" s="597"/>
      <c r="N290" s="592"/>
      <c r="O290" s="310"/>
      <c r="P290" s="592"/>
      <c r="Q290" s="592"/>
      <c r="R290" s="310"/>
      <c r="S290" s="310"/>
      <c r="T290" s="598"/>
      <c r="U290" s="452"/>
      <c r="V290" s="310"/>
      <c r="W290" s="310"/>
      <c r="X290" s="310"/>
      <c r="Y290" s="310"/>
      <c r="Z290" s="310"/>
      <c r="AA290" s="310"/>
      <c r="AB290" s="310"/>
      <c r="AC290" s="310"/>
      <c r="AD290" s="310"/>
      <c r="AE290" s="310"/>
      <c r="AF290" s="310"/>
      <c r="AG290" s="310"/>
      <c r="AH290" s="310"/>
      <c r="AI290" s="310"/>
      <c r="AJ290" s="310"/>
      <c r="AK290" s="310"/>
      <c r="AL290" s="310"/>
      <c r="AM290" s="310"/>
      <c r="AN290" s="310"/>
      <c r="AO290" s="310"/>
      <c r="AP290" s="310"/>
      <c r="AQ290" s="310"/>
      <c r="AR290" s="310"/>
      <c r="AS290" s="310"/>
      <c r="AT290" s="310"/>
      <c r="AU290" s="310"/>
      <c r="AV290" s="310"/>
      <c r="AW290" s="3"/>
    </row>
    <row r="291">
      <c r="A291" s="310"/>
      <c r="B291" s="310"/>
      <c r="C291" s="310"/>
      <c r="D291" s="310"/>
      <c r="E291" s="310"/>
      <c r="F291" s="310"/>
      <c r="G291" s="310"/>
      <c r="H291" s="592"/>
      <c r="I291" s="593"/>
      <c r="J291" s="594"/>
      <c r="K291" s="595"/>
      <c r="L291" s="596"/>
      <c r="M291" s="597"/>
      <c r="N291" s="592"/>
      <c r="O291" s="310"/>
      <c r="P291" s="592"/>
      <c r="Q291" s="592"/>
      <c r="R291" s="310"/>
      <c r="S291" s="310"/>
      <c r="T291" s="598"/>
      <c r="U291" s="452"/>
      <c r="V291" s="310"/>
      <c r="W291" s="310"/>
      <c r="X291" s="310"/>
      <c r="Y291" s="310"/>
      <c r="Z291" s="310"/>
      <c r="AA291" s="310"/>
      <c r="AB291" s="310"/>
      <c r="AC291" s="310"/>
      <c r="AD291" s="310"/>
      <c r="AE291" s="310"/>
      <c r="AF291" s="310"/>
      <c r="AG291" s="310"/>
      <c r="AH291" s="310"/>
      <c r="AI291" s="310"/>
      <c r="AJ291" s="310"/>
      <c r="AK291" s="310"/>
      <c r="AL291" s="310"/>
      <c r="AM291" s="310"/>
      <c r="AN291" s="310"/>
      <c r="AO291" s="310"/>
      <c r="AP291" s="310"/>
      <c r="AQ291" s="310"/>
      <c r="AR291" s="310"/>
      <c r="AS291" s="310"/>
      <c r="AT291" s="310"/>
      <c r="AU291" s="310"/>
      <c r="AV291" s="310"/>
      <c r="AW291" s="3"/>
    </row>
    <row r="292">
      <c r="A292" s="310"/>
      <c r="B292" s="310"/>
      <c r="C292" s="310"/>
      <c r="D292" s="310"/>
      <c r="E292" s="310"/>
      <c r="F292" s="310"/>
      <c r="G292" s="310"/>
      <c r="H292" s="592"/>
      <c r="I292" s="593"/>
      <c r="J292" s="594"/>
      <c r="K292" s="595"/>
      <c r="L292" s="596"/>
      <c r="M292" s="597"/>
      <c r="N292" s="592"/>
      <c r="O292" s="310"/>
      <c r="P292" s="592"/>
      <c r="Q292" s="592"/>
      <c r="R292" s="310"/>
      <c r="S292" s="310"/>
      <c r="T292" s="598"/>
      <c r="U292" s="452"/>
      <c r="V292" s="310"/>
      <c r="W292" s="310"/>
      <c r="X292" s="310"/>
      <c r="Y292" s="310"/>
      <c r="Z292" s="310"/>
      <c r="AA292" s="310"/>
      <c r="AB292" s="310"/>
      <c r="AC292" s="310"/>
      <c r="AD292" s="310"/>
      <c r="AE292" s="310"/>
      <c r="AF292" s="310"/>
      <c r="AG292" s="310"/>
      <c r="AH292" s="310"/>
      <c r="AI292" s="310"/>
      <c r="AJ292" s="310"/>
      <c r="AK292" s="310"/>
      <c r="AL292" s="310"/>
      <c r="AM292" s="310"/>
      <c r="AN292" s="310"/>
      <c r="AO292" s="310"/>
      <c r="AP292" s="310"/>
      <c r="AQ292" s="310"/>
      <c r="AR292" s="310"/>
      <c r="AS292" s="310"/>
      <c r="AT292" s="310"/>
      <c r="AU292" s="310"/>
      <c r="AV292" s="310"/>
      <c r="AW292" s="3"/>
    </row>
    <row r="293">
      <c r="A293" s="310"/>
      <c r="B293" s="310"/>
      <c r="C293" s="310"/>
      <c r="D293" s="310"/>
      <c r="E293" s="310"/>
      <c r="F293" s="310"/>
      <c r="G293" s="310"/>
      <c r="H293" s="592"/>
      <c r="I293" s="593"/>
      <c r="J293" s="594"/>
      <c r="K293" s="595"/>
      <c r="L293" s="596"/>
      <c r="M293" s="597"/>
      <c r="N293" s="592"/>
      <c r="O293" s="310"/>
      <c r="P293" s="592"/>
      <c r="Q293" s="592"/>
      <c r="R293" s="310"/>
      <c r="S293" s="310"/>
      <c r="T293" s="598"/>
      <c r="U293" s="452"/>
      <c r="V293" s="310"/>
      <c r="W293" s="310"/>
      <c r="X293" s="310"/>
      <c r="Y293" s="310"/>
      <c r="Z293" s="310"/>
      <c r="AA293" s="310"/>
      <c r="AB293" s="310"/>
      <c r="AC293" s="310"/>
      <c r="AD293" s="310"/>
      <c r="AE293" s="310"/>
      <c r="AF293" s="310"/>
      <c r="AG293" s="310"/>
      <c r="AH293" s="310"/>
      <c r="AI293" s="310"/>
      <c r="AJ293" s="310"/>
      <c r="AK293" s="310"/>
      <c r="AL293" s="310"/>
      <c r="AM293" s="310"/>
      <c r="AN293" s="310"/>
      <c r="AO293" s="310"/>
      <c r="AP293" s="310"/>
      <c r="AQ293" s="310"/>
      <c r="AR293" s="310"/>
      <c r="AS293" s="310"/>
      <c r="AT293" s="310"/>
      <c r="AU293" s="310"/>
      <c r="AV293" s="310"/>
      <c r="AW293" s="3"/>
    </row>
    <row r="294">
      <c r="A294" s="310"/>
      <c r="B294" s="310"/>
      <c r="C294" s="310"/>
      <c r="D294" s="310"/>
      <c r="E294" s="310"/>
      <c r="F294" s="310"/>
      <c r="G294" s="310"/>
      <c r="H294" s="592"/>
      <c r="I294" s="593"/>
      <c r="J294" s="594"/>
      <c r="K294" s="595"/>
      <c r="L294" s="596"/>
      <c r="M294" s="597"/>
      <c r="N294" s="592"/>
      <c r="O294" s="310"/>
      <c r="P294" s="592"/>
      <c r="Q294" s="592"/>
      <c r="R294" s="310"/>
      <c r="S294" s="310"/>
      <c r="T294" s="598"/>
      <c r="U294" s="452"/>
      <c r="V294" s="310"/>
      <c r="W294" s="310"/>
      <c r="X294" s="310"/>
      <c r="Y294" s="310"/>
      <c r="Z294" s="310"/>
      <c r="AA294" s="310"/>
      <c r="AB294" s="310"/>
      <c r="AC294" s="310"/>
      <c r="AD294" s="310"/>
      <c r="AE294" s="310"/>
      <c r="AF294" s="310"/>
      <c r="AG294" s="310"/>
      <c r="AH294" s="310"/>
      <c r="AI294" s="310"/>
      <c r="AJ294" s="310"/>
      <c r="AK294" s="310"/>
      <c r="AL294" s="310"/>
      <c r="AM294" s="310"/>
      <c r="AN294" s="310"/>
      <c r="AO294" s="310"/>
      <c r="AP294" s="310"/>
      <c r="AQ294" s="310"/>
      <c r="AR294" s="310"/>
      <c r="AS294" s="310"/>
      <c r="AT294" s="310"/>
      <c r="AU294" s="310"/>
      <c r="AV294" s="310"/>
      <c r="AW294" s="3"/>
    </row>
    <row r="295">
      <c r="A295" s="310"/>
      <c r="B295" s="310"/>
      <c r="C295" s="310"/>
      <c r="D295" s="310"/>
      <c r="E295" s="310"/>
      <c r="F295" s="310"/>
      <c r="G295" s="310"/>
      <c r="H295" s="592"/>
      <c r="I295" s="593"/>
      <c r="J295" s="594"/>
      <c r="K295" s="595"/>
      <c r="L295" s="596"/>
      <c r="M295" s="597"/>
      <c r="N295" s="592"/>
      <c r="O295" s="310"/>
      <c r="P295" s="592"/>
      <c r="Q295" s="592"/>
      <c r="R295" s="310"/>
      <c r="S295" s="310"/>
      <c r="T295" s="598"/>
      <c r="U295" s="452"/>
      <c r="V295" s="310"/>
      <c r="W295" s="310"/>
      <c r="X295" s="310"/>
      <c r="Y295" s="310"/>
      <c r="Z295" s="310"/>
      <c r="AA295" s="310"/>
      <c r="AB295" s="310"/>
      <c r="AC295" s="310"/>
      <c r="AD295" s="310"/>
      <c r="AE295" s="310"/>
      <c r="AF295" s="310"/>
      <c r="AG295" s="310"/>
      <c r="AH295" s="310"/>
      <c r="AI295" s="310"/>
      <c r="AJ295" s="310"/>
      <c r="AK295" s="310"/>
      <c r="AL295" s="310"/>
      <c r="AM295" s="310"/>
      <c r="AN295" s="310"/>
      <c r="AO295" s="310"/>
      <c r="AP295" s="310"/>
      <c r="AQ295" s="310"/>
      <c r="AR295" s="310"/>
      <c r="AS295" s="310"/>
      <c r="AT295" s="310"/>
      <c r="AU295" s="310"/>
      <c r="AV295" s="310"/>
      <c r="AW295" s="3"/>
    </row>
    <row r="296">
      <c r="A296" s="310"/>
      <c r="B296" s="310"/>
      <c r="C296" s="310"/>
      <c r="D296" s="310"/>
      <c r="E296" s="310"/>
      <c r="F296" s="310"/>
      <c r="G296" s="310"/>
      <c r="H296" s="592"/>
      <c r="I296" s="593"/>
      <c r="J296" s="594"/>
      <c r="K296" s="595"/>
      <c r="L296" s="596"/>
      <c r="M296" s="597"/>
      <c r="N296" s="592"/>
      <c r="O296" s="310"/>
      <c r="P296" s="592"/>
      <c r="Q296" s="592"/>
      <c r="R296" s="310"/>
      <c r="S296" s="310"/>
      <c r="T296" s="598"/>
      <c r="U296" s="452"/>
      <c r="V296" s="310"/>
      <c r="W296" s="310"/>
      <c r="X296" s="310"/>
      <c r="Y296" s="310"/>
      <c r="Z296" s="310"/>
      <c r="AA296" s="310"/>
      <c r="AB296" s="310"/>
      <c r="AC296" s="310"/>
      <c r="AD296" s="310"/>
      <c r="AE296" s="310"/>
      <c r="AF296" s="310"/>
      <c r="AG296" s="310"/>
      <c r="AH296" s="310"/>
      <c r="AI296" s="310"/>
      <c r="AJ296" s="310"/>
      <c r="AK296" s="310"/>
      <c r="AL296" s="310"/>
      <c r="AM296" s="310"/>
      <c r="AN296" s="310"/>
      <c r="AO296" s="310"/>
      <c r="AP296" s="310"/>
      <c r="AQ296" s="310"/>
      <c r="AR296" s="310"/>
      <c r="AS296" s="310"/>
      <c r="AT296" s="310"/>
      <c r="AU296" s="310"/>
      <c r="AV296" s="310"/>
      <c r="AW296" s="3"/>
    </row>
    <row r="297">
      <c r="A297" s="310"/>
      <c r="B297" s="310"/>
      <c r="C297" s="310"/>
      <c r="D297" s="310"/>
      <c r="E297" s="310"/>
      <c r="F297" s="310"/>
      <c r="G297" s="310"/>
      <c r="H297" s="592"/>
      <c r="I297" s="593"/>
      <c r="J297" s="594"/>
      <c r="K297" s="595"/>
      <c r="L297" s="596"/>
      <c r="M297" s="597"/>
      <c r="N297" s="592"/>
      <c r="O297" s="310"/>
      <c r="P297" s="592"/>
      <c r="Q297" s="592"/>
      <c r="R297" s="310"/>
      <c r="S297" s="310"/>
      <c r="T297" s="598"/>
      <c r="U297" s="452"/>
      <c r="V297" s="310"/>
      <c r="W297" s="310"/>
      <c r="X297" s="310"/>
      <c r="Y297" s="310"/>
      <c r="Z297" s="310"/>
      <c r="AA297" s="310"/>
      <c r="AB297" s="310"/>
      <c r="AC297" s="310"/>
      <c r="AD297" s="310"/>
      <c r="AE297" s="310"/>
      <c r="AF297" s="310"/>
      <c r="AG297" s="310"/>
      <c r="AH297" s="310"/>
      <c r="AI297" s="310"/>
      <c r="AJ297" s="310"/>
      <c r="AK297" s="310"/>
      <c r="AL297" s="310"/>
      <c r="AM297" s="310"/>
      <c r="AN297" s="310"/>
      <c r="AO297" s="310"/>
      <c r="AP297" s="310"/>
      <c r="AQ297" s="310"/>
      <c r="AR297" s="310"/>
      <c r="AS297" s="310"/>
      <c r="AT297" s="310"/>
      <c r="AU297" s="310"/>
      <c r="AV297" s="310"/>
      <c r="AW297" s="3"/>
    </row>
    <row r="298">
      <c r="A298" s="310"/>
      <c r="B298" s="310"/>
      <c r="C298" s="310"/>
      <c r="D298" s="310"/>
      <c r="E298" s="310"/>
      <c r="F298" s="310"/>
      <c r="G298" s="310"/>
      <c r="H298" s="592"/>
      <c r="I298" s="593"/>
      <c r="J298" s="594"/>
      <c r="K298" s="595"/>
      <c r="L298" s="596"/>
      <c r="M298" s="597"/>
      <c r="N298" s="592"/>
      <c r="O298" s="310"/>
      <c r="P298" s="592"/>
      <c r="Q298" s="592"/>
      <c r="R298" s="310"/>
      <c r="S298" s="310"/>
      <c r="T298" s="598"/>
      <c r="U298" s="452"/>
      <c r="V298" s="310"/>
      <c r="W298" s="310"/>
      <c r="X298" s="310"/>
      <c r="Y298" s="310"/>
      <c r="Z298" s="310"/>
      <c r="AA298" s="310"/>
      <c r="AB298" s="310"/>
      <c r="AC298" s="310"/>
      <c r="AD298" s="310"/>
      <c r="AE298" s="310"/>
      <c r="AF298" s="310"/>
      <c r="AG298" s="310"/>
      <c r="AH298" s="310"/>
      <c r="AI298" s="310"/>
      <c r="AJ298" s="310"/>
      <c r="AK298" s="310"/>
      <c r="AL298" s="310"/>
      <c r="AM298" s="310"/>
      <c r="AN298" s="310"/>
      <c r="AO298" s="310"/>
      <c r="AP298" s="310"/>
      <c r="AQ298" s="310"/>
      <c r="AR298" s="310"/>
      <c r="AS298" s="310"/>
      <c r="AT298" s="310"/>
      <c r="AU298" s="310"/>
      <c r="AV298" s="310"/>
      <c r="AW298" s="3"/>
    </row>
    <row r="299">
      <c r="A299" s="310"/>
      <c r="B299" s="310"/>
      <c r="C299" s="310"/>
      <c r="D299" s="310"/>
      <c r="E299" s="310"/>
      <c r="F299" s="310"/>
      <c r="G299" s="310"/>
      <c r="H299" s="592"/>
      <c r="I299" s="593"/>
      <c r="J299" s="594"/>
      <c r="K299" s="595"/>
      <c r="L299" s="596"/>
      <c r="M299" s="597"/>
      <c r="N299" s="592"/>
      <c r="O299" s="310"/>
      <c r="P299" s="592"/>
      <c r="Q299" s="592"/>
      <c r="R299" s="310"/>
      <c r="S299" s="310"/>
      <c r="T299" s="598"/>
      <c r="U299" s="452"/>
      <c r="V299" s="310"/>
      <c r="W299" s="310"/>
      <c r="X299" s="310"/>
      <c r="Y299" s="310"/>
      <c r="Z299" s="310"/>
      <c r="AA299" s="310"/>
      <c r="AB299" s="310"/>
      <c r="AC299" s="310"/>
      <c r="AD299" s="310"/>
      <c r="AE299" s="310"/>
      <c r="AF299" s="310"/>
      <c r="AG299" s="310"/>
      <c r="AH299" s="310"/>
      <c r="AI299" s="310"/>
      <c r="AJ299" s="310"/>
      <c r="AK299" s="310"/>
      <c r="AL299" s="310"/>
      <c r="AM299" s="310"/>
      <c r="AN299" s="310"/>
      <c r="AO299" s="310"/>
      <c r="AP299" s="310"/>
      <c r="AQ299" s="310"/>
      <c r="AR299" s="310"/>
      <c r="AS299" s="310"/>
      <c r="AT299" s="310"/>
      <c r="AU299" s="310"/>
      <c r="AV299" s="310"/>
      <c r="AW299" s="3"/>
    </row>
    <row r="300">
      <c r="A300" s="310"/>
      <c r="B300" s="310"/>
      <c r="C300" s="310"/>
      <c r="D300" s="310"/>
      <c r="E300" s="310"/>
      <c r="F300" s="310"/>
      <c r="G300" s="310"/>
      <c r="H300" s="592"/>
      <c r="I300" s="593"/>
      <c r="J300" s="594"/>
      <c r="K300" s="595"/>
      <c r="L300" s="596"/>
      <c r="M300" s="597"/>
      <c r="N300" s="592"/>
      <c r="O300" s="310"/>
      <c r="P300" s="592"/>
      <c r="Q300" s="592"/>
      <c r="R300" s="310"/>
      <c r="S300" s="310"/>
      <c r="T300" s="598"/>
      <c r="U300" s="452"/>
      <c r="V300" s="310"/>
      <c r="W300" s="310"/>
      <c r="X300" s="310"/>
      <c r="Y300" s="310"/>
      <c r="Z300" s="310"/>
      <c r="AA300" s="310"/>
      <c r="AB300" s="310"/>
      <c r="AC300" s="310"/>
      <c r="AD300" s="310"/>
      <c r="AE300" s="310"/>
      <c r="AF300" s="310"/>
      <c r="AG300" s="310"/>
      <c r="AH300" s="310"/>
      <c r="AI300" s="310"/>
      <c r="AJ300" s="310"/>
      <c r="AK300" s="310"/>
      <c r="AL300" s="310"/>
      <c r="AM300" s="310"/>
      <c r="AN300" s="310"/>
      <c r="AO300" s="310"/>
      <c r="AP300" s="310"/>
      <c r="AQ300" s="310"/>
      <c r="AR300" s="310"/>
      <c r="AS300" s="310"/>
      <c r="AT300" s="310"/>
      <c r="AU300" s="310"/>
      <c r="AV300" s="310"/>
      <c r="AW300" s="3"/>
    </row>
    <row r="301">
      <c r="A301" s="310"/>
      <c r="B301" s="310"/>
      <c r="C301" s="310"/>
      <c r="D301" s="310"/>
      <c r="E301" s="310"/>
      <c r="F301" s="310"/>
      <c r="G301" s="310"/>
      <c r="H301" s="592"/>
      <c r="I301" s="593"/>
      <c r="J301" s="594"/>
      <c r="K301" s="595"/>
      <c r="L301" s="596"/>
      <c r="M301" s="597"/>
      <c r="N301" s="592"/>
      <c r="O301" s="310"/>
      <c r="P301" s="592"/>
      <c r="Q301" s="592"/>
      <c r="R301" s="310"/>
      <c r="S301" s="310"/>
      <c r="T301" s="598"/>
      <c r="U301" s="452"/>
      <c r="V301" s="310"/>
      <c r="W301" s="310"/>
      <c r="X301" s="310"/>
      <c r="Y301" s="310"/>
      <c r="Z301" s="310"/>
      <c r="AA301" s="310"/>
      <c r="AB301" s="310"/>
      <c r="AC301" s="310"/>
      <c r="AD301" s="310"/>
      <c r="AE301" s="310"/>
      <c r="AF301" s="310"/>
      <c r="AG301" s="310"/>
      <c r="AH301" s="310"/>
      <c r="AI301" s="310"/>
      <c r="AJ301" s="310"/>
      <c r="AK301" s="310"/>
      <c r="AL301" s="310"/>
      <c r="AM301" s="310"/>
      <c r="AN301" s="310"/>
      <c r="AO301" s="310"/>
      <c r="AP301" s="310"/>
      <c r="AQ301" s="310"/>
      <c r="AR301" s="310"/>
      <c r="AS301" s="310"/>
      <c r="AT301" s="310"/>
      <c r="AU301" s="310"/>
      <c r="AV301" s="310"/>
      <c r="AW301" s="3"/>
    </row>
    <row r="302">
      <c r="A302" s="310"/>
      <c r="B302" s="310"/>
      <c r="C302" s="310"/>
      <c r="D302" s="310"/>
      <c r="E302" s="310"/>
      <c r="F302" s="310"/>
      <c r="G302" s="310"/>
      <c r="H302" s="592"/>
      <c r="I302" s="593"/>
      <c r="J302" s="594"/>
      <c r="K302" s="595"/>
      <c r="L302" s="596"/>
      <c r="M302" s="597"/>
      <c r="N302" s="592"/>
      <c r="O302" s="310"/>
      <c r="P302" s="592"/>
      <c r="Q302" s="592"/>
      <c r="R302" s="310"/>
      <c r="S302" s="310"/>
      <c r="T302" s="598"/>
      <c r="U302" s="452"/>
      <c r="V302" s="310"/>
      <c r="W302" s="310"/>
      <c r="X302" s="310"/>
      <c r="Y302" s="310"/>
      <c r="Z302" s="310"/>
      <c r="AA302" s="310"/>
      <c r="AB302" s="310"/>
      <c r="AC302" s="310"/>
      <c r="AD302" s="310"/>
      <c r="AE302" s="310"/>
      <c r="AF302" s="310"/>
      <c r="AG302" s="310"/>
      <c r="AH302" s="310"/>
      <c r="AI302" s="310"/>
      <c r="AJ302" s="310"/>
      <c r="AK302" s="310"/>
      <c r="AL302" s="310"/>
      <c r="AM302" s="310"/>
      <c r="AN302" s="310"/>
      <c r="AO302" s="310"/>
      <c r="AP302" s="310"/>
      <c r="AQ302" s="310"/>
      <c r="AR302" s="310"/>
      <c r="AS302" s="310"/>
      <c r="AT302" s="310"/>
      <c r="AU302" s="310"/>
      <c r="AV302" s="310"/>
      <c r="AW302" s="3"/>
    </row>
    <row r="303">
      <c r="A303" s="310"/>
      <c r="B303" s="310"/>
      <c r="C303" s="310"/>
      <c r="D303" s="310"/>
      <c r="E303" s="310"/>
      <c r="F303" s="310"/>
      <c r="G303" s="310"/>
      <c r="H303" s="592"/>
      <c r="I303" s="593"/>
      <c r="J303" s="594"/>
      <c r="K303" s="595"/>
      <c r="L303" s="596"/>
      <c r="M303" s="597"/>
      <c r="N303" s="592"/>
      <c r="O303" s="310"/>
      <c r="P303" s="592"/>
      <c r="Q303" s="592"/>
      <c r="R303" s="310"/>
      <c r="S303" s="310"/>
      <c r="T303" s="598"/>
      <c r="U303" s="452"/>
      <c r="V303" s="310"/>
      <c r="W303" s="310"/>
      <c r="X303" s="310"/>
      <c r="Y303" s="310"/>
      <c r="Z303" s="310"/>
      <c r="AA303" s="310"/>
      <c r="AB303" s="310"/>
      <c r="AC303" s="310"/>
      <c r="AD303" s="310"/>
      <c r="AE303" s="310"/>
      <c r="AF303" s="310"/>
      <c r="AG303" s="310"/>
      <c r="AH303" s="310"/>
      <c r="AI303" s="310"/>
      <c r="AJ303" s="310"/>
      <c r="AK303" s="310"/>
      <c r="AL303" s="310"/>
      <c r="AM303" s="310"/>
      <c r="AN303" s="310"/>
      <c r="AO303" s="310"/>
      <c r="AP303" s="310"/>
      <c r="AQ303" s="310"/>
      <c r="AR303" s="310"/>
      <c r="AS303" s="310"/>
      <c r="AT303" s="310"/>
      <c r="AU303" s="310"/>
      <c r="AV303" s="310"/>
      <c r="AW303" s="3"/>
    </row>
    <row r="304">
      <c r="A304" s="310"/>
      <c r="B304" s="310"/>
      <c r="C304" s="310"/>
      <c r="D304" s="310"/>
      <c r="E304" s="310"/>
      <c r="F304" s="310"/>
      <c r="G304" s="310"/>
      <c r="H304" s="592"/>
      <c r="I304" s="593"/>
      <c r="J304" s="594"/>
      <c r="K304" s="595"/>
      <c r="L304" s="596"/>
      <c r="M304" s="597"/>
      <c r="N304" s="592"/>
      <c r="O304" s="310"/>
      <c r="P304" s="592"/>
      <c r="Q304" s="592"/>
      <c r="R304" s="310"/>
      <c r="S304" s="310"/>
      <c r="T304" s="598"/>
      <c r="U304" s="452"/>
      <c r="V304" s="310"/>
      <c r="W304" s="310"/>
      <c r="X304" s="310"/>
      <c r="Y304" s="310"/>
      <c r="Z304" s="310"/>
      <c r="AA304" s="310"/>
      <c r="AB304" s="310"/>
      <c r="AC304" s="310"/>
      <c r="AD304" s="310"/>
      <c r="AE304" s="310"/>
      <c r="AF304" s="310"/>
      <c r="AG304" s="310"/>
      <c r="AH304" s="310"/>
      <c r="AI304" s="310"/>
      <c r="AJ304" s="310"/>
      <c r="AK304" s="310"/>
      <c r="AL304" s="310"/>
      <c r="AM304" s="310"/>
      <c r="AN304" s="310"/>
      <c r="AO304" s="310"/>
      <c r="AP304" s="310"/>
      <c r="AQ304" s="310"/>
      <c r="AR304" s="310"/>
      <c r="AS304" s="310"/>
      <c r="AT304" s="310"/>
      <c r="AU304" s="310"/>
      <c r="AV304" s="310"/>
      <c r="AW304" s="3"/>
    </row>
    <row r="305">
      <c r="A305" s="3"/>
      <c r="B305" s="3"/>
      <c r="C305" s="3"/>
      <c r="D305" s="3"/>
      <c r="E305" s="187"/>
      <c r="F305" s="3"/>
      <c r="G305" s="3"/>
      <c r="H305" s="3"/>
      <c r="I305" s="3"/>
      <c r="J305" s="3"/>
      <c r="K305" s="221"/>
      <c r="L305" s="599"/>
      <c r="M305" s="221"/>
      <c r="N305" s="3"/>
      <c r="O305" s="3"/>
      <c r="P305" s="3"/>
      <c r="Q305" s="3"/>
      <c r="R305" s="3"/>
      <c r="S305" s="3"/>
      <c r="T305" s="22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</row>
    <row r="306">
      <c r="A306" s="3"/>
      <c r="B306" s="3"/>
      <c r="C306" s="3"/>
      <c r="D306" s="3"/>
      <c r="E306" s="187"/>
      <c r="F306" s="3"/>
      <c r="G306" s="3"/>
      <c r="H306" s="3"/>
      <c r="I306" s="3"/>
      <c r="J306" s="3"/>
      <c r="K306" s="221"/>
      <c r="L306" s="599"/>
      <c r="M306" s="221"/>
      <c r="N306" s="3"/>
      <c r="O306" s="3"/>
      <c r="P306" s="3"/>
      <c r="Q306" s="3"/>
      <c r="R306" s="3"/>
      <c r="S306" s="3"/>
      <c r="T306" s="22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</row>
    <row r="307">
      <c r="A307" s="3"/>
      <c r="B307" s="3"/>
      <c r="C307" s="3"/>
      <c r="D307" s="3"/>
      <c r="E307" s="187"/>
      <c r="F307" s="3"/>
      <c r="G307" s="3"/>
      <c r="H307" s="3"/>
      <c r="I307" s="3"/>
      <c r="J307" s="3"/>
      <c r="K307" s="221"/>
      <c r="L307" s="599"/>
      <c r="M307" s="221"/>
      <c r="N307" s="3"/>
      <c r="O307" s="3"/>
      <c r="P307" s="3"/>
      <c r="Q307" s="3"/>
      <c r="R307" s="3"/>
      <c r="S307" s="3"/>
      <c r="T307" s="22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</row>
    <row r="308">
      <c r="A308" s="3"/>
      <c r="B308" s="3"/>
      <c r="C308" s="3"/>
      <c r="D308" s="3"/>
      <c r="E308" s="187"/>
      <c r="F308" s="3"/>
      <c r="G308" s="3"/>
      <c r="H308" s="3"/>
      <c r="I308" s="3"/>
      <c r="J308" s="3"/>
      <c r="K308" s="221"/>
      <c r="L308" s="599"/>
      <c r="M308" s="221"/>
      <c r="N308" s="3"/>
      <c r="O308" s="3"/>
      <c r="P308" s="3"/>
      <c r="Q308" s="3"/>
      <c r="R308" s="3"/>
      <c r="S308" s="3"/>
      <c r="T308" s="22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</row>
    <row r="309">
      <c r="A309" s="3"/>
      <c r="B309" s="3"/>
      <c r="C309" s="3"/>
      <c r="D309" s="3"/>
      <c r="E309" s="187"/>
      <c r="F309" s="3"/>
      <c r="G309" s="3"/>
      <c r="H309" s="3"/>
      <c r="I309" s="3"/>
      <c r="J309" s="3"/>
      <c r="K309" s="221"/>
      <c r="L309" s="599"/>
      <c r="M309" s="221"/>
      <c r="N309" s="3"/>
      <c r="O309" s="3"/>
      <c r="P309" s="3"/>
      <c r="Q309" s="3"/>
      <c r="R309" s="3"/>
      <c r="S309" s="3"/>
      <c r="T309" s="22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</row>
    <row r="310">
      <c r="A310" s="3"/>
      <c r="B310" s="3"/>
      <c r="C310" s="3"/>
      <c r="D310" s="3"/>
      <c r="E310" s="187"/>
      <c r="F310" s="3"/>
      <c r="G310" s="3"/>
      <c r="H310" s="3"/>
      <c r="I310" s="3"/>
      <c r="J310" s="3"/>
      <c r="K310" s="221"/>
      <c r="L310" s="599"/>
      <c r="M310" s="221"/>
      <c r="N310" s="3"/>
      <c r="O310" s="3"/>
      <c r="P310" s="3"/>
      <c r="Q310" s="3"/>
      <c r="R310" s="3"/>
      <c r="S310" s="3"/>
      <c r="T310" s="22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</row>
    <row r="311">
      <c r="A311" s="3"/>
      <c r="B311" s="3"/>
      <c r="C311" s="3"/>
      <c r="D311" s="3"/>
      <c r="E311" s="187"/>
      <c r="F311" s="3"/>
      <c r="G311" s="3"/>
      <c r="H311" s="3"/>
      <c r="I311" s="3"/>
      <c r="J311" s="3"/>
      <c r="K311" s="221"/>
      <c r="L311" s="599"/>
      <c r="M311" s="221"/>
      <c r="N311" s="3"/>
      <c r="O311" s="3"/>
      <c r="P311" s="3"/>
      <c r="Q311" s="3"/>
      <c r="R311" s="3"/>
      <c r="S311" s="3"/>
      <c r="T311" s="22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</row>
    <row r="312">
      <c r="A312" s="3"/>
      <c r="B312" s="3"/>
      <c r="C312" s="3"/>
      <c r="D312" s="3"/>
      <c r="E312" s="187"/>
      <c r="F312" s="3"/>
      <c r="G312" s="3"/>
      <c r="H312" s="3"/>
      <c r="I312" s="3"/>
      <c r="J312" s="3"/>
      <c r="K312" s="221"/>
      <c r="L312" s="599"/>
      <c r="M312" s="221"/>
      <c r="N312" s="3"/>
      <c r="O312" s="3"/>
      <c r="P312" s="3"/>
      <c r="Q312" s="3"/>
      <c r="R312" s="3"/>
      <c r="S312" s="3"/>
      <c r="T312" s="22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</row>
    <row r="313">
      <c r="A313" s="3"/>
      <c r="B313" s="3"/>
      <c r="C313" s="3"/>
      <c r="D313" s="3"/>
      <c r="E313" s="187"/>
      <c r="F313" s="3"/>
      <c r="G313" s="3"/>
      <c r="H313" s="3"/>
      <c r="I313" s="3"/>
      <c r="J313" s="3"/>
      <c r="K313" s="221"/>
      <c r="L313" s="599"/>
      <c r="M313" s="221"/>
      <c r="N313" s="3"/>
      <c r="O313" s="3"/>
      <c r="P313" s="3"/>
      <c r="Q313" s="3"/>
      <c r="R313" s="3"/>
      <c r="S313" s="3"/>
      <c r="T313" s="22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</row>
    <row r="314">
      <c r="A314" s="3"/>
      <c r="B314" s="3"/>
      <c r="C314" s="3"/>
      <c r="D314" s="3"/>
      <c r="E314" s="187"/>
      <c r="F314" s="3"/>
      <c r="G314" s="3"/>
      <c r="H314" s="3"/>
      <c r="I314" s="3"/>
      <c r="J314" s="3"/>
      <c r="K314" s="221"/>
      <c r="L314" s="599"/>
      <c r="M314" s="221"/>
      <c r="N314" s="3"/>
      <c r="O314" s="3"/>
      <c r="P314" s="3"/>
      <c r="Q314" s="3"/>
      <c r="R314" s="3"/>
      <c r="S314" s="3"/>
      <c r="T314" s="22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</row>
    <row r="315">
      <c r="A315" s="3"/>
      <c r="B315" s="3"/>
      <c r="C315" s="3"/>
      <c r="D315" s="3"/>
      <c r="E315" s="187"/>
      <c r="F315" s="3"/>
      <c r="G315" s="3"/>
      <c r="H315" s="3"/>
      <c r="I315" s="3"/>
      <c r="J315" s="3"/>
      <c r="K315" s="221"/>
      <c r="L315" s="599"/>
      <c r="M315" s="221"/>
      <c r="N315" s="3"/>
      <c r="O315" s="3"/>
      <c r="P315" s="3"/>
      <c r="Q315" s="3"/>
      <c r="R315" s="3"/>
      <c r="S315" s="3"/>
      <c r="T315" s="22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</row>
    <row r="316">
      <c r="A316" s="3"/>
      <c r="B316" s="3"/>
      <c r="C316" s="3"/>
      <c r="D316" s="3"/>
      <c r="E316" s="187"/>
      <c r="F316" s="3"/>
      <c r="G316" s="3"/>
      <c r="H316" s="3"/>
      <c r="I316" s="3"/>
      <c r="J316" s="3"/>
      <c r="K316" s="221"/>
      <c r="L316" s="599"/>
      <c r="M316" s="221"/>
      <c r="N316" s="3"/>
      <c r="O316" s="3"/>
      <c r="P316" s="3"/>
      <c r="Q316" s="3"/>
      <c r="R316" s="3"/>
      <c r="S316" s="3"/>
      <c r="T316" s="22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</row>
    <row r="317">
      <c r="A317" s="3"/>
      <c r="B317" s="3"/>
      <c r="C317" s="3"/>
      <c r="D317" s="3"/>
      <c r="E317" s="187"/>
      <c r="F317" s="3"/>
      <c r="G317" s="3"/>
      <c r="H317" s="3"/>
      <c r="I317" s="3"/>
      <c r="J317" s="3"/>
      <c r="K317" s="221"/>
      <c r="L317" s="599"/>
      <c r="M317" s="221"/>
      <c r="N317" s="3"/>
      <c r="O317" s="3"/>
      <c r="P317" s="3"/>
      <c r="Q317" s="3"/>
      <c r="R317" s="3"/>
      <c r="S317" s="3"/>
      <c r="T317" s="22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</row>
    <row r="318">
      <c r="A318" s="3"/>
      <c r="B318" s="3"/>
      <c r="C318" s="3"/>
      <c r="D318" s="3"/>
      <c r="E318" s="187"/>
      <c r="F318" s="3"/>
      <c r="G318" s="3"/>
      <c r="H318" s="3"/>
      <c r="I318" s="3"/>
      <c r="J318" s="3"/>
      <c r="K318" s="221"/>
      <c r="L318" s="599"/>
      <c r="M318" s="221"/>
      <c r="N318" s="3"/>
      <c r="O318" s="3"/>
      <c r="P318" s="3"/>
      <c r="Q318" s="3"/>
      <c r="R318" s="3"/>
      <c r="S318" s="3"/>
      <c r="T318" s="22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</row>
    <row r="319">
      <c r="A319" s="3"/>
      <c r="B319" s="3"/>
      <c r="C319" s="3"/>
      <c r="D319" s="3"/>
      <c r="E319" s="187"/>
      <c r="F319" s="3"/>
      <c r="G319" s="3"/>
      <c r="H319" s="3"/>
      <c r="I319" s="3"/>
      <c r="J319" s="3"/>
      <c r="K319" s="221"/>
      <c r="L319" s="599"/>
      <c r="M319" s="221"/>
      <c r="N319" s="3"/>
      <c r="O319" s="3"/>
      <c r="P319" s="3"/>
      <c r="Q319" s="3"/>
      <c r="R319" s="3"/>
      <c r="S319" s="3"/>
      <c r="T319" s="22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</row>
    <row r="320">
      <c r="A320" s="3"/>
      <c r="B320" s="3"/>
      <c r="C320" s="3"/>
      <c r="D320" s="3"/>
      <c r="E320" s="187"/>
      <c r="F320" s="3"/>
      <c r="G320" s="3"/>
      <c r="H320" s="3"/>
      <c r="I320" s="3"/>
      <c r="J320" s="3"/>
      <c r="K320" s="221"/>
      <c r="L320" s="599"/>
      <c r="M320" s="221"/>
      <c r="N320" s="3"/>
      <c r="O320" s="3"/>
      <c r="P320" s="3"/>
      <c r="Q320" s="3"/>
      <c r="R320" s="3"/>
      <c r="S320" s="3"/>
      <c r="T320" s="22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</row>
    <row r="321">
      <c r="A321" s="3"/>
      <c r="B321" s="3"/>
      <c r="C321" s="3"/>
      <c r="D321" s="3"/>
      <c r="E321" s="187"/>
      <c r="F321" s="3"/>
      <c r="G321" s="3"/>
      <c r="H321" s="3"/>
      <c r="I321" s="3"/>
      <c r="J321" s="3"/>
      <c r="K321" s="221"/>
      <c r="L321" s="599"/>
      <c r="M321" s="221"/>
      <c r="N321" s="3"/>
      <c r="O321" s="3"/>
      <c r="P321" s="3"/>
      <c r="Q321" s="3"/>
      <c r="R321" s="3"/>
      <c r="S321" s="3"/>
      <c r="T321" s="22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</row>
    <row r="322">
      <c r="A322" s="3"/>
      <c r="B322" s="3"/>
      <c r="C322" s="3"/>
      <c r="D322" s="3"/>
      <c r="E322" s="187"/>
      <c r="F322" s="3"/>
      <c r="G322" s="3"/>
      <c r="H322" s="3"/>
      <c r="I322" s="3"/>
      <c r="J322" s="3"/>
      <c r="K322" s="221"/>
      <c r="L322" s="599"/>
      <c r="M322" s="221"/>
      <c r="N322" s="3"/>
      <c r="O322" s="3"/>
      <c r="P322" s="3"/>
      <c r="Q322" s="3"/>
      <c r="R322" s="3"/>
      <c r="S322" s="3"/>
      <c r="T322" s="22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</row>
    <row r="323">
      <c r="A323" s="3"/>
      <c r="B323" s="3"/>
      <c r="C323" s="3"/>
      <c r="D323" s="3"/>
      <c r="E323" s="187"/>
      <c r="F323" s="3"/>
      <c r="G323" s="3"/>
      <c r="H323" s="3"/>
      <c r="I323" s="3"/>
      <c r="J323" s="3"/>
      <c r="K323" s="221"/>
      <c r="L323" s="599"/>
      <c r="M323" s="221"/>
      <c r="N323" s="3"/>
      <c r="O323" s="3"/>
      <c r="P323" s="3"/>
      <c r="Q323" s="3"/>
      <c r="R323" s="3"/>
      <c r="S323" s="3"/>
      <c r="T323" s="22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</row>
    <row r="324">
      <c r="A324" s="3"/>
      <c r="B324" s="3"/>
      <c r="C324" s="3"/>
      <c r="D324" s="3"/>
      <c r="E324" s="187"/>
      <c r="F324" s="3"/>
      <c r="G324" s="3"/>
      <c r="H324" s="3"/>
      <c r="I324" s="3"/>
      <c r="J324" s="3"/>
      <c r="K324" s="221"/>
      <c r="L324" s="599"/>
      <c r="M324" s="221"/>
      <c r="N324" s="3"/>
      <c r="O324" s="3"/>
      <c r="P324" s="3"/>
      <c r="Q324" s="3"/>
      <c r="R324" s="3"/>
      <c r="S324" s="3"/>
      <c r="T324" s="22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</row>
    <row r="325">
      <c r="A325" s="3"/>
      <c r="B325" s="3"/>
      <c r="C325" s="3"/>
      <c r="D325" s="3"/>
      <c r="E325" s="187"/>
      <c r="F325" s="3"/>
      <c r="G325" s="3"/>
      <c r="H325" s="3"/>
      <c r="I325" s="3"/>
      <c r="J325" s="3"/>
      <c r="K325" s="221"/>
      <c r="L325" s="599"/>
      <c r="M325" s="221"/>
      <c r="N325" s="3"/>
      <c r="O325" s="3"/>
      <c r="P325" s="3"/>
      <c r="Q325" s="3"/>
      <c r="R325" s="3"/>
      <c r="S325" s="3"/>
      <c r="T325" s="22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</row>
    <row r="326">
      <c r="A326" s="3"/>
      <c r="B326" s="3"/>
      <c r="C326" s="3"/>
      <c r="D326" s="3"/>
      <c r="E326" s="187"/>
      <c r="F326" s="3"/>
      <c r="G326" s="3"/>
      <c r="H326" s="3"/>
      <c r="I326" s="3"/>
      <c r="J326" s="3"/>
      <c r="K326" s="221"/>
      <c r="L326" s="599"/>
      <c r="M326" s="221"/>
      <c r="N326" s="3"/>
      <c r="O326" s="3"/>
      <c r="P326" s="3"/>
      <c r="Q326" s="3"/>
      <c r="R326" s="3"/>
      <c r="S326" s="3"/>
      <c r="T326" s="22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</row>
    <row r="327">
      <c r="A327" s="3"/>
      <c r="B327" s="3"/>
      <c r="C327" s="3"/>
      <c r="D327" s="3"/>
      <c r="E327" s="187"/>
      <c r="F327" s="3"/>
      <c r="G327" s="3"/>
      <c r="H327" s="3"/>
      <c r="I327" s="3"/>
      <c r="J327" s="3"/>
      <c r="K327" s="221"/>
      <c r="L327" s="599"/>
      <c r="M327" s="221"/>
      <c r="N327" s="3"/>
      <c r="O327" s="3"/>
      <c r="P327" s="3"/>
      <c r="Q327" s="3"/>
      <c r="R327" s="3"/>
      <c r="S327" s="3"/>
      <c r="T327" s="22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</row>
    <row r="328">
      <c r="A328" s="3"/>
      <c r="B328" s="3"/>
      <c r="C328" s="3"/>
      <c r="D328" s="3"/>
      <c r="E328" s="187"/>
      <c r="F328" s="3"/>
      <c r="G328" s="3"/>
      <c r="H328" s="3"/>
      <c r="I328" s="3"/>
      <c r="J328" s="3"/>
      <c r="K328" s="221"/>
      <c r="L328" s="599"/>
      <c r="M328" s="221"/>
      <c r="N328" s="3"/>
      <c r="O328" s="3"/>
      <c r="P328" s="3"/>
      <c r="Q328" s="3"/>
      <c r="R328" s="3"/>
      <c r="S328" s="3"/>
      <c r="T328" s="22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</row>
    <row r="329">
      <c r="A329" s="3"/>
      <c r="B329" s="3"/>
      <c r="C329" s="3"/>
      <c r="D329" s="3"/>
      <c r="E329" s="187"/>
      <c r="F329" s="3"/>
      <c r="G329" s="3"/>
      <c r="H329" s="3"/>
      <c r="I329" s="3"/>
      <c r="J329" s="3"/>
      <c r="K329" s="221"/>
      <c r="L329" s="599"/>
      <c r="M329" s="221"/>
      <c r="N329" s="3"/>
      <c r="O329" s="3"/>
      <c r="P329" s="3"/>
      <c r="Q329" s="3"/>
      <c r="R329" s="3"/>
      <c r="S329" s="3"/>
      <c r="T329" s="22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</row>
    <row r="330">
      <c r="A330" s="3"/>
      <c r="B330" s="3"/>
      <c r="C330" s="3"/>
      <c r="D330" s="3"/>
      <c r="E330" s="187"/>
      <c r="F330" s="3"/>
      <c r="G330" s="3"/>
      <c r="H330" s="3"/>
      <c r="I330" s="3"/>
      <c r="J330" s="3"/>
      <c r="K330" s="221"/>
      <c r="L330" s="599"/>
      <c r="M330" s="221"/>
      <c r="N330" s="3"/>
      <c r="O330" s="3"/>
      <c r="P330" s="3"/>
      <c r="Q330" s="3"/>
      <c r="R330" s="3"/>
      <c r="S330" s="3"/>
      <c r="T330" s="22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</row>
    <row r="331">
      <c r="A331" s="3"/>
      <c r="B331" s="3"/>
      <c r="C331" s="3"/>
      <c r="D331" s="3"/>
      <c r="E331" s="187"/>
      <c r="F331" s="3"/>
      <c r="G331" s="3"/>
      <c r="H331" s="3"/>
      <c r="I331" s="3"/>
      <c r="J331" s="3"/>
      <c r="K331" s="221"/>
      <c r="L331" s="599"/>
      <c r="M331" s="221"/>
      <c r="N331" s="3"/>
      <c r="O331" s="3"/>
      <c r="P331" s="3"/>
      <c r="Q331" s="3"/>
      <c r="R331" s="3"/>
      <c r="S331" s="3"/>
      <c r="T331" s="22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</row>
    <row r="332">
      <c r="A332" s="3"/>
      <c r="B332" s="3"/>
      <c r="C332" s="3"/>
      <c r="D332" s="3"/>
      <c r="E332" s="187"/>
      <c r="F332" s="3"/>
      <c r="G332" s="3"/>
      <c r="H332" s="3"/>
      <c r="I332" s="3"/>
      <c r="J332" s="3"/>
      <c r="K332" s="221"/>
      <c r="L332" s="599"/>
      <c r="M332" s="221"/>
      <c r="N332" s="3"/>
      <c r="O332" s="3"/>
      <c r="P332" s="3"/>
      <c r="Q332" s="3"/>
      <c r="R332" s="3"/>
      <c r="S332" s="3"/>
      <c r="T332" s="22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</row>
    <row r="333">
      <c r="A333" s="3"/>
      <c r="B333" s="3"/>
      <c r="C333" s="3"/>
      <c r="D333" s="3"/>
      <c r="E333" s="187"/>
      <c r="F333" s="3"/>
      <c r="G333" s="3"/>
      <c r="H333" s="3"/>
      <c r="I333" s="3"/>
      <c r="J333" s="3"/>
      <c r="K333" s="221"/>
      <c r="L333" s="599"/>
      <c r="M333" s="221"/>
      <c r="N333" s="3"/>
      <c r="O333" s="3"/>
      <c r="P333" s="3"/>
      <c r="Q333" s="3"/>
      <c r="R333" s="3"/>
      <c r="S333" s="3"/>
      <c r="T333" s="22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</row>
    <row r="334">
      <c r="A334" s="3"/>
      <c r="B334" s="3"/>
      <c r="C334" s="3"/>
      <c r="D334" s="3"/>
      <c r="E334" s="187"/>
      <c r="F334" s="3"/>
      <c r="G334" s="3"/>
      <c r="H334" s="3"/>
      <c r="I334" s="3"/>
      <c r="J334" s="3"/>
      <c r="K334" s="221"/>
      <c r="L334" s="599"/>
      <c r="M334" s="221"/>
      <c r="N334" s="3"/>
      <c r="O334" s="3"/>
      <c r="P334" s="3"/>
      <c r="Q334" s="3"/>
      <c r="R334" s="3"/>
      <c r="S334" s="3"/>
      <c r="T334" s="22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</row>
    <row r="335">
      <c r="A335" s="3"/>
      <c r="B335" s="3"/>
      <c r="C335" s="3"/>
      <c r="D335" s="3"/>
      <c r="E335" s="187"/>
      <c r="F335" s="3"/>
      <c r="G335" s="3"/>
      <c r="H335" s="3"/>
      <c r="I335" s="3"/>
      <c r="J335" s="3"/>
      <c r="K335" s="221"/>
      <c r="L335" s="599"/>
      <c r="M335" s="221"/>
      <c r="N335" s="3"/>
      <c r="O335" s="3"/>
      <c r="P335" s="3"/>
      <c r="Q335" s="3"/>
      <c r="R335" s="3"/>
      <c r="S335" s="3"/>
      <c r="T335" s="22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</row>
    <row r="336">
      <c r="A336" s="3"/>
      <c r="B336" s="3"/>
      <c r="C336" s="3"/>
      <c r="D336" s="3"/>
      <c r="E336" s="187"/>
      <c r="F336" s="3"/>
      <c r="G336" s="3"/>
      <c r="H336" s="3"/>
      <c r="I336" s="3"/>
      <c r="J336" s="3"/>
      <c r="K336" s="221"/>
      <c r="L336" s="599"/>
      <c r="M336" s="221"/>
      <c r="N336" s="3"/>
      <c r="O336" s="3"/>
      <c r="P336" s="3"/>
      <c r="Q336" s="3"/>
      <c r="R336" s="3"/>
      <c r="S336" s="3"/>
      <c r="T336" s="22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</row>
    <row r="337">
      <c r="A337" s="3"/>
      <c r="B337" s="3"/>
      <c r="C337" s="3"/>
      <c r="D337" s="3"/>
      <c r="E337" s="187"/>
      <c r="F337" s="3"/>
      <c r="G337" s="3"/>
      <c r="H337" s="3"/>
      <c r="I337" s="3"/>
      <c r="J337" s="3"/>
      <c r="K337" s="221"/>
      <c r="L337" s="599"/>
      <c r="M337" s="221"/>
      <c r="N337" s="3"/>
      <c r="O337" s="3"/>
      <c r="P337" s="3"/>
      <c r="Q337" s="3"/>
      <c r="R337" s="3"/>
      <c r="S337" s="3"/>
      <c r="T337" s="22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</row>
    <row r="338">
      <c r="A338" s="3"/>
      <c r="B338" s="3"/>
      <c r="C338" s="3"/>
      <c r="D338" s="3"/>
      <c r="E338" s="187"/>
      <c r="F338" s="3"/>
      <c r="G338" s="3"/>
      <c r="H338" s="3"/>
      <c r="I338" s="3"/>
      <c r="J338" s="3"/>
      <c r="K338" s="221"/>
      <c r="L338" s="599"/>
      <c r="M338" s="221"/>
      <c r="N338" s="3"/>
      <c r="O338" s="3"/>
      <c r="P338" s="3"/>
      <c r="Q338" s="3"/>
      <c r="R338" s="3"/>
      <c r="S338" s="3"/>
      <c r="T338" s="22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</row>
    <row r="339">
      <c r="A339" s="3"/>
      <c r="B339" s="3"/>
      <c r="C339" s="3"/>
      <c r="D339" s="3"/>
      <c r="E339" s="187"/>
      <c r="F339" s="3"/>
      <c r="G339" s="3"/>
      <c r="H339" s="3"/>
      <c r="I339" s="3"/>
      <c r="J339" s="3"/>
      <c r="K339" s="221"/>
      <c r="L339" s="599"/>
      <c r="M339" s="221"/>
      <c r="N339" s="3"/>
      <c r="O339" s="3"/>
      <c r="P339" s="3"/>
      <c r="Q339" s="3"/>
      <c r="R339" s="3"/>
      <c r="S339" s="3"/>
      <c r="T339" s="22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</row>
    <row r="340">
      <c r="A340" s="3"/>
      <c r="B340" s="3"/>
      <c r="C340" s="3"/>
      <c r="D340" s="3"/>
      <c r="E340" s="187"/>
      <c r="F340" s="3"/>
      <c r="G340" s="3"/>
      <c r="H340" s="3"/>
      <c r="I340" s="3"/>
      <c r="J340" s="3"/>
      <c r="K340" s="221"/>
      <c r="L340" s="599"/>
      <c r="M340" s="221"/>
      <c r="N340" s="3"/>
      <c r="O340" s="3"/>
      <c r="P340" s="3"/>
      <c r="Q340" s="3"/>
      <c r="R340" s="3"/>
      <c r="S340" s="3"/>
      <c r="T340" s="22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</row>
    <row r="341">
      <c r="A341" s="3"/>
      <c r="B341" s="3"/>
      <c r="C341" s="3"/>
      <c r="D341" s="3"/>
      <c r="E341" s="187"/>
      <c r="F341" s="3"/>
      <c r="G341" s="3"/>
      <c r="H341" s="3"/>
      <c r="I341" s="3"/>
      <c r="J341" s="3"/>
      <c r="K341" s="221"/>
      <c r="L341" s="599"/>
      <c r="M341" s="221"/>
      <c r="N341" s="3"/>
      <c r="O341" s="3"/>
      <c r="P341" s="3"/>
      <c r="Q341" s="3"/>
      <c r="R341" s="3"/>
      <c r="S341" s="3"/>
      <c r="T341" s="22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</row>
    <row r="342">
      <c r="A342" s="3"/>
      <c r="B342" s="3"/>
      <c r="C342" s="3"/>
      <c r="D342" s="3"/>
      <c r="E342" s="187"/>
      <c r="F342" s="3"/>
      <c r="G342" s="3"/>
      <c r="H342" s="3"/>
      <c r="I342" s="3"/>
      <c r="J342" s="3"/>
      <c r="K342" s="221"/>
      <c r="L342" s="599"/>
      <c r="M342" s="221"/>
      <c r="N342" s="3"/>
      <c r="O342" s="3"/>
      <c r="P342" s="3"/>
      <c r="Q342" s="3"/>
      <c r="R342" s="3"/>
      <c r="S342" s="3"/>
      <c r="T342" s="22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</row>
    <row r="343">
      <c r="A343" s="3"/>
      <c r="B343" s="3"/>
      <c r="C343" s="3"/>
      <c r="D343" s="3"/>
      <c r="E343" s="187"/>
      <c r="F343" s="3"/>
      <c r="G343" s="3"/>
      <c r="H343" s="3"/>
      <c r="I343" s="3"/>
      <c r="J343" s="3"/>
      <c r="K343" s="221"/>
      <c r="L343" s="599"/>
      <c r="M343" s="221"/>
      <c r="N343" s="3"/>
      <c r="O343" s="3"/>
      <c r="P343" s="3"/>
      <c r="Q343" s="3"/>
      <c r="R343" s="3"/>
      <c r="S343" s="3"/>
      <c r="T343" s="22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</row>
    <row r="344">
      <c r="A344" s="3"/>
      <c r="B344" s="3"/>
      <c r="C344" s="3"/>
      <c r="D344" s="3"/>
      <c r="E344" s="187"/>
      <c r="F344" s="3"/>
      <c r="G344" s="3"/>
      <c r="H344" s="3"/>
      <c r="I344" s="3"/>
      <c r="J344" s="3"/>
      <c r="K344" s="221"/>
      <c r="L344" s="599"/>
      <c r="M344" s="221"/>
      <c r="N344" s="3"/>
      <c r="O344" s="3"/>
      <c r="P344" s="3"/>
      <c r="Q344" s="3"/>
      <c r="R344" s="3"/>
      <c r="S344" s="3"/>
      <c r="T344" s="22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</row>
    <row r="345">
      <c r="A345" s="3"/>
      <c r="B345" s="3"/>
      <c r="C345" s="3"/>
      <c r="D345" s="3"/>
      <c r="E345" s="187"/>
      <c r="F345" s="3"/>
      <c r="G345" s="3"/>
      <c r="H345" s="3"/>
      <c r="I345" s="3"/>
      <c r="J345" s="3"/>
      <c r="K345" s="221"/>
      <c r="L345" s="599"/>
      <c r="M345" s="221"/>
      <c r="N345" s="3"/>
      <c r="O345" s="3"/>
      <c r="P345" s="3"/>
      <c r="Q345" s="3"/>
      <c r="R345" s="3"/>
      <c r="S345" s="3"/>
      <c r="T345" s="22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</row>
    <row r="346">
      <c r="A346" s="3"/>
      <c r="B346" s="3"/>
      <c r="C346" s="3"/>
      <c r="D346" s="3"/>
      <c r="E346" s="187"/>
      <c r="F346" s="3"/>
      <c r="G346" s="3"/>
      <c r="H346" s="3"/>
      <c r="I346" s="3"/>
      <c r="J346" s="3"/>
      <c r="K346" s="221"/>
      <c r="L346" s="599"/>
      <c r="M346" s="221"/>
      <c r="N346" s="3"/>
      <c r="O346" s="3"/>
      <c r="P346" s="3"/>
      <c r="Q346" s="3"/>
      <c r="R346" s="3"/>
      <c r="S346" s="3"/>
      <c r="T346" s="22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</row>
    <row r="347">
      <c r="A347" s="3"/>
      <c r="B347" s="3"/>
      <c r="C347" s="3"/>
      <c r="D347" s="3"/>
      <c r="E347" s="187"/>
      <c r="F347" s="3"/>
      <c r="G347" s="3"/>
      <c r="H347" s="3"/>
      <c r="I347" s="3"/>
      <c r="J347" s="3"/>
      <c r="K347" s="221"/>
      <c r="L347" s="599"/>
      <c r="M347" s="221"/>
      <c r="N347" s="3"/>
      <c r="O347" s="3"/>
      <c r="P347" s="3"/>
      <c r="Q347" s="3"/>
      <c r="R347" s="3"/>
      <c r="S347" s="3"/>
      <c r="T347" s="22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</row>
    <row r="348">
      <c r="A348" s="3"/>
      <c r="B348" s="3"/>
      <c r="C348" s="3"/>
      <c r="D348" s="3"/>
      <c r="E348" s="187"/>
      <c r="F348" s="3"/>
      <c r="G348" s="3"/>
      <c r="H348" s="3"/>
      <c r="I348" s="3"/>
      <c r="J348" s="3"/>
      <c r="K348" s="221"/>
      <c r="L348" s="599"/>
      <c r="M348" s="221"/>
      <c r="N348" s="3"/>
      <c r="O348" s="3"/>
      <c r="P348" s="3"/>
      <c r="Q348" s="3"/>
      <c r="R348" s="3"/>
      <c r="S348" s="3"/>
      <c r="T348" s="22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</row>
    <row r="349">
      <c r="A349" s="3"/>
      <c r="B349" s="3"/>
      <c r="C349" s="3"/>
      <c r="D349" s="3"/>
      <c r="E349" s="187"/>
      <c r="F349" s="3"/>
      <c r="G349" s="3"/>
      <c r="H349" s="3"/>
      <c r="I349" s="3"/>
      <c r="J349" s="3"/>
      <c r="K349" s="221"/>
      <c r="L349" s="599"/>
      <c r="M349" s="221"/>
      <c r="N349" s="3"/>
      <c r="O349" s="3"/>
      <c r="P349" s="3"/>
      <c r="Q349" s="3"/>
      <c r="R349" s="3"/>
      <c r="S349" s="3"/>
      <c r="T349" s="22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</row>
    <row r="350">
      <c r="A350" s="3"/>
      <c r="B350" s="3"/>
      <c r="C350" s="3"/>
      <c r="D350" s="3"/>
      <c r="E350" s="187"/>
      <c r="F350" s="3"/>
      <c r="G350" s="3"/>
      <c r="H350" s="3"/>
      <c r="I350" s="3"/>
      <c r="J350" s="3"/>
      <c r="K350" s="221"/>
      <c r="L350" s="599"/>
      <c r="M350" s="221"/>
      <c r="N350" s="3"/>
      <c r="O350" s="3"/>
      <c r="P350" s="3"/>
      <c r="Q350" s="3"/>
      <c r="R350" s="3"/>
      <c r="S350" s="3"/>
      <c r="T350" s="22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</row>
    <row r="351">
      <c r="A351" s="3"/>
      <c r="B351" s="3"/>
      <c r="C351" s="3"/>
      <c r="D351" s="3"/>
      <c r="E351" s="187"/>
      <c r="F351" s="3"/>
      <c r="G351" s="3"/>
      <c r="H351" s="3"/>
      <c r="I351" s="3"/>
      <c r="J351" s="3"/>
      <c r="K351" s="221"/>
      <c r="L351" s="599"/>
      <c r="M351" s="221"/>
      <c r="N351" s="3"/>
      <c r="O351" s="3"/>
      <c r="P351" s="3"/>
      <c r="Q351" s="3"/>
      <c r="R351" s="3"/>
      <c r="S351" s="3"/>
      <c r="T351" s="22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</row>
    <row r="352">
      <c r="A352" s="3"/>
      <c r="B352" s="3"/>
      <c r="C352" s="3"/>
      <c r="D352" s="3"/>
      <c r="E352" s="187"/>
      <c r="F352" s="3"/>
      <c r="G352" s="3"/>
      <c r="H352" s="3"/>
      <c r="I352" s="3"/>
      <c r="J352" s="3"/>
      <c r="K352" s="221"/>
      <c r="L352" s="599"/>
      <c r="M352" s="221"/>
      <c r="N352" s="3"/>
      <c r="O352" s="3"/>
      <c r="P352" s="3"/>
      <c r="Q352" s="3"/>
      <c r="R352" s="3"/>
      <c r="S352" s="3"/>
      <c r="T352" s="22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</row>
    <row r="353">
      <c r="A353" s="3"/>
      <c r="B353" s="3"/>
      <c r="C353" s="3"/>
      <c r="D353" s="3"/>
      <c r="E353" s="187"/>
      <c r="F353" s="3"/>
      <c r="G353" s="3"/>
      <c r="H353" s="3"/>
      <c r="I353" s="3"/>
      <c r="J353" s="3"/>
      <c r="K353" s="221"/>
      <c r="L353" s="599"/>
      <c r="M353" s="221"/>
      <c r="N353" s="3"/>
      <c r="O353" s="3"/>
      <c r="P353" s="3"/>
      <c r="Q353" s="3"/>
      <c r="R353" s="3"/>
      <c r="S353" s="3"/>
      <c r="T353" s="22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</row>
    <row r="354">
      <c r="A354" s="3"/>
      <c r="B354" s="3"/>
      <c r="C354" s="3"/>
      <c r="D354" s="3"/>
      <c r="E354" s="187"/>
      <c r="F354" s="3"/>
      <c r="G354" s="3"/>
      <c r="H354" s="3"/>
      <c r="I354" s="3"/>
      <c r="J354" s="3"/>
      <c r="K354" s="221"/>
      <c r="L354" s="599"/>
      <c r="M354" s="221"/>
      <c r="N354" s="3"/>
      <c r="O354" s="3"/>
      <c r="P354" s="3"/>
      <c r="Q354" s="3"/>
      <c r="R354" s="3"/>
      <c r="S354" s="3"/>
      <c r="T354" s="22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</row>
    <row r="355">
      <c r="A355" s="3"/>
      <c r="B355" s="3"/>
      <c r="C355" s="3"/>
      <c r="D355" s="3"/>
      <c r="E355" s="187"/>
      <c r="F355" s="3"/>
      <c r="G355" s="3"/>
      <c r="H355" s="3"/>
      <c r="I355" s="3"/>
      <c r="J355" s="3"/>
      <c r="K355" s="221"/>
      <c r="L355" s="599"/>
      <c r="M355" s="221"/>
      <c r="N355" s="3"/>
      <c r="O355" s="3"/>
      <c r="P355" s="3"/>
      <c r="Q355" s="3"/>
      <c r="R355" s="3"/>
      <c r="S355" s="3"/>
      <c r="T355" s="22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</row>
    <row r="356">
      <c r="A356" s="3"/>
      <c r="B356" s="3"/>
      <c r="C356" s="3"/>
      <c r="D356" s="3"/>
      <c r="E356" s="187"/>
      <c r="F356" s="3"/>
      <c r="G356" s="3"/>
      <c r="H356" s="3"/>
      <c r="I356" s="3"/>
      <c r="J356" s="3"/>
      <c r="K356" s="221"/>
      <c r="L356" s="599"/>
      <c r="M356" s="221"/>
      <c r="N356" s="3"/>
      <c r="O356" s="3"/>
      <c r="P356" s="3"/>
      <c r="Q356" s="3"/>
      <c r="R356" s="3"/>
      <c r="S356" s="3"/>
      <c r="T356" s="22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</row>
    <row r="357">
      <c r="A357" s="3"/>
      <c r="B357" s="3"/>
      <c r="C357" s="3"/>
      <c r="D357" s="3"/>
      <c r="E357" s="187"/>
      <c r="F357" s="3"/>
      <c r="G357" s="3"/>
      <c r="H357" s="3"/>
      <c r="I357" s="3"/>
      <c r="J357" s="3"/>
      <c r="K357" s="221"/>
      <c r="L357" s="599"/>
      <c r="M357" s="221"/>
      <c r="N357" s="3"/>
      <c r="O357" s="3"/>
      <c r="P357" s="3"/>
      <c r="Q357" s="3"/>
      <c r="R357" s="3"/>
      <c r="S357" s="3"/>
      <c r="T357" s="22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</row>
    <row r="358">
      <c r="A358" s="3"/>
      <c r="B358" s="3"/>
      <c r="C358" s="3"/>
      <c r="D358" s="3"/>
      <c r="E358" s="187"/>
      <c r="F358" s="3"/>
      <c r="G358" s="3"/>
      <c r="H358" s="3"/>
      <c r="I358" s="3"/>
      <c r="J358" s="3"/>
      <c r="K358" s="221"/>
      <c r="L358" s="599"/>
      <c r="M358" s="221"/>
      <c r="N358" s="3"/>
      <c r="O358" s="3"/>
      <c r="P358" s="3"/>
      <c r="Q358" s="3"/>
      <c r="R358" s="3"/>
      <c r="S358" s="3"/>
      <c r="T358" s="22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</row>
    <row r="359">
      <c r="A359" s="3"/>
      <c r="B359" s="3"/>
      <c r="C359" s="3"/>
      <c r="D359" s="3"/>
      <c r="E359" s="187"/>
      <c r="F359" s="3"/>
      <c r="G359" s="3"/>
      <c r="H359" s="3"/>
      <c r="I359" s="3"/>
      <c r="J359" s="3"/>
      <c r="K359" s="221"/>
      <c r="L359" s="599"/>
      <c r="M359" s="221"/>
      <c r="N359" s="3"/>
      <c r="O359" s="3"/>
      <c r="P359" s="3"/>
      <c r="Q359" s="3"/>
      <c r="R359" s="3"/>
      <c r="S359" s="3"/>
      <c r="T359" s="22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</row>
    <row r="360">
      <c r="A360" s="3"/>
      <c r="B360" s="3"/>
      <c r="C360" s="3"/>
      <c r="D360" s="3"/>
      <c r="E360" s="187"/>
      <c r="F360" s="3"/>
      <c r="G360" s="3"/>
      <c r="H360" s="3"/>
      <c r="I360" s="3"/>
      <c r="J360" s="3"/>
      <c r="K360" s="221"/>
      <c r="L360" s="599"/>
      <c r="M360" s="221"/>
      <c r="N360" s="3"/>
      <c r="O360" s="3"/>
      <c r="P360" s="3"/>
      <c r="Q360" s="3"/>
      <c r="R360" s="3"/>
      <c r="S360" s="3"/>
      <c r="T360" s="22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</row>
    <row r="361">
      <c r="A361" s="3"/>
      <c r="B361" s="3"/>
      <c r="C361" s="3"/>
      <c r="D361" s="3"/>
      <c r="E361" s="187"/>
      <c r="F361" s="3"/>
      <c r="G361" s="3"/>
      <c r="H361" s="3"/>
      <c r="I361" s="3"/>
      <c r="J361" s="3"/>
      <c r="K361" s="221"/>
      <c r="L361" s="599"/>
      <c r="M361" s="221"/>
      <c r="N361" s="3"/>
      <c r="O361" s="3"/>
      <c r="P361" s="3"/>
      <c r="Q361" s="3"/>
      <c r="R361" s="3"/>
      <c r="S361" s="3"/>
      <c r="T361" s="22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</row>
    <row r="362">
      <c r="A362" s="3"/>
      <c r="B362" s="3"/>
      <c r="C362" s="3"/>
      <c r="D362" s="3"/>
      <c r="E362" s="187"/>
      <c r="F362" s="3"/>
      <c r="G362" s="3"/>
      <c r="H362" s="3"/>
      <c r="I362" s="3"/>
      <c r="J362" s="3"/>
      <c r="K362" s="221"/>
      <c r="L362" s="599"/>
      <c r="M362" s="221"/>
      <c r="N362" s="3"/>
      <c r="O362" s="3"/>
      <c r="P362" s="3"/>
      <c r="Q362" s="3"/>
      <c r="R362" s="3"/>
      <c r="S362" s="3"/>
      <c r="T362" s="22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</row>
    <row r="363">
      <c r="A363" s="3"/>
      <c r="B363" s="3"/>
      <c r="C363" s="3"/>
      <c r="D363" s="3"/>
      <c r="E363" s="187"/>
      <c r="F363" s="3"/>
      <c r="G363" s="3"/>
      <c r="H363" s="3"/>
      <c r="I363" s="3"/>
      <c r="J363" s="3"/>
      <c r="K363" s="221"/>
      <c r="L363" s="599"/>
      <c r="M363" s="221"/>
      <c r="N363" s="3"/>
      <c r="O363" s="3"/>
      <c r="P363" s="3"/>
      <c r="Q363" s="3"/>
      <c r="R363" s="3"/>
      <c r="S363" s="3"/>
      <c r="T363" s="22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</row>
    <row r="364">
      <c r="A364" s="3"/>
      <c r="B364" s="3"/>
      <c r="C364" s="3"/>
      <c r="D364" s="3"/>
      <c r="E364" s="187"/>
      <c r="F364" s="3"/>
      <c r="G364" s="3"/>
      <c r="H364" s="3"/>
      <c r="I364" s="3"/>
      <c r="J364" s="3"/>
      <c r="K364" s="221"/>
      <c r="L364" s="599"/>
      <c r="M364" s="221"/>
      <c r="N364" s="3"/>
      <c r="O364" s="3"/>
      <c r="P364" s="3"/>
      <c r="Q364" s="3"/>
      <c r="R364" s="3"/>
      <c r="S364" s="3"/>
      <c r="T364" s="22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</row>
    <row r="365">
      <c r="A365" s="3"/>
      <c r="B365" s="3"/>
      <c r="C365" s="3"/>
      <c r="D365" s="3"/>
      <c r="E365" s="187"/>
      <c r="F365" s="3"/>
      <c r="G365" s="3"/>
      <c r="H365" s="3"/>
      <c r="I365" s="3"/>
      <c r="J365" s="3"/>
      <c r="K365" s="221"/>
      <c r="L365" s="599"/>
      <c r="M365" s="221"/>
      <c r="N365" s="3"/>
      <c r="O365" s="3"/>
      <c r="P365" s="3"/>
      <c r="Q365" s="3"/>
      <c r="R365" s="3"/>
      <c r="S365" s="3"/>
      <c r="T365" s="22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</row>
    <row r="366">
      <c r="A366" s="3"/>
      <c r="B366" s="3"/>
      <c r="C366" s="3"/>
      <c r="D366" s="3"/>
      <c r="E366" s="187"/>
      <c r="F366" s="3"/>
      <c r="G366" s="3"/>
      <c r="H366" s="3"/>
      <c r="I366" s="3"/>
      <c r="J366" s="3"/>
      <c r="K366" s="221"/>
      <c r="L366" s="599"/>
      <c r="M366" s="221"/>
      <c r="N366" s="3"/>
      <c r="O366" s="3"/>
      <c r="P366" s="3"/>
      <c r="Q366" s="3"/>
      <c r="R366" s="3"/>
      <c r="S366" s="3"/>
      <c r="T366" s="22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</row>
    <row r="367">
      <c r="A367" s="3"/>
      <c r="B367" s="3"/>
      <c r="C367" s="3"/>
      <c r="D367" s="3"/>
      <c r="E367" s="187"/>
      <c r="F367" s="3"/>
      <c r="G367" s="3"/>
      <c r="H367" s="3"/>
      <c r="I367" s="3"/>
      <c r="J367" s="3"/>
      <c r="K367" s="221"/>
      <c r="L367" s="599"/>
      <c r="M367" s="221"/>
      <c r="N367" s="3"/>
      <c r="O367" s="3"/>
      <c r="P367" s="3"/>
      <c r="Q367" s="3"/>
      <c r="R367" s="3"/>
      <c r="S367" s="3"/>
      <c r="T367" s="22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</row>
    <row r="368">
      <c r="A368" s="3"/>
      <c r="B368" s="3"/>
      <c r="C368" s="3"/>
      <c r="D368" s="3"/>
      <c r="E368" s="187"/>
      <c r="F368" s="3"/>
      <c r="G368" s="3"/>
      <c r="H368" s="3"/>
      <c r="I368" s="3"/>
      <c r="J368" s="3"/>
      <c r="K368" s="221"/>
      <c r="L368" s="599"/>
      <c r="M368" s="221"/>
      <c r="N368" s="3"/>
      <c r="O368" s="3"/>
      <c r="P368" s="3"/>
      <c r="Q368" s="3"/>
      <c r="R368" s="3"/>
      <c r="S368" s="3"/>
      <c r="T368" s="22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</row>
    <row r="369">
      <c r="A369" s="3"/>
      <c r="B369" s="3"/>
      <c r="C369" s="3"/>
      <c r="D369" s="3"/>
      <c r="E369" s="187"/>
      <c r="F369" s="3"/>
      <c r="G369" s="3"/>
      <c r="H369" s="3"/>
      <c r="I369" s="3"/>
      <c r="J369" s="3"/>
      <c r="K369" s="221"/>
      <c r="L369" s="599"/>
      <c r="M369" s="221"/>
      <c r="N369" s="3"/>
      <c r="O369" s="3"/>
      <c r="P369" s="3"/>
      <c r="Q369" s="3"/>
      <c r="R369" s="3"/>
      <c r="S369" s="3"/>
      <c r="T369" s="22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</row>
    <row r="370">
      <c r="A370" s="3"/>
      <c r="B370" s="3"/>
      <c r="C370" s="3"/>
      <c r="D370" s="3"/>
      <c r="E370" s="187"/>
      <c r="F370" s="3"/>
      <c r="G370" s="3"/>
      <c r="H370" s="3"/>
      <c r="I370" s="3"/>
      <c r="J370" s="3"/>
      <c r="K370" s="221"/>
      <c r="L370" s="599"/>
      <c r="M370" s="221"/>
      <c r="N370" s="3"/>
      <c r="O370" s="3"/>
      <c r="P370" s="3"/>
      <c r="Q370" s="3"/>
      <c r="R370" s="3"/>
      <c r="S370" s="3"/>
      <c r="T370" s="22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</row>
    <row r="371">
      <c r="A371" s="3"/>
      <c r="B371" s="3"/>
      <c r="C371" s="3"/>
      <c r="D371" s="3"/>
      <c r="E371" s="187"/>
      <c r="F371" s="3"/>
      <c r="G371" s="3"/>
      <c r="H371" s="3"/>
      <c r="I371" s="3"/>
      <c r="J371" s="3"/>
      <c r="K371" s="221"/>
      <c r="L371" s="599"/>
      <c r="M371" s="221"/>
      <c r="N371" s="3"/>
      <c r="O371" s="3"/>
      <c r="P371" s="3"/>
      <c r="Q371" s="3"/>
      <c r="R371" s="3"/>
      <c r="S371" s="3"/>
      <c r="T371" s="22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</row>
    <row r="372">
      <c r="A372" s="3"/>
      <c r="B372" s="3"/>
      <c r="C372" s="3"/>
      <c r="D372" s="3"/>
      <c r="E372" s="187"/>
      <c r="F372" s="3"/>
      <c r="G372" s="3"/>
      <c r="H372" s="3"/>
      <c r="I372" s="3"/>
      <c r="J372" s="3"/>
      <c r="K372" s="221"/>
      <c r="L372" s="599"/>
      <c r="M372" s="221"/>
      <c r="N372" s="3"/>
      <c r="O372" s="3"/>
      <c r="P372" s="3"/>
      <c r="Q372" s="3"/>
      <c r="R372" s="3"/>
      <c r="S372" s="3"/>
      <c r="T372" s="22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</row>
    <row r="373">
      <c r="A373" s="3"/>
      <c r="B373" s="3"/>
      <c r="C373" s="3"/>
      <c r="D373" s="3"/>
      <c r="E373" s="187"/>
      <c r="F373" s="3"/>
      <c r="G373" s="3"/>
      <c r="H373" s="3"/>
      <c r="I373" s="3"/>
      <c r="J373" s="3"/>
      <c r="K373" s="221"/>
      <c r="L373" s="599"/>
      <c r="M373" s="221"/>
      <c r="N373" s="3"/>
      <c r="O373" s="3"/>
      <c r="P373" s="3"/>
      <c r="Q373" s="3"/>
      <c r="R373" s="3"/>
      <c r="S373" s="3"/>
      <c r="T373" s="22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</row>
    <row r="374">
      <c r="A374" s="3"/>
      <c r="B374" s="3"/>
      <c r="C374" s="3"/>
      <c r="D374" s="3"/>
      <c r="E374" s="187"/>
      <c r="F374" s="3"/>
      <c r="G374" s="3"/>
      <c r="H374" s="3"/>
      <c r="I374" s="3"/>
      <c r="J374" s="3"/>
      <c r="K374" s="221"/>
      <c r="L374" s="599"/>
      <c r="M374" s="221"/>
      <c r="N374" s="3"/>
      <c r="O374" s="3"/>
      <c r="P374" s="3"/>
      <c r="Q374" s="3"/>
      <c r="R374" s="3"/>
      <c r="S374" s="3"/>
      <c r="T374" s="22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</row>
    <row r="375">
      <c r="A375" s="3"/>
      <c r="B375" s="3"/>
      <c r="C375" s="3"/>
      <c r="D375" s="3"/>
      <c r="E375" s="187"/>
      <c r="F375" s="3"/>
      <c r="G375" s="3"/>
      <c r="H375" s="3"/>
      <c r="I375" s="3"/>
      <c r="J375" s="3"/>
      <c r="K375" s="221"/>
      <c r="L375" s="599"/>
      <c r="M375" s="221"/>
      <c r="N375" s="3"/>
      <c r="O375" s="3"/>
      <c r="P375" s="3"/>
      <c r="Q375" s="3"/>
      <c r="R375" s="3"/>
      <c r="S375" s="3"/>
      <c r="T375" s="22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</row>
    <row r="376">
      <c r="A376" s="3"/>
      <c r="B376" s="3"/>
      <c r="C376" s="3"/>
      <c r="D376" s="3"/>
      <c r="E376" s="187"/>
      <c r="F376" s="3"/>
      <c r="G376" s="3"/>
      <c r="H376" s="3"/>
      <c r="I376" s="3"/>
      <c r="J376" s="3"/>
      <c r="K376" s="221"/>
      <c r="L376" s="599"/>
      <c r="M376" s="221"/>
      <c r="N376" s="3"/>
      <c r="O376" s="3"/>
      <c r="P376" s="3"/>
      <c r="Q376" s="3"/>
      <c r="R376" s="3"/>
      <c r="S376" s="3"/>
      <c r="T376" s="22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</row>
    <row r="377">
      <c r="A377" s="3"/>
      <c r="B377" s="3"/>
      <c r="C377" s="3"/>
      <c r="D377" s="3"/>
      <c r="E377" s="187"/>
      <c r="F377" s="3"/>
      <c r="G377" s="3"/>
      <c r="H377" s="3"/>
      <c r="I377" s="3"/>
      <c r="J377" s="3"/>
      <c r="K377" s="221"/>
      <c r="L377" s="599"/>
      <c r="M377" s="221"/>
      <c r="N377" s="3"/>
      <c r="O377" s="3"/>
      <c r="P377" s="3"/>
      <c r="Q377" s="3"/>
      <c r="R377" s="3"/>
      <c r="S377" s="3"/>
      <c r="T377" s="22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</row>
    <row r="378">
      <c r="A378" s="3"/>
      <c r="B378" s="3"/>
      <c r="C378" s="3"/>
      <c r="D378" s="3"/>
      <c r="E378" s="187"/>
      <c r="F378" s="3"/>
      <c r="G378" s="3"/>
      <c r="H378" s="3"/>
      <c r="I378" s="3"/>
      <c r="J378" s="3"/>
      <c r="K378" s="221"/>
      <c r="L378" s="599"/>
      <c r="M378" s="221"/>
      <c r="N378" s="3"/>
      <c r="O378" s="3"/>
      <c r="P378" s="3"/>
      <c r="Q378" s="3"/>
      <c r="R378" s="3"/>
      <c r="S378" s="3"/>
      <c r="T378" s="22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</row>
    <row r="379">
      <c r="A379" s="3"/>
      <c r="B379" s="3"/>
      <c r="C379" s="3"/>
      <c r="D379" s="3"/>
      <c r="E379" s="187"/>
      <c r="F379" s="3"/>
      <c r="G379" s="3"/>
      <c r="H379" s="3"/>
      <c r="I379" s="3"/>
      <c r="J379" s="3"/>
      <c r="K379" s="221"/>
      <c r="L379" s="599"/>
      <c r="M379" s="221"/>
      <c r="N379" s="3"/>
      <c r="O379" s="3"/>
      <c r="P379" s="3"/>
      <c r="Q379" s="3"/>
      <c r="R379" s="3"/>
      <c r="S379" s="3"/>
      <c r="T379" s="22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</row>
    <row r="380">
      <c r="A380" s="3"/>
      <c r="B380" s="3"/>
      <c r="C380" s="3"/>
      <c r="D380" s="3"/>
      <c r="E380" s="187"/>
      <c r="F380" s="3"/>
      <c r="G380" s="3"/>
      <c r="H380" s="3"/>
      <c r="I380" s="3"/>
      <c r="J380" s="3"/>
      <c r="K380" s="221"/>
      <c r="L380" s="599"/>
      <c r="M380" s="221"/>
      <c r="N380" s="3"/>
      <c r="O380" s="3"/>
      <c r="P380" s="3"/>
      <c r="Q380" s="3"/>
      <c r="R380" s="3"/>
      <c r="S380" s="3"/>
      <c r="T380" s="22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</row>
    <row r="381">
      <c r="A381" s="3"/>
      <c r="B381" s="3"/>
      <c r="C381" s="3"/>
      <c r="D381" s="3"/>
      <c r="E381" s="187"/>
      <c r="F381" s="3"/>
      <c r="G381" s="3"/>
      <c r="H381" s="3"/>
      <c r="I381" s="3"/>
      <c r="J381" s="3"/>
      <c r="K381" s="221"/>
      <c r="L381" s="599"/>
      <c r="M381" s="221"/>
      <c r="N381" s="3"/>
      <c r="O381" s="3"/>
      <c r="P381" s="3"/>
      <c r="Q381" s="3"/>
      <c r="R381" s="3"/>
      <c r="S381" s="3"/>
      <c r="T381" s="22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</row>
    <row r="382">
      <c r="A382" s="3"/>
      <c r="B382" s="3"/>
      <c r="C382" s="3"/>
      <c r="D382" s="3"/>
      <c r="E382" s="187"/>
      <c r="F382" s="3"/>
      <c r="G382" s="3"/>
      <c r="H382" s="3"/>
      <c r="I382" s="3"/>
      <c r="J382" s="3"/>
      <c r="K382" s="221"/>
      <c r="L382" s="599"/>
      <c r="M382" s="221"/>
      <c r="N382" s="3"/>
      <c r="O382" s="3"/>
      <c r="P382" s="3"/>
      <c r="Q382" s="3"/>
      <c r="R382" s="3"/>
      <c r="S382" s="3"/>
      <c r="T382" s="22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</row>
    <row r="383">
      <c r="A383" s="3"/>
      <c r="B383" s="3"/>
      <c r="C383" s="3"/>
      <c r="D383" s="3"/>
      <c r="E383" s="187"/>
      <c r="F383" s="3"/>
      <c r="G383" s="3"/>
      <c r="H383" s="3"/>
      <c r="I383" s="3"/>
      <c r="J383" s="3"/>
      <c r="K383" s="221"/>
      <c r="L383" s="599"/>
      <c r="M383" s="221"/>
      <c r="N383" s="3"/>
      <c r="O383" s="3"/>
      <c r="P383" s="3"/>
      <c r="Q383" s="3"/>
      <c r="R383" s="3"/>
      <c r="S383" s="3"/>
      <c r="T383" s="22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</row>
    <row r="384">
      <c r="A384" s="3"/>
      <c r="B384" s="3"/>
      <c r="C384" s="3"/>
      <c r="D384" s="3"/>
      <c r="E384" s="187"/>
      <c r="F384" s="3"/>
      <c r="G384" s="3"/>
      <c r="H384" s="3"/>
      <c r="I384" s="3"/>
      <c r="J384" s="3"/>
      <c r="K384" s="221"/>
      <c r="L384" s="599"/>
      <c r="M384" s="221"/>
      <c r="N384" s="3"/>
      <c r="O384" s="3"/>
      <c r="P384" s="3"/>
      <c r="Q384" s="3"/>
      <c r="R384" s="3"/>
      <c r="S384" s="3"/>
      <c r="T384" s="22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</row>
    <row r="385">
      <c r="A385" s="3"/>
      <c r="B385" s="3"/>
      <c r="C385" s="3"/>
      <c r="D385" s="3"/>
      <c r="E385" s="187"/>
      <c r="F385" s="3"/>
      <c r="G385" s="3"/>
      <c r="H385" s="3"/>
      <c r="I385" s="3"/>
      <c r="J385" s="3"/>
      <c r="K385" s="221"/>
      <c r="L385" s="599"/>
      <c r="M385" s="221"/>
      <c r="N385" s="3"/>
      <c r="O385" s="3"/>
      <c r="P385" s="3"/>
      <c r="Q385" s="3"/>
      <c r="R385" s="3"/>
      <c r="S385" s="3"/>
      <c r="T385" s="22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</row>
    <row r="386">
      <c r="A386" s="3"/>
      <c r="B386" s="3"/>
      <c r="C386" s="3"/>
      <c r="D386" s="3"/>
      <c r="E386" s="187"/>
      <c r="F386" s="3"/>
      <c r="G386" s="3"/>
      <c r="H386" s="3"/>
      <c r="I386" s="3"/>
      <c r="J386" s="3"/>
      <c r="K386" s="221"/>
      <c r="L386" s="599"/>
      <c r="M386" s="221"/>
      <c r="N386" s="3"/>
      <c r="O386" s="3"/>
      <c r="P386" s="3"/>
      <c r="Q386" s="3"/>
      <c r="R386" s="3"/>
      <c r="S386" s="3"/>
      <c r="T386" s="22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</row>
    <row r="387">
      <c r="A387" s="3"/>
      <c r="B387" s="3"/>
      <c r="C387" s="3"/>
      <c r="D387" s="3"/>
      <c r="E387" s="187"/>
      <c r="F387" s="3"/>
      <c r="G387" s="3"/>
      <c r="H387" s="3"/>
      <c r="I387" s="3"/>
      <c r="J387" s="3"/>
      <c r="K387" s="221"/>
      <c r="L387" s="599"/>
      <c r="M387" s="221"/>
      <c r="N387" s="3"/>
      <c r="O387" s="3"/>
      <c r="P387" s="3"/>
      <c r="Q387" s="3"/>
      <c r="R387" s="3"/>
      <c r="S387" s="3"/>
      <c r="T387" s="22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</row>
    <row r="388">
      <c r="A388" s="3"/>
      <c r="B388" s="3"/>
      <c r="C388" s="3"/>
      <c r="D388" s="3"/>
      <c r="E388" s="187"/>
      <c r="F388" s="3"/>
      <c r="G388" s="3"/>
      <c r="H388" s="3"/>
      <c r="I388" s="3"/>
      <c r="J388" s="3"/>
      <c r="K388" s="221"/>
      <c r="L388" s="599"/>
      <c r="M388" s="221"/>
      <c r="N388" s="3"/>
      <c r="O388" s="3"/>
      <c r="P388" s="3"/>
      <c r="Q388" s="3"/>
      <c r="R388" s="3"/>
      <c r="S388" s="3"/>
      <c r="T388" s="22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</row>
    <row r="389">
      <c r="A389" s="3"/>
      <c r="B389" s="3"/>
      <c r="C389" s="3"/>
      <c r="D389" s="3"/>
      <c r="E389" s="187"/>
      <c r="F389" s="3"/>
      <c r="G389" s="3"/>
      <c r="H389" s="3"/>
      <c r="I389" s="3"/>
      <c r="J389" s="3"/>
      <c r="K389" s="221"/>
      <c r="L389" s="599"/>
      <c r="M389" s="221"/>
      <c r="N389" s="3"/>
      <c r="O389" s="3"/>
      <c r="P389" s="3"/>
      <c r="Q389" s="3"/>
      <c r="R389" s="3"/>
      <c r="S389" s="3"/>
      <c r="T389" s="22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</row>
    <row r="390">
      <c r="A390" s="3"/>
      <c r="B390" s="3"/>
      <c r="C390" s="3"/>
      <c r="D390" s="3"/>
      <c r="E390" s="187"/>
      <c r="F390" s="3"/>
      <c r="G390" s="3"/>
      <c r="H390" s="3"/>
      <c r="I390" s="3"/>
      <c r="J390" s="3"/>
      <c r="K390" s="221"/>
      <c r="L390" s="599"/>
      <c r="M390" s="221"/>
      <c r="N390" s="3"/>
      <c r="O390" s="3"/>
      <c r="P390" s="3"/>
      <c r="Q390" s="3"/>
      <c r="R390" s="3"/>
      <c r="S390" s="3"/>
      <c r="T390" s="22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</row>
    <row r="391">
      <c r="A391" s="3"/>
      <c r="B391" s="3"/>
      <c r="C391" s="3"/>
      <c r="D391" s="3"/>
      <c r="E391" s="187"/>
      <c r="F391" s="3"/>
      <c r="G391" s="3"/>
      <c r="H391" s="3"/>
      <c r="I391" s="3"/>
      <c r="J391" s="3"/>
      <c r="K391" s="221"/>
      <c r="L391" s="599"/>
      <c r="M391" s="221"/>
      <c r="N391" s="3"/>
      <c r="O391" s="3"/>
      <c r="P391" s="3"/>
      <c r="Q391" s="3"/>
      <c r="R391" s="3"/>
      <c r="S391" s="3"/>
      <c r="T391" s="22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</row>
    <row r="392">
      <c r="A392" s="3"/>
      <c r="B392" s="3"/>
      <c r="C392" s="3"/>
      <c r="D392" s="3"/>
      <c r="E392" s="187"/>
      <c r="F392" s="3"/>
      <c r="G392" s="3"/>
      <c r="H392" s="3"/>
      <c r="I392" s="3"/>
      <c r="J392" s="3"/>
      <c r="K392" s="221"/>
      <c r="L392" s="599"/>
      <c r="M392" s="221"/>
      <c r="N392" s="3"/>
      <c r="O392" s="3"/>
      <c r="P392" s="3"/>
      <c r="Q392" s="3"/>
      <c r="R392" s="3"/>
      <c r="S392" s="3"/>
      <c r="T392" s="22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</row>
    <row r="393">
      <c r="A393" s="3"/>
      <c r="B393" s="3"/>
      <c r="C393" s="3"/>
      <c r="D393" s="3"/>
      <c r="E393" s="187"/>
      <c r="F393" s="3"/>
      <c r="G393" s="3"/>
      <c r="H393" s="3"/>
      <c r="I393" s="3"/>
      <c r="J393" s="3"/>
      <c r="K393" s="221"/>
      <c r="L393" s="599"/>
      <c r="M393" s="221"/>
      <c r="N393" s="3"/>
      <c r="O393" s="3"/>
      <c r="P393" s="3"/>
      <c r="Q393" s="3"/>
      <c r="R393" s="3"/>
      <c r="S393" s="3"/>
      <c r="T393" s="22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</row>
    <row r="394">
      <c r="A394" s="3"/>
      <c r="B394" s="3"/>
      <c r="C394" s="3"/>
      <c r="D394" s="3"/>
      <c r="E394" s="187"/>
      <c r="F394" s="3"/>
      <c r="G394" s="3"/>
      <c r="H394" s="3"/>
      <c r="I394" s="3"/>
      <c r="J394" s="3"/>
      <c r="K394" s="221"/>
      <c r="L394" s="599"/>
      <c r="M394" s="221"/>
      <c r="N394" s="3"/>
      <c r="O394" s="3"/>
      <c r="P394" s="3"/>
      <c r="Q394" s="3"/>
      <c r="R394" s="3"/>
      <c r="S394" s="3"/>
      <c r="T394" s="22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</row>
    <row r="395">
      <c r="A395" s="3"/>
      <c r="B395" s="3"/>
      <c r="C395" s="3"/>
      <c r="D395" s="3"/>
      <c r="E395" s="187"/>
      <c r="F395" s="3"/>
      <c r="G395" s="3"/>
      <c r="H395" s="3"/>
      <c r="I395" s="3"/>
      <c r="J395" s="3"/>
      <c r="K395" s="221"/>
      <c r="L395" s="599"/>
      <c r="M395" s="221"/>
      <c r="N395" s="3"/>
      <c r="O395" s="3"/>
      <c r="P395" s="3"/>
      <c r="Q395" s="3"/>
      <c r="R395" s="3"/>
      <c r="S395" s="3"/>
      <c r="T395" s="22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</row>
    <row r="396">
      <c r="A396" s="3"/>
      <c r="B396" s="3"/>
      <c r="C396" s="3"/>
      <c r="D396" s="3"/>
      <c r="E396" s="187"/>
      <c r="F396" s="3"/>
      <c r="G396" s="3"/>
      <c r="H396" s="3"/>
      <c r="I396" s="3"/>
      <c r="J396" s="3"/>
      <c r="K396" s="221"/>
      <c r="L396" s="599"/>
      <c r="M396" s="221"/>
      <c r="N396" s="3"/>
      <c r="O396" s="3"/>
      <c r="P396" s="3"/>
      <c r="Q396" s="3"/>
      <c r="R396" s="3"/>
      <c r="S396" s="3"/>
      <c r="T396" s="22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</row>
    <row r="397">
      <c r="A397" s="3"/>
      <c r="B397" s="3"/>
      <c r="C397" s="3"/>
      <c r="D397" s="3"/>
      <c r="E397" s="187"/>
      <c r="F397" s="3"/>
      <c r="G397" s="3"/>
      <c r="H397" s="3"/>
      <c r="I397" s="3"/>
      <c r="J397" s="3"/>
      <c r="K397" s="221"/>
      <c r="L397" s="599"/>
      <c r="M397" s="221"/>
      <c r="N397" s="3"/>
      <c r="O397" s="3"/>
      <c r="P397" s="3"/>
      <c r="Q397" s="3"/>
      <c r="R397" s="3"/>
      <c r="S397" s="3"/>
      <c r="T397" s="22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</row>
    <row r="398">
      <c r="A398" s="3"/>
      <c r="B398" s="3"/>
      <c r="C398" s="3"/>
      <c r="D398" s="3"/>
      <c r="E398" s="187"/>
      <c r="F398" s="3"/>
      <c r="G398" s="3"/>
      <c r="H398" s="3"/>
      <c r="I398" s="3"/>
      <c r="J398" s="3"/>
      <c r="K398" s="221"/>
      <c r="L398" s="599"/>
      <c r="M398" s="221"/>
      <c r="N398" s="3"/>
      <c r="O398" s="3"/>
      <c r="P398" s="3"/>
      <c r="Q398" s="3"/>
      <c r="R398" s="3"/>
      <c r="S398" s="3"/>
      <c r="T398" s="22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</row>
    <row r="399">
      <c r="A399" s="3"/>
      <c r="B399" s="3"/>
      <c r="C399" s="3"/>
      <c r="D399" s="3"/>
      <c r="E399" s="187"/>
      <c r="F399" s="3"/>
      <c r="G399" s="3"/>
      <c r="H399" s="3"/>
      <c r="I399" s="3"/>
      <c r="J399" s="3"/>
      <c r="K399" s="221"/>
      <c r="L399" s="599"/>
      <c r="M399" s="221"/>
      <c r="N399" s="3"/>
      <c r="O399" s="3"/>
      <c r="P399" s="3"/>
      <c r="Q399" s="3"/>
      <c r="R399" s="3"/>
      <c r="S399" s="3"/>
      <c r="T399" s="22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</row>
    <row r="400">
      <c r="A400" s="3"/>
      <c r="B400" s="3"/>
      <c r="C400" s="3"/>
      <c r="D400" s="3"/>
      <c r="E400" s="187"/>
      <c r="F400" s="3"/>
      <c r="G400" s="3"/>
      <c r="H400" s="3"/>
      <c r="I400" s="3"/>
      <c r="J400" s="3"/>
      <c r="K400" s="221"/>
      <c r="L400" s="599"/>
      <c r="M400" s="221"/>
      <c r="N400" s="3"/>
      <c r="O400" s="3"/>
      <c r="P400" s="3"/>
      <c r="Q400" s="3"/>
      <c r="R400" s="3"/>
      <c r="S400" s="3"/>
      <c r="T400" s="22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</row>
    <row r="401">
      <c r="A401" s="3"/>
      <c r="B401" s="3"/>
      <c r="C401" s="3"/>
      <c r="D401" s="3"/>
      <c r="E401" s="187"/>
      <c r="F401" s="3"/>
      <c r="G401" s="3"/>
      <c r="H401" s="3"/>
      <c r="I401" s="3"/>
      <c r="J401" s="3"/>
      <c r="K401" s="221"/>
      <c r="L401" s="599"/>
      <c r="M401" s="221"/>
      <c r="N401" s="3"/>
      <c r="O401" s="3"/>
      <c r="P401" s="3"/>
      <c r="Q401" s="3"/>
      <c r="R401" s="3"/>
      <c r="S401" s="3"/>
      <c r="T401" s="22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</row>
    <row r="402">
      <c r="A402" s="3"/>
      <c r="B402" s="3"/>
      <c r="C402" s="3"/>
      <c r="D402" s="3"/>
      <c r="E402" s="187"/>
      <c r="F402" s="3"/>
      <c r="G402" s="3"/>
      <c r="H402" s="3"/>
      <c r="I402" s="3"/>
      <c r="J402" s="3"/>
      <c r="K402" s="221"/>
      <c r="L402" s="599"/>
      <c r="M402" s="221"/>
      <c r="N402" s="3"/>
      <c r="O402" s="3"/>
      <c r="P402" s="3"/>
      <c r="Q402" s="3"/>
      <c r="R402" s="3"/>
      <c r="S402" s="3"/>
      <c r="T402" s="22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</row>
    <row r="403">
      <c r="A403" s="3"/>
      <c r="B403" s="3"/>
      <c r="C403" s="3"/>
      <c r="D403" s="3"/>
      <c r="E403" s="187"/>
      <c r="F403" s="3"/>
      <c r="G403" s="3"/>
      <c r="H403" s="3"/>
      <c r="I403" s="3"/>
      <c r="J403" s="3"/>
      <c r="K403" s="221"/>
      <c r="L403" s="599"/>
      <c r="M403" s="221"/>
      <c r="N403" s="3"/>
      <c r="O403" s="3"/>
      <c r="P403" s="3"/>
      <c r="Q403" s="3"/>
      <c r="R403" s="3"/>
      <c r="S403" s="3"/>
      <c r="T403" s="22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</row>
    <row r="404">
      <c r="A404" s="3"/>
      <c r="B404" s="3"/>
      <c r="C404" s="3"/>
      <c r="D404" s="3"/>
      <c r="E404" s="187"/>
      <c r="F404" s="3"/>
      <c r="G404" s="3"/>
      <c r="H404" s="3"/>
      <c r="I404" s="3"/>
      <c r="J404" s="3"/>
      <c r="K404" s="221"/>
      <c r="L404" s="599"/>
      <c r="M404" s="221"/>
      <c r="N404" s="3"/>
      <c r="O404" s="3"/>
      <c r="P404" s="3"/>
      <c r="Q404" s="3"/>
      <c r="R404" s="3"/>
      <c r="S404" s="3"/>
      <c r="T404" s="22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</row>
    <row r="405">
      <c r="A405" s="3"/>
      <c r="B405" s="3"/>
      <c r="C405" s="3"/>
      <c r="D405" s="3"/>
      <c r="E405" s="187"/>
      <c r="F405" s="3"/>
      <c r="G405" s="3"/>
      <c r="H405" s="3"/>
      <c r="I405" s="3"/>
      <c r="J405" s="3"/>
      <c r="K405" s="221"/>
      <c r="L405" s="599"/>
      <c r="M405" s="221"/>
      <c r="N405" s="3"/>
      <c r="O405" s="3"/>
      <c r="P405" s="3"/>
      <c r="Q405" s="3"/>
      <c r="R405" s="3"/>
      <c r="S405" s="3"/>
      <c r="T405" s="22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</row>
    <row r="406">
      <c r="A406" s="3"/>
      <c r="B406" s="3"/>
      <c r="C406" s="3"/>
      <c r="D406" s="3"/>
      <c r="E406" s="187"/>
      <c r="F406" s="3"/>
      <c r="G406" s="3"/>
      <c r="H406" s="3"/>
      <c r="I406" s="3"/>
      <c r="J406" s="3"/>
      <c r="K406" s="221"/>
      <c r="L406" s="599"/>
      <c r="M406" s="221"/>
      <c r="N406" s="3"/>
      <c r="O406" s="3"/>
      <c r="P406" s="3"/>
      <c r="Q406" s="3"/>
      <c r="R406" s="3"/>
      <c r="S406" s="3"/>
      <c r="T406" s="22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</row>
    <row r="407">
      <c r="A407" s="3"/>
      <c r="B407" s="3"/>
      <c r="C407" s="3"/>
      <c r="D407" s="3"/>
      <c r="E407" s="187"/>
      <c r="F407" s="3"/>
      <c r="G407" s="3"/>
      <c r="H407" s="3"/>
      <c r="I407" s="3"/>
      <c r="J407" s="3"/>
      <c r="K407" s="221"/>
      <c r="L407" s="599"/>
      <c r="M407" s="221"/>
      <c r="N407" s="3"/>
      <c r="O407" s="3"/>
      <c r="P407" s="3"/>
      <c r="Q407" s="3"/>
      <c r="R407" s="3"/>
      <c r="S407" s="3"/>
      <c r="T407" s="22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</row>
    <row r="408">
      <c r="A408" s="3"/>
      <c r="B408" s="3"/>
      <c r="C408" s="3"/>
      <c r="D408" s="3"/>
      <c r="E408" s="187"/>
      <c r="F408" s="3"/>
      <c r="G408" s="3"/>
      <c r="H408" s="3"/>
      <c r="I408" s="3"/>
      <c r="J408" s="3"/>
      <c r="K408" s="221"/>
      <c r="L408" s="599"/>
      <c r="M408" s="221"/>
      <c r="N408" s="3"/>
      <c r="O408" s="3"/>
      <c r="P408" s="3"/>
      <c r="Q408" s="3"/>
      <c r="R408" s="3"/>
      <c r="S408" s="3"/>
      <c r="T408" s="22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</row>
    <row r="409">
      <c r="A409" s="3"/>
      <c r="B409" s="3"/>
      <c r="C409" s="3"/>
      <c r="D409" s="3"/>
      <c r="E409" s="187"/>
      <c r="F409" s="3"/>
      <c r="G409" s="3"/>
      <c r="H409" s="3"/>
      <c r="I409" s="3"/>
      <c r="J409" s="3"/>
      <c r="K409" s="221"/>
      <c r="L409" s="599"/>
      <c r="M409" s="221"/>
      <c r="N409" s="3"/>
      <c r="O409" s="3"/>
      <c r="P409" s="3"/>
      <c r="Q409" s="3"/>
      <c r="R409" s="3"/>
      <c r="S409" s="3"/>
      <c r="T409" s="22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</row>
    <row r="410">
      <c r="A410" s="3"/>
      <c r="B410" s="3"/>
      <c r="C410" s="3"/>
      <c r="D410" s="3"/>
      <c r="E410" s="187"/>
      <c r="F410" s="3"/>
      <c r="G410" s="3"/>
      <c r="H410" s="3"/>
      <c r="I410" s="3"/>
      <c r="J410" s="3"/>
      <c r="K410" s="221"/>
      <c r="L410" s="599"/>
      <c r="M410" s="221"/>
      <c r="N410" s="3"/>
      <c r="O410" s="3"/>
      <c r="P410" s="3"/>
      <c r="Q410" s="3"/>
      <c r="R410" s="3"/>
      <c r="S410" s="3"/>
      <c r="T410" s="22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</row>
    <row r="411">
      <c r="A411" s="3"/>
      <c r="B411" s="3"/>
      <c r="C411" s="3"/>
      <c r="D411" s="3"/>
      <c r="E411" s="187"/>
      <c r="F411" s="3"/>
      <c r="G411" s="3"/>
      <c r="H411" s="3"/>
      <c r="I411" s="3"/>
      <c r="J411" s="3"/>
      <c r="K411" s="221"/>
      <c r="L411" s="599"/>
      <c r="M411" s="221"/>
      <c r="N411" s="3"/>
      <c r="O411" s="3"/>
      <c r="P411" s="3"/>
      <c r="Q411" s="3"/>
      <c r="R411" s="3"/>
      <c r="S411" s="3"/>
      <c r="T411" s="22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</row>
    <row r="412">
      <c r="A412" s="3"/>
      <c r="B412" s="3"/>
      <c r="C412" s="3"/>
      <c r="D412" s="3"/>
      <c r="E412" s="187"/>
      <c r="F412" s="3"/>
      <c r="G412" s="3"/>
      <c r="H412" s="3"/>
      <c r="I412" s="3"/>
      <c r="J412" s="3"/>
      <c r="K412" s="221"/>
      <c r="L412" s="599"/>
      <c r="M412" s="221"/>
      <c r="N412" s="3"/>
      <c r="O412" s="3"/>
      <c r="P412" s="3"/>
      <c r="Q412" s="3"/>
      <c r="R412" s="3"/>
      <c r="S412" s="3"/>
      <c r="T412" s="22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</row>
    <row r="413">
      <c r="A413" s="3"/>
      <c r="B413" s="3"/>
      <c r="C413" s="3"/>
      <c r="D413" s="3"/>
      <c r="E413" s="187"/>
      <c r="F413" s="3"/>
      <c r="G413" s="3"/>
      <c r="H413" s="3"/>
      <c r="I413" s="3"/>
      <c r="J413" s="3"/>
      <c r="K413" s="221"/>
      <c r="L413" s="599"/>
      <c r="M413" s="221"/>
      <c r="N413" s="3"/>
      <c r="O413" s="3"/>
      <c r="P413" s="3"/>
      <c r="Q413" s="3"/>
      <c r="R413" s="3"/>
      <c r="S413" s="3"/>
      <c r="T413" s="22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</row>
    <row r="414">
      <c r="A414" s="3"/>
      <c r="B414" s="3"/>
      <c r="C414" s="3"/>
      <c r="D414" s="3"/>
      <c r="E414" s="187"/>
      <c r="F414" s="3"/>
      <c r="G414" s="3"/>
      <c r="H414" s="3"/>
      <c r="I414" s="3"/>
      <c r="J414" s="3"/>
      <c r="K414" s="221"/>
      <c r="L414" s="599"/>
      <c r="M414" s="221"/>
      <c r="N414" s="3"/>
      <c r="O414" s="3"/>
      <c r="P414" s="3"/>
      <c r="Q414" s="3"/>
      <c r="R414" s="3"/>
      <c r="S414" s="3"/>
      <c r="T414" s="22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</row>
    <row r="415">
      <c r="A415" s="3"/>
      <c r="B415" s="3"/>
      <c r="C415" s="3"/>
      <c r="D415" s="3"/>
      <c r="E415" s="187"/>
      <c r="F415" s="3"/>
      <c r="G415" s="3"/>
      <c r="H415" s="3"/>
      <c r="I415" s="3"/>
      <c r="J415" s="3"/>
      <c r="K415" s="221"/>
      <c r="L415" s="599"/>
      <c r="M415" s="221"/>
      <c r="N415" s="3"/>
      <c r="O415" s="3"/>
      <c r="P415" s="3"/>
      <c r="Q415" s="3"/>
      <c r="R415" s="3"/>
      <c r="S415" s="3"/>
      <c r="T415" s="22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</row>
    <row r="416">
      <c r="A416" s="3"/>
      <c r="B416" s="3"/>
      <c r="C416" s="3"/>
      <c r="D416" s="3"/>
      <c r="E416" s="187"/>
      <c r="F416" s="3"/>
      <c r="G416" s="3"/>
      <c r="H416" s="3"/>
      <c r="I416" s="3"/>
      <c r="J416" s="3"/>
      <c r="K416" s="221"/>
      <c r="L416" s="599"/>
      <c r="M416" s="221"/>
      <c r="N416" s="3"/>
      <c r="O416" s="3"/>
      <c r="P416" s="3"/>
      <c r="Q416" s="3"/>
      <c r="R416" s="3"/>
      <c r="S416" s="3"/>
      <c r="T416" s="22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</row>
    <row r="417">
      <c r="A417" s="3"/>
      <c r="B417" s="3"/>
      <c r="C417" s="3"/>
      <c r="D417" s="3"/>
      <c r="E417" s="187"/>
      <c r="F417" s="3"/>
      <c r="G417" s="3"/>
      <c r="H417" s="3"/>
      <c r="I417" s="3"/>
      <c r="J417" s="3"/>
      <c r="K417" s="221"/>
      <c r="L417" s="599"/>
      <c r="M417" s="221"/>
      <c r="N417" s="3"/>
      <c r="O417" s="3"/>
      <c r="P417" s="3"/>
      <c r="Q417" s="3"/>
      <c r="R417" s="3"/>
      <c r="S417" s="3"/>
      <c r="T417" s="22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</row>
    <row r="418">
      <c r="A418" s="3"/>
      <c r="B418" s="3"/>
      <c r="C418" s="3"/>
      <c r="D418" s="3"/>
      <c r="E418" s="187"/>
      <c r="F418" s="3"/>
      <c r="G418" s="3"/>
      <c r="H418" s="3"/>
      <c r="I418" s="3"/>
      <c r="J418" s="3"/>
      <c r="K418" s="221"/>
      <c r="L418" s="599"/>
      <c r="M418" s="221"/>
      <c r="N418" s="3"/>
      <c r="O418" s="3"/>
      <c r="P418" s="3"/>
      <c r="Q418" s="3"/>
      <c r="R418" s="3"/>
      <c r="S418" s="3"/>
      <c r="T418" s="22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</row>
    <row r="419">
      <c r="A419" s="3"/>
      <c r="B419" s="3"/>
      <c r="C419" s="3"/>
      <c r="D419" s="3"/>
      <c r="E419" s="187"/>
      <c r="F419" s="3"/>
      <c r="G419" s="3"/>
      <c r="H419" s="3"/>
      <c r="I419" s="3"/>
      <c r="J419" s="3"/>
      <c r="K419" s="221"/>
      <c r="L419" s="599"/>
      <c r="M419" s="221"/>
      <c r="N419" s="3"/>
      <c r="O419" s="3"/>
      <c r="P419" s="3"/>
      <c r="Q419" s="3"/>
      <c r="R419" s="3"/>
      <c r="S419" s="3"/>
      <c r="T419" s="22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</row>
    <row r="420">
      <c r="A420" s="3"/>
      <c r="B420" s="3"/>
      <c r="C420" s="3"/>
      <c r="D420" s="3"/>
      <c r="E420" s="187"/>
      <c r="F420" s="3"/>
      <c r="G420" s="3"/>
      <c r="H420" s="3"/>
      <c r="I420" s="3"/>
      <c r="J420" s="3"/>
      <c r="K420" s="221"/>
      <c r="L420" s="599"/>
      <c r="M420" s="221"/>
      <c r="N420" s="3"/>
      <c r="O420" s="3"/>
      <c r="P420" s="3"/>
      <c r="Q420" s="3"/>
      <c r="R420" s="3"/>
      <c r="S420" s="3"/>
      <c r="T420" s="22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</row>
    <row r="421">
      <c r="A421" s="3"/>
      <c r="B421" s="3"/>
      <c r="C421" s="3"/>
      <c r="D421" s="3"/>
      <c r="E421" s="187"/>
      <c r="F421" s="3"/>
      <c r="G421" s="3"/>
      <c r="H421" s="3"/>
      <c r="I421" s="3"/>
      <c r="J421" s="3"/>
      <c r="K421" s="221"/>
      <c r="L421" s="599"/>
      <c r="M421" s="221"/>
      <c r="N421" s="3"/>
      <c r="O421" s="3"/>
      <c r="P421" s="3"/>
      <c r="Q421" s="3"/>
      <c r="R421" s="3"/>
      <c r="S421" s="3"/>
      <c r="T421" s="22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</row>
    <row r="422">
      <c r="A422" s="3"/>
      <c r="B422" s="3"/>
      <c r="C422" s="3"/>
      <c r="D422" s="3"/>
      <c r="E422" s="187"/>
      <c r="F422" s="3"/>
      <c r="G422" s="3"/>
      <c r="H422" s="3"/>
      <c r="I422" s="3"/>
      <c r="J422" s="3"/>
      <c r="K422" s="221"/>
      <c r="L422" s="599"/>
      <c r="M422" s="221"/>
      <c r="N422" s="3"/>
      <c r="O422" s="3"/>
      <c r="P422" s="3"/>
      <c r="Q422" s="3"/>
      <c r="R422" s="3"/>
      <c r="S422" s="3"/>
      <c r="T422" s="22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</row>
    <row r="423">
      <c r="A423" s="3"/>
      <c r="B423" s="3"/>
      <c r="C423" s="3"/>
      <c r="D423" s="3"/>
      <c r="E423" s="187"/>
      <c r="F423" s="3"/>
      <c r="G423" s="3"/>
      <c r="H423" s="3"/>
      <c r="I423" s="3"/>
      <c r="J423" s="3"/>
      <c r="K423" s="221"/>
      <c r="L423" s="599"/>
      <c r="M423" s="221"/>
      <c r="N423" s="3"/>
      <c r="O423" s="3"/>
      <c r="P423" s="3"/>
      <c r="Q423" s="3"/>
      <c r="R423" s="3"/>
      <c r="S423" s="3"/>
      <c r="T423" s="22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</row>
    <row r="424">
      <c r="A424" s="3"/>
      <c r="B424" s="3"/>
      <c r="C424" s="3"/>
      <c r="D424" s="3"/>
      <c r="E424" s="187"/>
      <c r="F424" s="3"/>
      <c r="G424" s="3"/>
      <c r="H424" s="3"/>
      <c r="I424" s="3"/>
      <c r="J424" s="3"/>
      <c r="K424" s="221"/>
      <c r="L424" s="599"/>
      <c r="M424" s="221"/>
      <c r="N424" s="3"/>
      <c r="O424" s="3"/>
      <c r="P424" s="3"/>
      <c r="Q424" s="3"/>
      <c r="R424" s="3"/>
      <c r="S424" s="3"/>
      <c r="T424" s="22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</row>
    <row r="425">
      <c r="A425" s="3"/>
      <c r="B425" s="3"/>
      <c r="C425" s="3"/>
      <c r="D425" s="3"/>
      <c r="E425" s="187"/>
      <c r="F425" s="3"/>
      <c r="G425" s="3"/>
      <c r="H425" s="3"/>
      <c r="I425" s="3"/>
      <c r="J425" s="3"/>
      <c r="K425" s="221"/>
      <c r="L425" s="599"/>
      <c r="M425" s="221"/>
      <c r="N425" s="3"/>
      <c r="O425" s="3"/>
      <c r="P425" s="3"/>
      <c r="Q425" s="3"/>
      <c r="R425" s="3"/>
      <c r="S425" s="3"/>
      <c r="T425" s="22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</row>
    <row r="426">
      <c r="A426" s="3"/>
      <c r="B426" s="3"/>
      <c r="C426" s="3"/>
      <c r="D426" s="3"/>
      <c r="E426" s="187"/>
      <c r="F426" s="3"/>
      <c r="G426" s="3"/>
      <c r="H426" s="3"/>
      <c r="I426" s="3"/>
      <c r="J426" s="3"/>
      <c r="K426" s="221"/>
      <c r="L426" s="599"/>
      <c r="M426" s="221"/>
      <c r="N426" s="3"/>
      <c r="O426" s="3"/>
      <c r="P426" s="3"/>
      <c r="Q426" s="3"/>
      <c r="R426" s="3"/>
      <c r="S426" s="3"/>
      <c r="T426" s="22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</row>
    <row r="427">
      <c r="A427" s="3"/>
      <c r="B427" s="3"/>
      <c r="C427" s="3"/>
      <c r="D427" s="3"/>
      <c r="E427" s="187"/>
      <c r="F427" s="3"/>
      <c r="G427" s="3"/>
      <c r="H427" s="3"/>
      <c r="I427" s="3"/>
      <c r="J427" s="3"/>
      <c r="K427" s="221"/>
      <c r="L427" s="599"/>
      <c r="M427" s="221"/>
      <c r="N427" s="3"/>
      <c r="O427" s="3"/>
      <c r="P427" s="3"/>
      <c r="Q427" s="3"/>
      <c r="R427" s="3"/>
      <c r="S427" s="3"/>
      <c r="T427" s="22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</row>
    <row r="428">
      <c r="A428" s="3"/>
      <c r="B428" s="3"/>
      <c r="C428" s="3"/>
      <c r="D428" s="3"/>
      <c r="E428" s="187"/>
      <c r="F428" s="3"/>
      <c r="G428" s="3"/>
      <c r="H428" s="3"/>
      <c r="I428" s="3"/>
      <c r="J428" s="3"/>
      <c r="K428" s="221"/>
      <c r="L428" s="599"/>
      <c r="M428" s="221"/>
      <c r="N428" s="3"/>
      <c r="O428" s="3"/>
      <c r="P428" s="3"/>
      <c r="Q428" s="3"/>
      <c r="R428" s="3"/>
      <c r="S428" s="3"/>
      <c r="T428" s="22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</row>
    <row r="429">
      <c r="A429" s="3"/>
      <c r="B429" s="3"/>
      <c r="C429" s="3"/>
      <c r="D429" s="3"/>
      <c r="E429" s="187"/>
      <c r="F429" s="3"/>
      <c r="G429" s="3"/>
      <c r="H429" s="3"/>
      <c r="I429" s="3"/>
      <c r="J429" s="3"/>
      <c r="K429" s="221"/>
      <c r="L429" s="599"/>
      <c r="M429" s="221"/>
      <c r="N429" s="3"/>
      <c r="O429" s="3"/>
      <c r="P429" s="3"/>
      <c r="Q429" s="3"/>
      <c r="R429" s="3"/>
      <c r="S429" s="3"/>
      <c r="T429" s="22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</row>
    <row r="430">
      <c r="A430" s="3"/>
      <c r="B430" s="3"/>
      <c r="C430" s="3"/>
      <c r="D430" s="3"/>
      <c r="E430" s="187"/>
      <c r="F430" s="3"/>
      <c r="G430" s="3"/>
      <c r="H430" s="3"/>
      <c r="I430" s="3"/>
      <c r="J430" s="3"/>
      <c r="K430" s="221"/>
      <c r="L430" s="599"/>
      <c r="M430" s="221"/>
      <c r="N430" s="3"/>
      <c r="O430" s="3"/>
      <c r="P430" s="3"/>
      <c r="Q430" s="3"/>
      <c r="R430" s="3"/>
      <c r="S430" s="3"/>
      <c r="T430" s="22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</row>
    <row r="431">
      <c r="A431" s="3"/>
      <c r="B431" s="3"/>
      <c r="C431" s="3"/>
      <c r="D431" s="3"/>
      <c r="E431" s="187"/>
      <c r="F431" s="3"/>
      <c r="G431" s="3"/>
      <c r="H431" s="3"/>
      <c r="I431" s="3"/>
      <c r="J431" s="3"/>
      <c r="K431" s="221"/>
      <c r="L431" s="599"/>
      <c r="M431" s="221"/>
      <c r="N431" s="3"/>
      <c r="O431" s="3"/>
      <c r="P431" s="3"/>
      <c r="Q431" s="3"/>
      <c r="R431" s="3"/>
      <c r="S431" s="3"/>
      <c r="T431" s="22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</row>
    <row r="432">
      <c r="A432" s="3"/>
      <c r="B432" s="3"/>
      <c r="C432" s="3"/>
      <c r="D432" s="3"/>
      <c r="E432" s="187"/>
      <c r="F432" s="3"/>
      <c r="G432" s="3"/>
      <c r="H432" s="3"/>
      <c r="I432" s="3"/>
      <c r="J432" s="3"/>
      <c r="K432" s="221"/>
      <c r="L432" s="599"/>
      <c r="M432" s="221"/>
      <c r="N432" s="3"/>
      <c r="O432" s="3"/>
      <c r="P432" s="3"/>
      <c r="Q432" s="3"/>
      <c r="R432" s="3"/>
      <c r="S432" s="3"/>
      <c r="T432" s="22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</row>
    <row r="433">
      <c r="A433" s="3"/>
      <c r="B433" s="3"/>
      <c r="C433" s="3"/>
      <c r="D433" s="3"/>
      <c r="E433" s="187"/>
      <c r="F433" s="3"/>
      <c r="G433" s="3"/>
      <c r="H433" s="3"/>
      <c r="I433" s="3"/>
      <c r="J433" s="3"/>
      <c r="K433" s="221"/>
      <c r="L433" s="599"/>
      <c r="M433" s="221"/>
      <c r="N433" s="3"/>
      <c r="O433" s="3"/>
      <c r="P433" s="3"/>
      <c r="Q433" s="3"/>
      <c r="R433" s="3"/>
      <c r="S433" s="3"/>
      <c r="T433" s="22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</row>
    <row r="434">
      <c r="A434" s="3"/>
      <c r="B434" s="3"/>
      <c r="C434" s="3"/>
      <c r="D434" s="3"/>
      <c r="E434" s="187"/>
      <c r="F434" s="3"/>
      <c r="G434" s="3"/>
      <c r="H434" s="3"/>
      <c r="I434" s="3"/>
      <c r="J434" s="3"/>
      <c r="K434" s="221"/>
      <c r="L434" s="599"/>
      <c r="M434" s="221"/>
      <c r="N434" s="3"/>
      <c r="O434" s="3"/>
      <c r="P434" s="3"/>
      <c r="Q434" s="3"/>
      <c r="R434" s="3"/>
      <c r="S434" s="3"/>
      <c r="T434" s="22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</row>
    <row r="435">
      <c r="A435" s="3"/>
      <c r="B435" s="3"/>
      <c r="C435" s="3"/>
      <c r="D435" s="3"/>
      <c r="E435" s="187"/>
      <c r="F435" s="3"/>
      <c r="G435" s="3"/>
      <c r="H435" s="3"/>
      <c r="I435" s="3"/>
      <c r="J435" s="3"/>
      <c r="K435" s="221"/>
      <c r="L435" s="599"/>
      <c r="M435" s="221"/>
      <c r="N435" s="3"/>
      <c r="O435" s="3"/>
      <c r="P435" s="3"/>
      <c r="Q435" s="3"/>
      <c r="R435" s="3"/>
      <c r="S435" s="3"/>
      <c r="T435" s="22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</row>
    <row r="436">
      <c r="A436" s="3"/>
      <c r="B436" s="3"/>
      <c r="C436" s="3"/>
      <c r="D436" s="3"/>
      <c r="E436" s="187"/>
      <c r="F436" s="3"/>
      <c r="G436" s="3"/>
      <c r="H436" s="3"/>
      <c r="I436" s="3"/>
      <c r="J436" s="3"/>
      <c r="K436" s="221"/>
      <c r="L436" s="599"/>
      <c r="M436" s="221"/>
      <c r="N436" s="3"/>
      <c r="O436" s="3"/>
      <c r="P436" s="3"/>
      <c r="Q436" s="3"/>
      <c r="R436" s="3"/>
      <c r="S436" s="3"/>
      <c r="T436" s="22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</row>
    <row r="437">
      <c r="A437" s="3"/>
      <c r="B437" s="3"/>
      <c r="C437" s="3"/>
      <c r="D437" s="3"/>
      <c r="E437" s="187"/>
      <c r="F437" s="3"/>
      <c r="G437" s="3"/>
      <c r="H437" s="3"/>
      <c r="I437" s="3"/>
      <c r="J437" s="3"/>
      <c r="K437" s="221"/>
      <c r="L437" s="599"/>
      <c r="M437" s="221"/>
      <c r="N437" s="3"/>
      <c r="O437" s="3"/>
      <c r="P437" s="3"/>
      <c r="Q437" s="3"/>
      <c r="R437" s="3"/>
      <c r="S437" s="3"/>
      <c r="T437" s="22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</row>
    <row r="438">
      <c r="A438" s="3"/>
      <c r="B438" s="3"/>
      <c r="C438" s="3"/>
      <c r="D438" s="3"/>
      <c r="E438" s="187"/>
      <c r="F438" s="3"/>
      <c r="G438" s="3"/>
      <c r="H438" s="3"/>
      <c r="I438" s="3"/>
      <c r="J438" s="3"/>
      <c r="K438" s="221"/>
      <c r="L438" s="599"/>
      <c r="M438" s="221"/>
      <c r="N438" s="3"/>
      <c r="O438" s="3"/>
      <c r="P438" s="3"/>
      <c r="Q438" s="3"/>
      <c r="R438" s="3"/>
      <c r="S438" s="3"/>
      <c r="T438" s="22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</row>
    <row r="439">
      <c r="A439" s="3"/>
      <c r="B439" s="3"/>
      <c r="C439" s="3"/>
      <c r="D439" s="3"/>
      <c r="E439" s="187"/>
      <c r="F439" s="3"/>
      <c r="G439" s="3"/>
      <c r="H439" s="3"/>
      <c r="I439" s="3"/>
      <c r="J439" s="3"/>
      <c r="K439" s="221"/>
      <c r="L439" s="599"/>
      <c r="M439" s="221"/>
      <c r="N439" s="3"/>
      <c r="O439" s="3"/>
      <c r="P439" s="3"/>
      <c r="Q439" s="3"/>
      <c r="R439" s="3"/>
      <c r="S439" s="3"/>
      <c r="T439" s="22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</row>
    <row r="440">
      <c r="A440" s="3"/>
      <c r="B440" s="3"/>
      <c r="C440" s="3"/>
      <c r="D440" s="3"/>
      <c r="E440" s="187"/>
      <c r="F440" s="3"/>
      <c r="G440" s="3"/>
      <c r="H440" s="3"/>
      <c r="I440" s="3"/>
      <c r="J440" s="3"/>
      <c r="K440" s="221"/>
      <c r="L440" s="599"/>
      <c r="M440" s="221"/>
      <c r="N440" s="3"/>
      <c r="O440" s="3"/>
      <c r="P440" s="3"/>
      <c r="Q440" s="3"/>
      <c r="R440" s="3"/>
      <c r="S440" s="3"/>
      <c r="T440" s="22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</row>
    <row r="441">
      <c r="A441" s="3"/>
      <c r="B441" s="3"/>
      <c r="C441" s="3"/>
      <c r="D441" s="3"/>
      <c r="E441" s="187"/>
      <c r="F441" s="3"/>
      <c r="G441" s="3"/>
      <c r="H441" s="3"/>
      <c r="I441" s="3"/>
      <c r="J441" s="3"/>
      <c r="K441" s="221"/>
      <c r="L441" s="599"/>
      <c r="M441" s="221"/>
      <c r="N441" s="3"/>
      <c r="O441" s="3"/>
      <c r="P441" s="3"/>
      <c r="Q441" s="3"/>
      <c r="R441" s="3"/>
      <c r="S441" s="3"/>
      <c r="T441" s="22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</row>
    <row r="442">
      <c r="A442" s="3"/>
      <c r="B442" s="3"/>
      <c r="C442" s="3"/>
      <c r="D442" s="3"/>
      <c r="E442" s="187"/>
      <c r="F442" s="3"/>
      <c r="G442" s="3"/>
      <c r="H442" s="3"/>
      <c r="I442" s="3"/>
      <c r="J442" s="3"/>
      <c r="K442" s="221"/>
      <c r="L442" s="599"/>
      <c r="M442" s="221"/>
      <c r="N442" s="3"/>
      <c r="O442" s="3"/>
      <c r="P442" s="3"/>
      <c r="Q442" s="3"/>
      <c r="R442" s="3"/>
      <c r="S442" s="3"/>
      <c r="T442" s="22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</row>
    <row r="443">
      <c r="A443" s="3"/>
      <c r="B443" s="3"/>
      <c r="C443" s="3"/>
      <c r="D443" s="3"/>
      <c r="E443" s="187"/>
      <c r="F443" s="3"/>
      <c r="G443" s="3"/>
      <c r="H443" s="3"/>
      <c r="I443" s="3"/>
      <c r="J443" s="3"/>
      <c r="K443" s="221"/>
      <c r="L443" s="599"/>
      <c r="M443" s="221"/>
      <c r="N443" s="3"/>
      <c r="O443" s="3"/>
      <c r="P443" s="3"/>
      <c r="Q443" s="3"/>
      <c r="R443" s="3"/>
      <c r="S443" s="3"/>
      <c r="T443" s="22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</row>
    <row r="444">
      <c r="A444" s="3"/>
      <c r="B444" s="3"/>
      <c r="C444" s="3"/>
      <c r="D444" s="3"/>
      <c r="E444" s="187"/>
      <c r="F444" s="3"/>
      <c r="G444" s="3"/>
      <c r="H444" s="3"/>
      <c r="I444" s="3"/>
      <c r="J444" s="3"/>
      <c r="K444" s="221"/>
      <c r="L444" s="599"/>
      <c r="M444" s="221"/>
      <c r="N444" s="3"/>
      <c r="O444" s="3"/>
      <c r="P444" s="3"/>
      <c r="Q444" s="3"/>
      <c r="R444" s="3"/>
      <c r="S444" s="3"/>
      <c r="T444" s="22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</row>
    <row r="445">
      <c r="A445" s="3"/>
      <c r="B445" s="3"/>
      <c r="C445" s="3"/>
      <c r="D445" s="3"/>
      <c r="E445" s="187"/>
      <c r="F445" s="3"/>
      <c r="G445" s="3"/>
      <c r="H445" s="3"/>
      <c r="I445" s="3"/>
      <c r="J445" s="3"/>
      <c r="K445" s="221"/>
      <c r="L445" s="599"/>
      <c r="M445" s="221"/>
      <c r="N445" s="3"/>
      <c r="O445" s="3"/>
      <c r="P445" s="3"/>
      <c r="Q445" s="3"/>
      <c r="R445" s="3"/>
      <c r="S445" s="3"/>
      <c r="T445" s="22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</row>
    <row r="446">
      <c r="A446" s="3"/>
      <c r="B446" s="3"/>
      <c r="C446" s="3"/>
      <c r="D446" s="3"/>
      <c r="E446" s="187"/>
      <c r="F446" s="3"/>
      <c r="G446" s="3"/>
      <c r="H446" s="3"/>
      <c r="I446" s="3"/>
      <c r="J446" s="3"/>
      <c r="K446" s="221"/>
      <c r="L446" s="599"/>
      <c r="M446" s="221"/>
      <c r="N446" s="3"/>
      <c r="O446" s="3"/>
      <c r="P446" s="3"/>
      <c r="Q446" s="3"/>
      <c r="R446" s="3"/>
      <c r="S446" s="3"/>
      <c r="T446" s="22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</row>
    <row r="447">
      <c r="A447" s="3"/>
      <c r="B447" s="3"/>
      <c r="C447" s="3"/>
      <c r="D447" s="3"/>
      <c r="E447" s="187"/>
      <c r="F447" s="3"/>
      <c r="G447" s="3"/>
      <c r="H447" s="3"/>
      <c r="I447" s="3"/>
      <c r="J447" s="3"/>
      <c r="K447" s="221"/>
      <c r="L447" s="599"/>
      <c r="M447" s="221"/>
      <c r="N447" s="3"/>
      <c r="O447" s="3"/>
      <c r="P447" s="3"/>
      <c r="Q447" s="3"/>
      <c r="R447" s="3"/>
      <c r="S447" s="3"/>
      <c r="T447" s="22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</row>
    <row r="448">
      <c r="A448" s="3"/>
      <c r="B448" s="3"/>
      <c r="C448" s="3"/>
      <c r="D448" s="3"/>
      <c r="E448" s="187"/>
      <c r="F448" s="3"/>
      <c r="G448" s="3"/>
      <c r="H448" s="3"/>
      <c r="I448" s="3"/>
      <c r="J448" s="3"/>
      <c r="K448" s="221"/>
      <c r="L448" s="599"/>
      <c r="M448" s="221"/>
      <c r="N448" s="3"/>
      <c r="O448" s="3"/>
      <c r="P448" s="3"/>
      <c r="Q448" s="3"/>
      <c r="R448" s="3"/>
      <c r="S448" s="3"/>
      <c r="T448" s="22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</row>
    <row r="449">
      <c r="A449" s="3"/>
      <c r="B449" s="3"/>
      <c r="C449" s="3"/>
      <c r="D449" s="3"/>
      <c r="E449" s="187"/>
      <c r="F449" s="3"/>
      <c r="G449" s="3"/>
      <c r="H449" s="3"/>
      <c r="I449" s="3"/>
      <c r="J449" s="3"/>
      <c r="K449" s="221"/>
      <c r="L449" s="599"/>
      <c r="M449" s="221"/>
      <c r="N449" s="3"/>
      <c r="O449" s="3"/>
      <c r="P449" s="3"/>
      <c r="Q449" s="3"/>
      <c r="R449" s="3"/>
      <c r="S449" s="3"/>
      <c r="T449" s="22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</row>
    <row r="450">
      <c r="A450" s="3"/>
      <c r="B450" s="3"/>
      <c r="C450" s="3"/>
      <c r="D450" s="3"/>
      <c r="E450" s="187"/>
      <c r="F450" s="3"/>
      <c r="G450" s="3"/>
      <c r="H450" s="3"/>
      <c r="I450" s="3"/>
      <c r="J450" s="3"/>
      <c r="K450" s="221"/>
      <c r="L450" s="599"/>
      <c r="M450" s="221"/>
      <c r="N450" s="3"/>
      <c r="O450" s="3"/>
      <c r="P450" s="3"/>
      <c r="Q450" s="3"/>
      <c r="R450" s="3"/>
      <c r="S450" s="3"/>
      <c r="T450" s="22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</row>
    <row r="451">
      <c r="A451" s="3"/>
      <c r="B451" s="3"/>
      <c r="C451" s="3"/>
      <c r="D451" s="3"/>
      <c r="E451" s="187"/>
      <c r="F451" s="3"/>
      <c r="G451" s="3"/>
      <c r="H451" s="3"/>
      <c r="I451" s="3"/>
      <c r="J451" s="3"/>
      <c r="K451" s="221"/>
      <c r="L451" s="599"/>
      <c r="M451" s="221"/>
      <c r="N451" s="3"/>
      <c r="O451" s="3"/>
      <c r="P451" s="3"/>
      <c r="Q451" s="3"/>
      <c r="R451" s="3"/>
      <c r="S451" s="3"/>
      <c r="T451" s="22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</row>
    <row r="452">
      <c r="A452" s="3"/>
      <c r="B452" s="3"/>
      <c r="C452" s="3"/>
      <c r="D452" s="3"/>
      <c r="E452" s="187"/>
      <c r="F452" s="3"/>
      <c r="G452" s="3"/>
      <c r="H452" s="3"/>
      <c r="I452" s="3"/>
      <c r="J452" s="3"/>
      <c r="K452" s="221"/>
      <c r="L452" s="599"/>
      <c r="M452" s="221"/>
      <c r="N452" s="3"/>
      <c r="O452" s="3"/>
      <c r="P452" s="3"/>
      <c r="Q452" s="3"/>
      <c r="R452" s="3"/>
      <c r="S452" s="3"/>
      <c r="T452" s="22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</row>
    <row r="453">
      <c r="A453" s="3"/>
      <c r="B453" s="3"/>
      <c r="C453" s="3"/>
      <c r="D453" s="3"/>
      <c r="E453" s="187"/>
      <c r="F453" s="3"/>
      <c r="G453" s="3"/>
      <c r="H453" s="3"/>
      <c r="I453" s="3"/>
      <c r="J453" s="3"/>
      <c r="K453" s="221"/>
      <c r="L453" s="599"/>
      <c r="M453" s="221"/>
      <c r="N453" s="3"/>
      <c r="O453" s="3"/>
      <c r="P453" s="3"/>
      <c r="Q453" s="3"/>
      <c r="R453" s="3"/>
      <c r="S453" s="3"/>
      <c r="T453" s="22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</row>
    <row r="454">
      <c r="A454" s="3"/>
      <c r="B454" s="3"/>
      <c r="C454" s="3"/>
      <c r="D454" s="3"/>
      <c r="E454" s="187"/>
      <c r="F454" s="3"/>
      <c r="G454" s="3"/>
      <c r="H454" s="3"/>
      <c r="I454" s="3"/>
      <c r="J454" s="3"/>
      <c r="K454" s="221"/>
      <c r="L454" s="599"/>
      <c r="M454" s="221"/>
      <c r="N454" s="3"/>
      <c r="O454" s="3"/>
      <c r="P454" s="3"/>
      <c r="Q454" s="3"/>
      <c r="R454" s="3"/>
      <c r="S454" s="3"/>
      <c r="T454" s="22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</row>
    <row r="455">
      <c r="A455" s="3"/>
      <c r="B455" s="3"/>
      <c r="C455" s="3"/>
      <c r="D455" s="3"/>
      <c r="E455" s="187"/>
      <c r="F455" s="3"/>
      <c r="G455" s="3"/>
      <c r="H455" s="3"/>
      <c r="I455" s="3"/>
      <c r="J455" s="3"/>
      <c r="K455" s="221"/>
      <c r="L455" s="599"/>
      <c r="M455" s="221"/>
      <c r="N455" s="3"/>
      <c r="O455" s="3"/>
      <c r="P455" s="3"/>
      <c r="Q455" s="3"/>
      <c r="R455" s="3"/>
      <c r="S455" s="3"/>
      <c r="T455" s="22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</row>
    <row r="456">
      <c r="A456" s="3"/>
      <c r="B456" s="3"/>
      <c r="C456" s="3"/>
      <c r="D456" s="3"/>
      <c r="E456" s="187"/>
      <c r="F456" s="3"/>
      <c r="G456" s="3"/>
      <c r="H456" s="3"/>
      <c r="I456" s="3"/>
      <c r="J456" s="3"/>
      <c r="K456" s="221"/>
      <c r="L456" s="599"/>
      <c r="M456" s="221"/>
      <c r="N456" s="3"/>
      <c r="O456" s="3"/>
      <c r="P456" s="3"/>
      <c r="Q456" s="3"/>
      <c r="R456" s="3"/>
      <c r="S456" s="3"/>
      <c r="T456" s="22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</row>
    <row r="457">
      <c r="A457" s="3"/>
      <c r="B457" s="3"/>
      <c r="C457" s="3"/>
      <c r="D457" s="3"/>
      <c r="E457" s="187"/>
      <c r="F457" s="3"/>
      <c r="G457" s="3"/>
      <c r="H457" s="3"/>
      <c r="I457" s="3"/>
      <c r="J457" s="3"/>
      <c r="K457" s="221"/>
      <c r="L457" s="599"/>
      <c r="M457" s="221"/>
      <c r="N457" s="3"/>
      <c r="O457" s="3"/>
      <c r="P457" s="3"/>
      <c r="Q457" s="3"/>
      <c r="R457" s="3"/>
      <c r="S457" s="3"/>
      <c r="T457" s="22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</row>
    <row r="458">
      <c r="A458" s="3"/>
      <c r="B458" s="3"/>
      <c r="C458" s="3"/>
      <c r="D458" s="3"/>
      <c r="E458" s="187"/>
      <c r="F458" s="3"/>
      <c r="G458" s="3"/>
      <c r="H458" s="3"/>
      <c r="I458" s="3"/>
      <c r="J458" s="3"/>
      <c r="K458" s="221"/>
      <c r="L458" s="599"/>
      <c r="M458" s="221"/>
      <c r="N458" s="3"/>
      <c r="O458" s="3"/>
      <c r="P458" s="3"/>
      <c r="Q458" s="3"/>
      <c r="R458" s="3"/>
      <c r="S458" s="3"/>
      <c r="T458" s="22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</row>
    <row r="459">
      <c r="A459" s="3"/>
      <c r="B459" s="3"/>
      <c r="C459" s="3"/>
      <c r="D459" s="3"/>
      <c r="E459" s="187"/>
      <c r="F459" s="3"/>
      <c r="G459" s="3"/>
      <c r="H459" s="3"/>
      <c r="I459" s="3"/>
      <c r="J459" s="3"/>
      <c r="K459" s="221"/>
      <c r="L459" s="599"/>
      <c r="M459" s="221"/>
      <c r="N459" s="3"/>
      <c r="O459" s="3"/>
      <c r="P459" s="3"/>
      <c r="Q459" s="3"/>
      <c r="R459" s="3"/>
      <c r="S459" s="3"/>
      <c r="T459" s="22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</row>
    <row r="460">
      <c r="A460" s="3"/>
      <c r="B460" s="3"/>
      <c r="C460" s="3"/>
      <c r="D460" s="3"/>
      <c r="E460" s="187"/>
      <c r="F460" s="3"/>
      <c r="G460" s="3"/>
      <c r="H460" s="3"/>
      <c r="I460" s="3"/>
      <c r="J460" s="3"/>
      <c r="K460" s="221"/>
      <c r="L460" s="599"/>
      <c r="M460" s="221"/>
      <c r="N460" s="3"/>
      <c r="O460" s="3"/>
      <c r="P460" s="3"/>
      <c r="Q460" s="3"/>
      <c r="R460" s="3"/>
      <c r="S460" s="3"/>
      <c r="T460" s="22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</row>
    <row r="461">
      <c r="A461" s="3"/>
      <c r="B461" s="3"/>
      <c r="C461" s="3"/>
      <c r="D461" s="3"/>
      <c r="E461" s="187"/>
      <c r="F461" s="3"/>
      <c r="G461" s="3"/>
      <c r="H461" s="3"/>
      <c r="I461" s="3"/>
      <c r="J461" s="3"/>
      <c r="K461" s="221"/>
      <c r="L461" s="599"/>
      <c r="M461" s="221"/>
      <c r="N461" s="3"/>
      <c r="O461" s="3"/>
      <c r="P461" s="3"/>
      <c r="Q461" s="3"/>
      <c r="R461" s="3"/>
      <c r="S461" s="3"/>
      <c r="T461" s="22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</row>
    <row r="462">
      <c r="A462" s="3"/>
      <c r="B462" s="3"/>
      <c r="C462" s="3"/>
      <c r="D462" s="3"/>
      <c r="E462" s="187"/>
      <c r="F462" s="3"/>
      <c r="G462" s="3"/>
      <c r="H462" s="3"/>
      <c r="I462" s="3"/>
      <c r="J462" s="3"/>
      <c r="K462" s="221"/>
      <c r="L462" s="599"/>
      <c r="M462" s="221"/>
      <c r="N462" s="3"/>
      <c r="O462" s="3"/>
      <c r="P462" s="3"/>
      <c r="Q462" s="3"/>
      <c r="R462" s="3"/>
      <c r="S462" s="3"/>
      <c r="T462" s="22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</row>
    <row r="463">
      <c r="A463" s="3"/>
      <c r="B463" s="3"/>
      <c r="C463" s="3"/>
      <c r="D463" s="3"/>
      <c r="E463" s="187"/>
      <c r="F463" s="3"/>
      <c r="G463" s="3"/>
      <c r="H463" s="3"/>
      <c r="I463" s="3"/>
      <c r="J463" s="3"/>
      <c r="K463" s="221"/>
      <c r="L463" s="599"/>
      <c r="M463" s="221"/>
      <c r="N463" s="3"/>
      <c r="O463" s="3"/>
      <c r="P463" s="3"/>
      <c r="Q463" s="3"/>
      <c r="R463" s="3"/>
      <c r="S463" s="3"/>
      <c r="T463" s="22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</row>
    <row r="464">
      <c r="A464" s="3"/>
      <c r="B464" s="3"/>
      <c r="C464" s="3"/>
      <c r="D464" s="3"/>
      <c r="E464" s="187"/>
      <c r="F464" s="3"/>
      <c r="G464" s="3"/>
      <c r="H464" s="3"/>
      <c r="I464" s="3"/>
      <c r="J464" s="3"/>
      <c r="K464" s="221"/>
      <c r="L464" s="599"/>
      <c r="M464" s="221"/>
      <c r="N464" s="3"/>
      <c r="O464" s="3"/>
      <c r="P464" s="3"/>
      <c r="Q464" s="3"/>
      <c r="R464" s="3"/>
      <c r="S464" s="3"/>
      <c r="T464" s="22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</row>
    <row r="465">
      <c r="A465" s="3"/>
      <c r="B465" s="3"/>
      <c r="C465" s="3"/>
      <c r="D465" s="3"/>
      <c r="E465" s="187"/>
      <c r="F465" s="3"/>
      <c r="G465" s="3"/>
      <c r="H465" s="3"/>
      <c r="I465" s="3"/>
      <c r="J465" s="3"/>
      <c r="K465" s="221"/>
      <c r="L465" s="599"/>
      <c r="M465" s="221"/>
      <c r="N465" s="3"/>
      <c r="O465" s="3"/>
      <c r="P465" s="3"/>
      <c r="Q465" s="3"/>
      <c r="R465" s="3"/>
      <c r="S465" s="3"/>
      <c r="T465" s="22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</row>
    <row r="466">
      <c r="A466" s="3"/>
      <c r="B466" s="3"/>
      <c r="C466" s="3"/>
      <c r="D466" s="3"/>
      <c r="E466" s="187"/>
      <c r="F466" s="3"/>
      <c r="G466" s="3"/>
      <c r="H466" s="3"/>
      <c r="I466" s="3"/>
      <c r="J466" s="3"/>
      <c r="K466" s="221"/>
      <c r="L466" s="599"/>
      <c r="M466" s="221"/>
      <c r="N466" s="3"/>
      <c r="O466" s="3"/>
      <c r="P466" s="3"/>
      <c r="Q466" s="3"/>
      <c r="R466" s="3"/>
      <c r="S466" s="3"/>
      <c r="T466" s="22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</row>
    <row r="467">
      <c r="A467" s="3"/>
      <c r="B467" s="3"/>
      <c r="C467" s="3"/>
      <c r="D467" s="3"/>
      <c r="E467" s="187"/>
      <c r="F467" s="3"/>
      <c r="G467" s="3"/>
      <c r="H467" s="3"/>
      <c r="I467" s="3"/>
      <c r="J467" s="3"/>
      <c r="K467" s="221"/>
      <c r="L467" s="599"/>
      <c r="M467" s="221"/>
      <c r="N467" s="3"/>
      <c r="O467" s="3"/>
      <c r="P467" s="3"/>
      <c r="Q467" s="3"/>
      <c r="R467" s="3"/>
      <c r="S467" s="3"/>
      <c r="T467" s="22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</row>
    <row r="468">
      <c r="A468" s="3"/>
      <c r="B468" s="3"/>
      <c r="C468" s="3"/>
      <c r="D468" s="3"/>
      <c r="E468" s="187"/>
      <c r="F468" s="3"/>
      <c r="G468" s="3"/>
      <c r="H468" s="3"/>
      <c r="I468" s="3"/>
      <c r="J468" s="3"/>
      <c r="K468" s="221"/>
      <c r="L468" s="599"/>
      <c r="M468" s="221"/>
      <c r="N468" s="3"/>
      <c r="O468" s="3"/>
      <c r="P468" s="3"/>
      <c r="Q468" s="3"/>
      <c r="R468" s="3"/>
      <c r="S468" s="3"/>
      <c r="T468" s="22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</row>
    <row r="469">
      <c r="A469" s="3"/>
      <c r="B469" s="3"/>
      <c r="C469" s="3"/>
      <c r="D469" s="3"/>
      <c r="E469" s="187"/>
      <c r="F469" s="3"/>
      <c r="G469" s="3"/>
      <c r="H469" s="3"/>
      <c r="I469" s="3"/>
      <c r="J469" s="3"/>
      <c r="K469" s="221"/>
      <c r="L469" s="599"/>
      <c r="M469" s="221"/>
      <c r="N469" s="3"/>
      <c r="O469" s="3"/>
      <c r="P469" s="3"/>
      <c r="Q469" s="3"/>
      <c r="R469" s="3"/>
      <c r="S469" s="3"/>
      <c r="T469" s="22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</row>
    <row r="470">
      <c r="A470" s="3"/>
      <c r="B470" s="3"/>
      <c r="C470" s="3"/>
      <c r="D470" s="3"/>
      <c r="E470" s="187"/>
      <c r="F470" s="3"/>
      <c r="G470" s="3"/>
      <c r="H470" s="3"/>
      <c r="I470" s="3"/>
      <c r="J470" s="3"/>
      <c r="K470" s="221"/>
      <c r="L470" s="599"/>
      <c r="M470" s="221"/>
      <c r="N470" s="3"/>
      <c r="O470" s="3"/>
      <c r="P470" s="3"/>
      <c r="Q470" s="3"/>
      <c r="R470" s="3"/>
      <c r="S470" s="3"/>
      <c r="T470" s="22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</row>
    <row r="471">
      <c r="A471" s="3"/>
      <c r="B471" s="3"/>
      <c r="C471" s="3"/>
      <c r="D471" s="3"/>
      <c r="E471" s="187"/>
      <c r="F471" s="3"/>
      <c r="G471" s="3"/>
      <c r="H471" s="3"/>
      <c r="I471" s="3"/>
      <c r="J471" s="3"/>
      <c r="K471" s="221"/>
      <c r="L471" s="599"/>
      <c r="M471" s="221"/>
      <c r="N471" s="3"/>
      <c r="O471" s="3"/>
      <c r="P471" s="3"/>
      <c r="Q471" s="3"/>
      <c r="R471" s="3"/>
      <c r="S471" s="3"/>
      <c r="T471" s="22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</row>
    <row r="472">
      <c r="A472" s="3"/>
      <c r="B472" s="3"/>
      <c r="C472" s="3"/>
      <c r="D472" s="3"/>
      <c r="E472" s="187"/>
      <c r="F472" s="3"/>
      <c r="G472" s="3"/>
      <c r="H472" s="3"/>
      <c r="I472" s="3"/>
      <c r="J472" s="3"/>
      <c r="K472" s="221"/>
      <c r="L472" s="599"/>
      <c r="M472" s="221"/>
      <c r="N472" s="3"/>
      <c r="O472" s="3"/>
      <c r="P472" s="3"/>
      <c r="Q472" s="3"/>
      <c r="R472" s="3"/>
      <c r="S472" s="3"/>
      <c r="T472" s="22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</row>
    <row r="473">
      <c r="A473" s="3"/>
      <c r="B473" s="3"/>
      <c r="C473" s="3"/>
      <c r="D473" s="3"/>
      <c r="E473" s="187"/>
      <c r="F473" s="3"/>
      <c r="G473" s="3"/>
      <c r="H473" s="3"/>
      <c r="I473" s="3"/>
      <c r="J473" s="3"/>
      <c r="K473" s="221"/>
      <c r="L473" s="599"/>
      <c r="M473" s="221"/>
      <c r="N473" s="3"/>
      <c r="O473" s="3"/>
      <c r="P473" s="3"/>
      <c r="Q473" s="3"/>
      <c r="R473" s="3"/>
      <c r="S473" s="3"/>
      <c r="T473" s="22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</row>
    <row r="474">
      <c r="A474" s="3"/>
      <c r="B474" s="3"/>
      <c r="C474" s="3"/>
      <c r="D474" s="3"/>
      <c r="E474" s="187"/>
      <c r="F474" s="3"/>
      <c r="G474" s="3"/>
      <c r="H474" s="3"/>
      <c r="I474" s="3"/>
      <c r="J474" s="3"/>
      <c r="K474" s="221"/>
      <c r="L474" s="599"/>
      <c r="M474" s="221"/>
      <c r="N474" s="3"/>
      <c r="O474" s="3"/>
      <c r="P474" s="3"/>
      <c r="Q474" s="3"/>
      <c r="R474" s="3"/>
      <c r="S474" s="3"/>
      <c r="T474" s="22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</row>
    <row r="475">
      <c r="A475" s="3"/>
      <c r="B475" s="3"/>
      <c r="C475" s="3"/>
      <c r="D475" s="3"/>
      <c r="E475" s="187"/>
      <c r="F475" s="3"/>
      <c r="G475" s="3"/>
      <c r="H475" s="3"/>
      <c r="I475" s="3"/>
      <c r="J475" s="3"/>
      <c r="K475" s="221"/>
      <c r="L475" s="599"/>
      <c r="M475" s="221"/>
      <c r="N475" s="3"/>
      <c r="O475" s="3"/>
      <c r="P475" s="3"/>
      <c r="Q475" s="3"/>
      <c r="R475" s="3"/>
      <c r="S475" s="3"/>
      <c r="T475" s="22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</row>
    <row r="476">
      <c r="A476" s="3"/>
      <c r="B476" s="3"/>
      <c r="C476" s="3"/>
      <c r="D476" s="3"/>
      <c r="E476" s="187"/>
      <c r="F476" s="3"/>
      <c r="G476" s="3"/>
      <c r="H476" s="3"/>
      <c r="I476" s="3"/>
      <c r="J476" s="3"/>
      <c r="K476" s="221"/>
      <c r="L476" s="599"/>
      <c r="M476" s="221"/>
      <c r="N476" s="3"/>
      <c r="O476" s="3"/>
      <c r="P476" s="3"/>
      <c r="Q476" s="3"/>
      <c r="R476" s="3"/>
      <c r="S476" s="3"/>
      <c r="T476" s="22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</row>
    <row r="477">
      <c r="A477" s="3"/>
      <c r="B477" s="3"/>
      <c r="C477" s="3"/>
      <c r="D477" s="3"/>
      <c r="E477" s="187"/>
      <c r="F477" s="3"/>
      <c r="G477" s="3"/>
      <c r="H477" s="3"/>
      <c r="I477" s="3"/>
      <c r="J477" s="3"/>
      <c r="K477" s="221"/>
      <c r="L477" s="599"/>
      <c r="M477" s="221"/>
      <c r="N477" s="3"/>
      <c r="O477" s="3"/>
      <c r="P477" s="3"/>
      <c r="Q477" s="3"/>
      <c r="R477" s="3"/>
      <c r="S477" s="3"/>
      <c r="T477" s="22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</row>
    <row r="478">
      <c r="A478" s="3"/>
      <c r="B478" s="3"/>
      <c r="C478" s="3"/>
      <c r="D478" s="3"/>
      <c r="E478" s="187"/>
      <c r="F478" s="3"/>
      <c r="G478" s="3"/>
      <c r="H478" s="3"/>
      <c r="I478" s="3"/>
      <c r="J478" s="3"/>
      <c r="K478" s="221"/>
      <c r="L478" s="599"/>
      <c r="M478" s="221"/>
      <c r="N478" s="3"/>
      <c r="O478" s="3"/>
      <c r="P478" s="3"/>
      <c r="Q478" s="3"/>
      <c r="R478" s="3"/>
      <c r="S478" s="3"/>
      <c r="T478" s="22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</row>
    <row r="479">
      <c r="A479" s="3"/>
      <c r="B479" s="3"/>
      <c r="C479" s="3"/>
      <c r="D479" s="3"/>
      <c r="E479" s="187"/>
      <c r="F479" s="3"/>
      <c r="G479" s="3"/>
      <c r="H479" s="3"/>
      <c r="I479" s="3"/>
      <c r="J479" s="3"/>
      <c r="K479" s="221"/>
      <c r="L479" s="599"/>
      <c r="M479" s="221"/>
      <c r="N479" s="3"/>
      <c r="O479" s="3"/>
      <c r="P479" s="3"/>
      <c r="Q479" s="3"/>
      <c r="R479" s="3"/>
      <c r="S479" s="3"/>
      <c r="T479" s="22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</row>
    <row r="480">
      <c r="A480" s="3"/>
      <c r="B480" s="3"/>
      <c r="C480" s="3"/>
      <c r="D480" s="3"/>
      <c r="E480" s="187"/>
      <c r="F480" s="3"/>
      <c r="G480" s="3"/>
      <c r="H480" s="3"/>
      <c r="I480" s="3"/>
      <c r="J480" s="3"/>
      <c r="K480" s="221"/>
      <c r="L480" s="599"/>
      <c r="M480" s="221"/>
      <c r="N480" s="3"/>
      <c r="O480" s="3"/>
      <c r="P480" s="3"/>
      <c r="Q480" s="3"/>
      <c r="R480" s="3"/>
      <c r="S480" s="3"/>
      <c r="T480" s="22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</row>
    <row r="481">
      <c r="A481" s="3"/>
      <c r="B481" s="3"/>
      <c r="C481" s="3"/>
      <c r="D481" s="3"/>
      <c r="E481" s="187"/>
      <c r="F481" s="3"/>
      <c r="G481" s="3"/>
      <c r="H481" s="3"/>
      <c r="I481" s="3"/>
      <c r="J481" s="3"/>
      <c r="K481" s="221"/>
      <c r="L481" s="599"/>
      <c r="M481" s="221"/>
      <c r="N481" s="3"/>
      <c r="O481" s="3"/>
      <c r="P481" s="3"/>
      <c r="Q481" s="3"/>
      <c r="R481" s="3"/>
      <c r="S481" s="3"/>
      <c r="T481" s="22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</row>
    <row r="482">
      <c r="A482" s="3"/>
      <c r="B482" s="3"/>
      <c r="C482" s="3"/>
      <c r="D482" s="3"/>
      <c r="E482" s="187"/>
      <c r="F482" s="3"/>
      <c r="G482" s="3"/>
      <c r="H482" s="3"/>
      <c r="I482" s="3"/>
      <c r="J482" s="3"/>
      <c r="K482" s="221"/>
      <c r="L482" s="599"/>
      <c r="M482" s="221"/>
      <c r="N482" s="3"/>
      <c r="O482" s="3"/>
      <c r="P482" s="3"/>
      <c r="Q482" s="3"/>
      <c r="R482" s="3"/>
      <c r="S482" s="3"/>
      <c r="T482" s="22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</row>
    <row r="483">
      <c r="A483" s="3"/>
      <c r="B483" s="3"/>
      <c r="C483" s="3"/>
      <c r="D483" s="3"/>
      <c r="E483" s="187"/>
      <c r="F483" s="3"/>
      <c r="G483" s="3"/>
      <c r="H483" s="3"/>
      <c r="I483" s="3"/>
      <c r="J483" s="3"/>
      <c r="K483" s="221"/>
      <c r="L483" s="599"/>
      <c r="M483" s="221"/>
      <c r="N483" s="3"/>
      <c r="O483" s="3"/>
      <c r="P483" s="3"/>
      <c r="Q483" s="3"/>
      <c r="R483" s="3"/>
      <c r="S483" s="3"/>
      <c r="T483" s="22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</row>
    <row r="484">
      <c r="A484" s="3"/>
      <c r="B484" s="3"/>
      <c r="C484" s="3"/>
      <c r="D484" s="3"/>
      <c r="E484" s="187"/>
      <c r="F484" s="3"/>
      <c r="G484" s="3"/>
      <c r="H484" s="3"/>
      <c r="I484" s="3"/>
      <c r="J484" s="3"/>
      <c r="K484" s="221"/>
      <c r="L484" s="599"/>
      <c r="M484" s="221"/>
      <c r="N484" s="3"/>
      <c r="O484" s="3"/>
      <c r="P484" s="3"/>
      <c r="Q484" s="3"/>
      <c r="R484" s="3"/>
      <c r="S484" s="3"/>
      <c r="T484" s="22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</row>
    <row r="485">
      <c r="A485" s="3"/>
      <c r="B485" s="3"/>
      <c r="C485" s="3"/>
      <c r="D485" s="3"/>
      <c r="E485" s="187"/>
      <c r="F485" s="3"/>
      <c r="G485" s="3"/>
      <c r="H485" s="3"/>
      <c r="I485" s="3"/>
      <c r="J485" s="3"/>
      <c r="K485" s="221"/>
      <c r="L485" s="599"/>
      <c r="M485" s="221"/>
      <c r="N485" s="3"/>
      <c r="O485" s="3"/>
      <c r="P485" s="3"/>
      <c r="Q485" s="3"/>
      <c r="R485" s="3"/>
      <c r="S485" s="3"/>
      <c r="T485" s="22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</row>
    <row r="486">
      <c r="A486" s="3"/>
      <c r="B486" s="3"/>
      <c r="C486" s="3"/>
      <c r="D486" s="3"/>
      <c r="E486" s="187"/>
      <c r="F486" s="3"/>
      <c r="G486" s="3"/>
      <c r="H486" s="3"/>
      <c r="I486" s="3"/>
      <c r="J486" s="3"/>
      <c r="K486" s="221"/>
      <c r="L486" s="599"/>
      <c r="M486" s="221"/>
      <c r="N486" s="3"/>
      <c r="O486" s="3"/>
      <c r="P486" s="3"/>
      <c r="Q486" s="3"/>
      <c r="R486" s="3"/>
      <c r="S486" s="3"/>
      <c r="T486" s="22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</row>
    <row r="487">
      <c r="A487" s="3"/>
      <c r="B487" s="3"/>
      <c r="C487" s="3"/>
      <c r="D487" s="3"/>
      <c r="E487" s="187"/>
      <c r="F487" s="3"/>
      <c r="G487" s="3"/>
      <c r="H487" s="3"/>
      <c r="I487" s="3"/>
      <c r="J487" s="3"/>
      <c r="K487" s="221"/>
      <c r="L487" s="599"/>
      <c r="M487" s="221"/>
      <c r="N487" s="3"/>
      <c r="O487" s="3"/>
      <c r="P487" s="3"/>
      <c r="Q487" s="3"/>
      <c r="R487" s="3"/>
      <c r="S487" s="3"/>
      <c r="T487" s="22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</row>
    <row r="488">
      <c r="A488" s="3"/>
      <c r="B488" s="3"/>
      <c r="C488" s="3"/>
      <c r="D488" s="3"/>
      <c r="E488" s="187"/>
      <c r="F488" s="3"/>
      <c r="G488" s="3"/>
      <c r="H488" s="3"/>
      <c r="I488" s="3"/>
      <c r="J488" s="3"/>
      <c r="K488" s="221"/>
      <c r="L488" s="599"/>
      <c r="M488" s="221"/>
      <c r="N488" s="3"/>
      <c r="O488" s="3"/>
      <c r="P488" s="3"/>
      <c r="Q488" s="3"/>
      <c r="R488" s="3"/>
      <c r="S488" s="3"/>
      <c r="T488" s="22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</row>
    <row r="489">
      <c r="A489" s="3"/>
      <c r="B489" s="3"/>
      <c r="C489" s="3"/>
      <c r="D489" s="3"/>
      <c r="E489" s="187"/>
      <c r="F489" s="3"/>
      <c r="G489" s="3"/>
      <c r="H489" s="3"/>
      <c r="I489" s="3"/>
      <c r="J489" s="3"/>
      <c r="K489" s="221"/>
      <c r="L489" s="599"/>
      <c r="M489" s="221"/>
      <c r="N489" s="3"/>
      <c r="O489" s="3"/>
      <c r="P489" s="3"/>
      <c r="Q489" s="3"/>
      <c r="R489" s="3"/>
      <c r="S489" s="3"/>
      <c r="T489" s="22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</row>
    <row r="490">
      <c r="A490" s="3"/>
      <c r="B490" s="3"/>
      <c r="C490" s="3"/>
      <c r="D490" s="3"/>
      <c r="E490" s="187"/>
      <c r="F490" s="3"/>
      <c r="G490" s="3"/>
      <c r="H490" s="3"/>
      <c r="I490" s="3"/>
      <c r="J490" s="3"/>
      <c r="K490" s="221"/>
      <c r="L490" s="599"/>
      <c r="M490" s="221"/>
      <c r="N490" s="3"/>
      <c r="O490" s="3"/>
      <c r="P490" s="3"/>
      <c r="Q490" s="3"/>
      <c r="R490" s="3"/>
      <c r="S490" s="3"/>
      <c r="T490" s="22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</row>
    <row r="491">
      <c r="A491" s="3"/>
      <c r="B491" s="3"/>
      <c r="C491" s="3"/>
      <c r="D491" s="3"/>
      <c r="E491" s="187"/>
      <c r="F491" s="3"/>
      <c r="G491" s="3"/>
      <c r="H491" s="3"/>
      <c r="I491" s="3"/>
      <c r="J491" s="3"/>
      <c r="K491" s="221"/>
      <c r="L491" s="599"/>
      <c r="M491" s="221"/>
      <c r="N491" s="3"/>
      <c r="O491" s="3"/>
      <c r="P491" s="3"/>
      <c r="Q491" s="3"/>
      <c r="R491" s="3"/>
      <c r="S491" s="3"/>
      <c r="T491" s="22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</row>
    <row r="492">
      <c r="A492" s="3"/>
      <c r="B492" s="3"/>
      <c r="C492" s="3"/>
      <c r="D492" s="3"/>
      <c r="E492" s="187"/>
      <c r="F492" s="3"/>
      <c r="G492" s="3"/>
      <c r="H492" s="3"/>
      <c r="I492" s="3"/>
      <c r="J492" s="3"/>
      <c r="K492" s="221"/>
      <c r="L492" s="599"/>
      <c r="M492" s="221"/>
      <c r="N492" s="3"/>
      <c r="O492" s="3"/>
      <c r="P492" s="3"/>
      <c r="Q492" s="3"/>
      <c r="R492" s="3"/>
      <c r="S492" s="3"/>
      <c r="T492" s="22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</row>
    <row r="493">
      <c r="A493" s="3"/>
      <c r="B493" s="3"/>
      <c r="C493" s="3"/>
      <c r="D493" s="3"/>
      <c r="E493" s="187"/>
      <c r="F493" s="3"/>
      <c r="G493" s="3"/>
      <c r="H493" s="3"/>
      <c r="I493" s="3"/>
      <c r="J493" s="3"/>
      <c r="K493" s="221"/>
      <c r="L493" s="599"/>
      <c r="M493" s="221"/>
      <c r="N493" s="3"/>
      <c r="O493" s="3"/>
      <c r="P493" s="3"/>
      <c r="Q493" s="3"/>
      <c r="R493" s="3"/>
      <c r="S493" s="3"/>
      <c r="T493" s="22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</row>
    <row r="494">
      <c r="A494" s="3"/>
      <c r="B494" s="3"/>
      <c r="C494" s="3"/>
      <c r="D494" s="3"/>
      <c r="E494" s="187"/>
      <c r="F494" s="3"/>
      <c r="G494" s="3"/>
      <c r="H494" s="3"/>
      <c r="I494" s="3"/>
      <c r="J494" s="3"/>
      <c r="K494" s="221"/>
      <c r="L494" s="599"/>
      <c r="M494" s="221"/>
      <c r="N494" s="3"/>
      <c r="O494" s="3"/>
      <c r="P494" s="3"/>
      <c r="Q494" s="3"/>
      <c r="R494" s="3"/>
      <c r="S494" s="3"/>
      <c r="T494" s="22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</row>
    <row r="495">
      <c r="A495" s="3"/>
      <c r="B495" s="3"/>
      <c r="C495" s="3"/>
      <c r="D495" s="3"/>
      <c r="E495" s="187"/>
      <c r="F495" s="3"/>
      <c r="G495" s="3"/>
      <c r="H495" s="3"/>
      <c r="I495" s="3"/>
      <c r="J495" s="3"/>
      <c r="K495" s="221"/>
      <c r="L495" s="599"/>
      <c r="M495" s="221"/>
      <c r="N495" s="3"/>
      <c r="O495" s="3"/>
      <c r="P495" s="3"/>
      <c r="Q495" s="3"/>
      <c r="R495" s="3"/>
      <c r="S495" s="3"/>
      <c r="T495" s="22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</row>
    <row r="496">
      <c r="A496" s="3"/>
      <c r="B496" s="3"/>
      <c r="C496" s="3"/>
      <c r="D496" s="3"/>
      <c r="E496" s="187"/>
      <c r="F496" s="3"/>
      <c r="G496" s="3"/>
      <c r="H496" s="3"/>
      <c r="I496" s="3"/>
      <c r="J496" s="3"/>
      <c r="K496" s="221"/>
      <c r="L496" s="599"/>
      <c r="M496" s="221"/>
      <c r="N496" s="3"/>
      <c r="O496" s="3"/>
      <c r="P496" s="3"/>
      <c r="Q496" s="3"/>
      <c r="R496" s="3"/>
      <c r="S496" s="3"/>
      <c r="T496" s="22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</row>
    <row r="497">
      <c r="A497" s="3"/>
      <c r="B497" s="3"/>
      <c r="C497" s="3"/>
      <c r="D497" s="3"/>
      <c r="E497" s="187"/>
      <c r="F497" s="3"/>
      <c r="G497" s="3"/>
      <c r="H497" s="3"/>
      <c r="I497" s="3"/>
      <c r="J497" s="3"/>
      <c r="K497" s="221"/>
      <c r="L497" s="599"/>
      <c r="M497" s="221"/>
      <c r="N497" s="3"/>
      <c r="O497" s="3"/>
      <c r="P497" s="3"/>
      <c r="Q497" s="3"/>
      <c r="R497" s="3"/>
      <c r="S497" s="3"/>
      <c r="T497" s="22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</row>
    <row r="498">
      <c r="A498" s="3"/>
      <c r="B498" s="3"/>
      <c r="C498" s="3"/>
      <c r="D498" s="3"/>
      <c r="E498" s="187"/>
      <c r="F498" s="3"/>
      <c r="G498" s="3"/>
      <c r="H498" s="3"/>
      <c r="I498" s="3"/>
      <c r="J498" s="3"/>
      <c r="K498" s="221"/>
      <c r="L498" s="599"/>
      <c r="M498" s="221"/>
      <c r="N498" s="3"/>
      <c r="O498" s="3"/>
      <c r="P498" s="3"/>
      <c r="Q498" s="3"/>
      <c r="R498" s="3"/>
      <c r="S498" s="3"/>
      <c r="T498" s="22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</row>
    <row r="499">
      <c r="A499" s="3"/>
      <c r="B499" s="3"/>
      <c r="C499" s="3"/>
      <c r="D499" s="3"/>
      <c r="E499" s="187"/>
      <c r="F499" s="3"/>
      <c r="G499" s="3"/>
      <c r="H499" s="3"/>
      <c r="I499" s="3"/>
      <c r="J499" s="3"/>
      <c r="K499" s="221"/>
      <c r="L499" s="599"/>
      <c r="M499" s="221"/>
      <c r="N499" s="3"/>
      <c r="O499" s="3"/>
      <c r="P499" s="3"/>
      <c r="Q499" s="3"/>
      <c r="R499" s="3"/>
      <c r="S499" s="3"/>
      <c r="T499" s="22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</row>
    <row r="500">
      <c r="A500" s="3"/>
      <c r="B500" s="3"/>
      <c r="C500" s="3"/>
      <c r="D500" s="3"/>
      <c r="E500" s="187"/>
      <c r="F500" s="3"/>
      <c r="G500" s="3"/>
      <c r="H500" s="3"/>
      <c r="I500" s="3"/>
      <c r="J500" s="3"/>
      <c r="K500" s="221"/>
      <c r="L500" s="599"/>
      <c r="M500" s="221"/>
      <c r="N500" s="3"/>
      <c r="O500" s="3"/>
      <c r="P500" s="3"/>
      <c r="Q500" s="3"/>
      <c r="R500" s="3"/>
      <c r="S500" s="3"/>
      <c r="T500" s="22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</row>
    <row r="501">
      <c r="A501" s="3"/>
      <c r="B501" s="3"/>
      <c r="C501" s="3"/>
      <c r="D501" s="3"/>
      <c r="E501" s="187"/>
      <c r="F501" s="3"/>
      <c r="G501" s="3"/>
      <c r="H501" s="3"/>
      <c r="I501" s="3"/>
      <c r="J501" s="3"/>
      <c r="K501" s="221"/>
      <c r="L501" s="599"/>
      <c r="M501" s="221"/>
      <c r="N501" s="3"/>
      <c r="O501" s="3"/>
      <c r="P501" s="3"/>
      <c r="Q501" s="3"/>
      <c r="R501" s="3"/>
      <c r="S501" s="3"/>
      <c r="T501" s="22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</row>
    <row r="502">
      <c r="A502" s="3"/>
      <c r="B502" s="3"/>
      <c r="C502" s="3"/>
      <c r="D502" s="3"/>
      <c r="E502" s="187"/>
      <c r="F502" s="3"/>
      <c r="G502" s="3"/>
      <c r="H502" s="3"/>
      <c r="I502" s="3"/>
      <c r="J502" s="3"/>
      <c r="K502" s="221"/>
      <c r="L502" s="599"/>
      <c r="M502" s="221"/>
      <c r="N502" s="3"/>
      <c r="O502" s="3"/>
      <c r="P502" s="3"/>
      <c r="Q502" s="3"/>
      <c r="R502" s="3"/>
      <c r="S502" s="3"/>
      <c r="T502" s="22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</row>
    <row r="503">
      <c r="A503" s="3"/>
      <c r="B503" s="3"/>
      <c r="C503" s="3"/>
      <c r="D503" s="3"/>
      <c r="E503" s="187"/>
      <c r="F503" s="3"/>
      <c r="G503" s="3"/>
      <c r="H503" s="3"/>
      <c r="I503" s="3"/>
      <c r="J503" s="3"/>
      <c r="K503" s="221"/>
      <c r="L503" s="599"/>
      <c r="M503" s="221"/>
      <c r="N503" s="3"/>
      <c r="O503" s="3"/>
      <c r="P503" s="3"/>
      <c r="Q503" s="3"/>
      <c r="R503" s="3"/>
      <c r="S503" s="3"/>
      <c r="T503" s="22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</row>
    <row r="504">
      <c r="A504" s="3"/>
      <c r="B504" s="3"/>
      <c r="C504" s="3"/>
      <c r="D504" s="3"/>
      <c r="E504" s="187"/>
      <c r="F504" s="3"/>
      <c r="G504" s="3"/>
      <c r="H504" s="3"/>
      <c r="I504" s="3"/>
      <c r="J504" s="3"/>
      <c r="K504" s="221"/>
      <c r="L504" s="599"/>
      <c r="M504" s="221"/>
      <c r="N504" s="3"/>
      <c r="O504" s="3"/>
      <c r="P504" s="3"/>
      <c r="Q504" s="3"/>
      <c r="R504" s="3"/>
      <c r="S504" s="3"/>
      <c r="T504" s="22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</row>
    <row r="505">
      <c r="A505" s="3"/>
      <c r="B505" s="3"/>
      <c r="C505" s="3"/>
      <c r="D505" s="3"/>
      <c r="E505" s="187"/>
      <c r="F505" s="3"/>
      <c r="G505" s="3"/>
      <c r="H505" s="3"/>
      <c r="I505" s="3"/>
      <c r="J505" s="3"/>
      <c r="K505" s="221"/>
      <c r="L505" s="599"/>
      <c r="M505" s="221"/>
      <c r="N505" s="3"/>
      <c r="O505" s="3"/>
      <c r="P505" s="3"/>
      <c r="Q505" s="3"/>
      <c r="R505" s="3"/>
      <c r="S505" s="3"/>
      <c r="T505" s="22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</row>
    <row r="506">
      <c r="A506" s="3"/>
      <c r="B506" s="3"/>
      <c r="C506" s="3"/>
      <c r="D506" s="3"/>
      <c r="E506" s="187"/>
      <c r="F506" s="3"/>
      <c r="G506" s="3"/>
      <c r="H506" s="3"/>
      <c r="I506" s="3"/>
      <c r="J506" s="3"/>
      <c r="K506" s="221"/>
      <c r="L506" s="599"/>
      <c r="M506" s="221"/>
      <c r="N506" s="3"/>
      <c r="O506" s="3"/>
      <c r="P506" s="3"/>
      <c r="Q506" s="3"/>
      <c r="R506" s="3"/>
      <c r="S506" s="3"/>
      <c r="T506" s="22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</row>
    <row r="507">
      <c r="A507" s="3"/>
      <c r="B507" s="3"/>
      <c r="C507" s="3"/>
      <c r="D507" s="3"/>
      <c r="E507" s="187"/>
      <c r="F507" s="3"/>
      <c r="G507" s="3"/>
      <c r="H507" s="3"/>
      <c r="I507" s="3"/>
      <c r="J507" s="3"/>
      <c r="K507" s="221"/>
      <c r="L507" s="599"/>
      <c r="M507" s="221"/>
      <c r="N507" s="3"/>
      <c r="O507" s="3"/>
      <c r="P507" s="3"/>
      <c r="Q507" s="3"/>
      <c r="R507" s="3"/>
      <c r="S507" s="3"/>
      <c r="T507" s="22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</row>
    <row r="508">
      <c r="A508" s="3"/>
      <c r="B508" s="3"/>
      <c r="C508" s="3"/>
      <c r="D508" s="3"/>
      <c r="E508" s="187"/>
      <c r="F508" s="3"/>
      <c r="G508" s="3"/>
      <c r="H508" s="3"/>
      <c r="I508" s="3"/>
      <c r="J508" s="3"/>
      <c r="K508" s="221"/>
      <c r="L508" s="599"/>
      <c r="M508" s="221"/>
      <c r="N508" s="3"/>
      <c r="O508" s="3"/>
      <c r="P508" s="3"/>
      <c r="Q508" s="3"/>
      <c r="R508" s="3"/>
      <c r="S508" s="3"/>
      <c r="T508" s="22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</row>
    <row r="509">
      <c r="A509" s="3"/>
      <c r="B509" s="3"/>
      <c r="C509" s="3"/>
      <c r="D509" s="3"/>
      <c r="E509" s="187"/>
      <c r="F509" s="3"/>
      <c r="G509" s="3"/>
      <c r="H509" s="3"/>
      <c r="I509" s="3"/>
      <c r="J509" s="3"/>
      <c r="K509" s="221"/>
      <c r="L509" s="599"/>
      <c r="M509" s="221"/>
      <c r="N509" s="3"/>
      <c r="O509" s="3"/>
      <c r="P509" s="3"/>
      <c r="Q509" s="3"/>
      <c r="R509" s="3"/>
      <c r="S509" s="3"/>
      <c r="T509" s="22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</row>
    <row r="510">
      <c r="A510" s="3"/>
      <c r="B510" s="3"/>
      <c r="C510" s="3"/>
      <c r="D510" s="3"/>
      <c r="E510" s="187"/>
      <c r="F510" s="3"/>
      <c r="G510" s="3"/>
      <c r="H510" s="3"/>
      <c r="I510" s="3"/>
      <c r="J510" s="3"/>
      <c r="K510" s="221"/>
      <c r="L510" s="599"/>
      <c r="M510" s="221"/>
      <c r="N510" s="3"/>
      <c r="O510" s="3"/>
      <c r="P510" s="3"/>
      <c r="Q510" s="3"/>
      <c r="R510" s="3"/>
      <c r="S510" s="3"/>
      <c r="T510" s="22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</row>
    <row r="511">
      <c r="A511" s="3"/>
      <c r="B511" s="3"/>
      <c r="C511" s="3"/>
      <c r="D511" s="3"/>
      <c r="E511" s="187"/>
      <c r="F511" s="3"/>
      <c r="G511" s="3"/>
      <c r="H511" s="3"/>
      <c r="I511" s="3"/>
      <c r="J511" s="3"/>
      <c r="K511" s="221"/>
      <c r="L511" s="599"/>
      <c r="M511" s="221"/>
      <c r="N511" s="3"/>
      <c r="O511" s="3"/>
      <c r="P511" s="3"/>
      <c r="Q511" s="3"/>
      <c r="R511" s="3"/>
      <c r="S511" s="3"/>
      <c r="T511" s="22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</row>
    <row r="512">
      <c r="A512" s="3"/>
      <c r="B512" s="3"/>
      <c r="C512" s="3"/>
      <c r="D512" s="3"/>
      <c r="E512" s="187"/>
      <c r="F512" s="3"/>
      <c r="G512" s="3"/>
      <c r="H512" s="3"/>
      <c r="I512" s="3"/>
      <c r="J512" s="3"/>
      <c r="K512" s="221"/>
      <c r="L512" s="599"/>
      <c r="M512" s="221"/>
      <c r="N512" s="3"/>
      <c r="O512" s="3"/>
      <c r="P512" s="3"/>
      <c r="Q512" s="3"/>
      <c r="R512" s="3"/>
      <c r="S512" s="3"/>
      <c r="T512" s="22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</row>
    <row r="513">
      <c r="A513" s="3"/>
      <c r="B513" s="3"/>
      <c r="C513" s="3"/>
      <c r="D513" s="3"/>
      <c r="E513" s="187"/>
      <c r="F513" s="3"/>
      <c r="G513" s="3"/>
      <c r="H513" s="3"/>
      <c r="I513" s="3"/>
      <c r="J513" s="3"/>
      <c r="K513" s="221"/>
      <c r="L513" s="599"/>
      <c r="M513" s="221"/>
      <c r="N513" s="3"/>
      <c r="O513" s="3"/>
      <c r="P513" s="3"/>
      <c r="Q513" s="3"/>
      <c r="R513" s="3"/>
      <c r="S513" s="3"/>
      <c r="T513" s="22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</row>
    <row r="514">
      <c r="A514" s="3"/>
      <c r="B514" s="3"/>
      <c r="C514" s="3"/>
      <c r="D514" s="3"/>
      <c r="E514" s="187"/>
      <c r="F514" s="3"/>
      <c r="G514" s="3"/>
      <c r="H514" s="3"/>
      <c r="I514" s="3"/>
      <c r="J514" s="3"/>
      <c r="K514" s="221"/>
      <c r="L514" s="599"/>
      <c r="M514" s="221"/>
      <c r="N514" s="3"/>
      <c r="O514" s="3"/>
      <c r="P514" s="3"/>
      <c r="Q514" s="3"/>
      <c r="R514" s="3"/>
      <c r="S514" s="3"/>
      <c r="T514" s="22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</row>
    <row r="515">
      <c r="A515" s="3"/>
      <c r="B515" s="3"/>
      <c r="C515" s="3"/>
      <c r="D515" s="3"/>
      <c r="E515" s="187"/>
      <c r="F515" s="3"/>
      <c r="G515" s="3"/>
      <c r="H515" s="3"/>
      <c r="I515" s="3"/>
      <c r="J515" s="3"/>
      <c r="K515" s="221"/>
      <c r="L515" s="599"/>
      <c r="M515" s="221"/>
      <c r="N515" s="3"/>
      <c r="O515" s="3"/>
      <c r="P515" s="3"/>
      <c r="Q515" s="3"/>
      <c r="R515" s="3"/>
      <c r="S515" s="3"/>
      <c r="T515" s="22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</row>
    <row r="516">
      <c r="A516" s="3"/>
      <c r="B516" s="3"/>
      <c r="C516" s="3"/>
      <c r="D516" s="3"/>
      <c r="E516" s="187"/>
      <c r="F516" s="3"/>
      <c r="G516" s="3"/>
      <c r="H516" s="3"/>
      <c r="I516" s="3"/>
      <c r="J516" s="3"/>
      <c r="K516" s="221"/>
      <c r="L516" s="599"/>
      <c r="M516" s="221"/>
      <c r="N516" s="3"/>
      <c r="O516" s="3"/>
      <c r="P516" s="3"/>
      <c r="Q516" s="3"/>
      <c r="R516" s="3"/>
      <c r="S516" s="3"/>
      <c r="T516" s="22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</row>
    <row r="517">
      <c r="A517" s="3"/>
      <c r="B517" s="3"/>
      <c r="C517" s="3"/>
      <c r="D517" s="3"/>
      <c r="E517" s="187"/>
      <c r="F517" s="3"/>
      <c r="G517" s="3"/>
      <c r="H517" s="3"/>
      <c r="I517" s="3"/>
      <c r="J517" s="3"/>
      <c r="K517" s="221"/>
      <c r="L517" s="599"/>
      <c r="M517" s="221"/>
      <c r="N517" s="3"/>
      <c r="O517" s="3"/>
      <c r="P517" s="3"/>
      <c r="Q517" s="3"/>
      <c r="R517" s="3"/>
      <c r="S517" s="3"/>
      <c r="T517" s="22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</row>
    <row r="518">
      <c r="A518" s="3"/>
      <c r="B518" s="3"/>
      <c r="C518" s="3"/>
      <c r="D518" s="3"/>
      <c r="E518" s="187"/>
      <c r="F518" s="3"/>
      <c r="G518" s="3"/>
      <c r="H518" s="3"/>
      <c r="I518" s="3"/>
      <c r="J518" s="3"/>
      <c r="K518" s="221"/>
      <c r="L518" s="599"/>
      <c r="M518" s="221"/>
      <c r="N518" s="3"/>
      <c r="O518" s="3"/>
      <c r="P518" s="3"/>
      <c r="Q518" s="3"/>
      <c r="R518" s="3"/>
      <c r="S518" s="3"/>
      <c r="T518" s="22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</row>
    <row r="519">
      <c r="A519" s="3"/>
      <c r="B519" s="3"/>
      <c r="C519" s="3"/>
      <c r="D519" s="3"/>
      <c r="E519" s="187"/>
      <c r="F519" s="3"/>
      <c r="G519" s="3"/>
      <c r="H519" s="3"/>
      <c r="I519" s="3"/>
      <c r="J519" s="3"/>
      <c r="K519" s="221"/>
      <c r="L519" s="599"/>
      <c r="M519" s="221"/>
      <c r="N519" s="3"/>
      <c r="O519" s="3"/>
      <c r="P519" s="3"/>
      <c r="Q519" s="3"/>
      <c r="R519" s="3"/>
      <c r="S519" s="3"/>
      <c r="T519" s="22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</row>
    <row r="520">
      <c r="A520" s="3"/>
      <c r="B520" s="3"/>
      <c r="C520" s="3"/>
      <c r="D520" s="3"/>
      <c r="E520" s="187"/>
      <c r="F520" s="3"/>
      <c r="G520" s="3"/>
      <c r="H520" s="3"/>
      <c r="I520" s="3"/>
      <c r="J520" s="3"/>
      <c r="K520" s="221"/>
      <c r="L520" s="599"/>
      <c r="M520" s="221"/>
      <c r="N520" s="3"/>
      <c r="O520" s="3"/>
      <c r="P520" s="3"/>
      <c r="Q520" s="3"/>
      <c r="R520" s="3"/>
      <c r="S520" s="3"/>
      <c r="T520" s="22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</row>
    <row r="521">
      <c r="A521" s="3"/>
      <c r="B521" s="3"/>
      <c r="C521" s="3"/>
      <c r="D521" s="3"/>
      <c r="E521" s="187"/>
      <c r="F521" s="3"/>
      <c r="G521" s="3"/>
      <c r="H521" s="3"/>
      <c r="I521" s="3"/>
      <c r="J521" s="3"/>
      <c r="K521" s="221"/>
      <c r="L521" s="599"/>
      <c r="M521" s="221"/>
      <c r="N521" s="3"/>
      <c r="O521" s="3"/>
      <c r="P521" s="3"/>
      <c r="Q521" s="3"/>
      <c r="R521" s="3"/>
      <c r="S521" s="3"/>
      <c r="T521" s="22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</row>
    <row r="522">
      <c r="A522" s="3"/>
      <c r="B522" s="3"/>
      <c r="C522" s="3"/>
      <c r="D522" s="3"/>
      <c r="E522" s="187"/>
      <c r="F522" s="3"/>
      <c r="G522" s="3"/>
      <c r="H522" s="3"/>
      <c r="I522" s="3"/>
      <c r="J522" s="3"/>
      <c r="K522" s="221"/>
      <c r="L522" s="599"/>
      <c r="M522" s="221"/>
      <c r="N522" s="3"/>
      <c r="O522" s="3"/>
      <c r="P522" s="3"/>
      <c r="Q522" s="3"/>
      <c r="R522" s="3"/>
      <c r="S522" s="3"/>
      <c r="T522" s="22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</row>
    <row r="523">
      <c r="A523" s="3"/>
      <c r="B523" s="3"/>
      <c r="C523" s="3"/>
      <c r="D523" s="3"/>
      <c r="E523" s="187"/>
      <c r="F523" s="3"/>
      <c r="G523" s="3"/>
      <c r="H523" s="3"/>
      <c r="I523" s="3"/>
      <c r="J523" s="3"/>
      <c r="K523" s="221"/>
      <c r="L523" s="599"/>
      <c r="M523" s="221"/>
      <c r="N523" s="3"/>
      <c r="O523" s="3"/>
      <c r="P523" s="3"/>
      <c r="Q523" s="3"/>
      <c r="R523" s="3"/>
      <c r="S523" s="3"/>
      <c r="T523" s="22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</row>
    <row r="524">
      <c r="A524" s="3"/>
      <c r="B524" s="3"/>
      <c r="C524" s="3"/>
      <c r="D524" s="3"/>
      <c r="E524" s="187"/>
      <c r="F524" s="3"/>
      <c r="G524" s="3"/>
      <c r="H524" s="3"/>
      <c r="I524" s="3"/>
      <c r="J524" s="3"/>
      <c r="K524" s="221"/>
      <c r="L524" s="599"/>
      <c r="M524" s="221"/>
      <c r="N524" s="3"/>
      <c r="O524" s="3"/>
      <c r="P524" s="3"/>
      <c r="Q524" s="3"/>
      <c r="R524" s="3"/>
      <c r="S524" s="3"/>
      <c r="T524" s="22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</row>
    <row r="525">
      <c r="A525" s="3"/>
      <c r="B525" s="3"/>
      <c r="C525" s="3"/>
      <c r="D525" s="3"/>
      <c r="E525" s="187"/>
      <c r="F525" s="3"/>
      <c r="G525" s="3"/>
      <c r="H525" s="3"/>
      <c r="I525" s="3"/>
      <c r="J525" s="3"/>
      <c r="K525" s="221"/>
      <c r="L525" s="599"/>
      <c r="M525" s="221"/>
      <c r="N525" s="3"/>
      <c r="O525" s="3"/>
      <c r="P525" s="3"/>
      <c r="Q525" s="3"/>
      <c r="R525" s="3"/>
      <c r="S525" s="3"/>
      <c r="T525" s="22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</row>
    <row r="526">
      <c r="A526" s="3"/>
      <c r="B526" s="3"/>
      <c r="C526" s="3"/>
      <c r="D526" s="3"/>
      <c r="E526" s="187"/>
      <c r="F526" s="3"/>
      <c r="G526" s="3"/>
      <c r="H526" s="3"/>
      <c r="I526" s="3"/>
      <c r="J526" s="3"/>
      <c r="K526" s="221"/>
      <c r="L526" s="599"/>
      <c r="M526" s="221"/>
      <c r="N526" s="3"/>
      <c r="O526" s="3"/>
      <c r="P526" s="3"/>
      <c r="Q526" s="3"/>
      <c r="R526" s="3"/>
      <c r="S526" s="3"/>
      <c r="T526" s="22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</row>
    <row r="527">
      <c r="A527" s="3"/>
      <c r="B527" s="3"/>
      <c r="C527" s="3"/>
      <c r="D527" s="3"/>
      <c r="E527" s="187"/>
      <c r="F527" s="3"/>
      <c r="G527" s="3"/>
      <c r="H527" s="3"/>
      <c r="I527" s="3"/>
      <c r="J527" s="3"/>
      <c r="K527" s="221"/>
      <c r="L527" s="599"/>
      <c r="M527" s="221"/>
      <c r="N527" s="3"/>
      <c r="O527" s="3"/>
      <c r="P527" s="3"/>
      <c r="Q527" s="3"/>
      <c r="R527" s="3"/>
      <c r="S527" s="3"/>
      <c r="T527" s="22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</row>
    <row r="528">
      <c r="A528" s="3"/>
      <c r="B528" s="3"/>
      <c r="C528" s="3"/>
      <c r="D528" s="3"/>
      <c r="E528" s="187"/>
      <c r="F528" s="3"/>
      <c r="G528" s="3"/>
      <c r="H528" s="3"/>
      <c r="I528" s="3"/>
      <c r="J528" s="3"/>
      <c r="K528" s="221"/>
      <c r="L528" s="599"/>
      <c r="M528" s="221"/>
      <c r="N528" s="3"/>
      <c r="O528" s="3"/>
      <c r="P528" s="3"/>
      <c r="Q528" s="3"/>
      <c r="R528" s="3"/>
      <c r="S528" s="3"/>
      <c r="T528" s="22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</row>
    <row r="529">
      <c r="A529" s="3"/>
      <c r="B529" s="3"/>
      <c r="C529" s="3"/>
      <c r="D529" s="3"/>
      <c r="E529" s="187"/>
      <c r="F529" s="3"/>
      <c r="G529" s="3"/>
      <c r="H529" s="3"/>
      <c r="I529" s="3"/>
      <c r="J529" s="3"/>
      <c r="K529" s="221"/>
      <c r="L529" s="599"/>
      <c r="M529" s="221"/>
      <c r="N529" s="3"/>
      <c r="O529" s="3"/>
      <c r="P529" s="3"/>
      <c r="Q529" s="3"/>
      <c r="R529" s="3"/>
      <c r="S529" s="3"/>
      <c r="T529" s="22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</row>
    <row r="530">
      <c r="A530" s="3"/>
      <c r="B530" s="3"/>
      <c r="C530" s="3"/>
      <c r="D530" s="3"/>
      <c r="E530" s="187"/>
      <c r="F530" s="3"/>
      <c r="G530" s="3"/>
      <c r="H530" s="3"/>
      <c r="I530" s="3"/>
      <c r="J530" s="3"/>
      <c r="K530" s="221"/>
      <c r="L530" s="599"/>
      <c r="M530" s="221"/>
      <c r="N530" s="3"/>
      <c r="O530" s="3"/>
      <c r="P530" s="3"/>
      <c r="Q530" s="3"/>
      <c r="R530" s="3"/>
      <c r="S530" s="3"/>
      <c r="T530" s="22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</row>
    <row r="531">
      <c r="A531" s="3"/>
      <c r="B531" s="3"/>
      <c r="C531" s="3"/>
      <c r="D531" s="3"/>
      <c r="E531" s="187"/>
      <c r="F531" s="3"/>
      <c r="G531" s="3"/>
      <c r="H531" s="3"/>
      <c r="I531" s="3"/>
      <c r="J531" s="3"/>
      <c r="K531" s="221"/>
      <c r="L531" s="599"/>
      <c r="M531" s="221"/>
      <c r="N531" s="3"/>
      <c r="O531" s="3"/>
      <c r="P531" s="3"/>
      <c r="Q531" s="3"/>
      <c r="R531" s="3"/>
      <c r="S531" s="3"/>
      <c r="T531" s="22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</row>
    <row r="532">
      <c r="A532" s="3"/>
      <c r="B532" s="3"/>
      <c r="C532" s="3"/>
      <c r="D532" s="3"/>
      <c r="E532" s="187"/>
      <c r="F532" s="3"/>
      <c r="G532" s="3"/>
      <c r="H532" s="3"/>
      <c r="I532" s="3"/>
      <c r="J532" s="3"/>
      <c r="K532" s="221"/>
      <c r="L532" s="599"/>
      <c r="M532" s="221"/>
      <c r="N532" s="3"/>
      <c r="O532" s="3"/>
      <c r="P532" s="3"/>
      <c r="Q532" s="3"/>
      <c r="R532" s="3"/>
      <c r="S532" s="3"/>
      <c r="T532" s="22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</row>
    <row r="533">
      <c r="A533" s="3"/>
      <c r="B533" s="3"/>
      <c r="C533" s="3"/>
      <c r="D533" s="3"/>
      <c r="E533" s="187"/>
      <c r="F533" s="3"/>
      <c r="G533" s="3"/>
      <c r="H533" s="3"/>
      <c r="I533" s="3"/>
      <c r="J533" s="3"/>
      <c r="K533" s="221"/>
      <c r="L533" s="599"/>
      <c r="M533" s="221"/>
      <c r="N533" s="3"/>
      <c r="O533" s="3"/>
      <c r="P533" s="3"/>
      <c r="Q533" s="3"/>
      <c r="R533" s="3"/>
      <c r="S533" s="3"/>
      <c r="T533" s="22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</row>
    <row r="534">
      <c r="A534" s="3"/>
      <c r="B534" s="3"/>
      <c r="C534" s="3"/>
      <c r="D534" s="3"/>
      <c r="E534" s="187"/>
      <c r="F534" s="3"/>
      <c r="G534" s="3"/>
      <c r="H534" s="3"/>
      <c r="I534" s="3"/>
      <c r="J534" s="3"/>
      <c r="K534" s="221"/>
      <c r="L534" s="599"/>
      <c r="M534" s="221"/>
      <c r="N534" s="3"/>
      <c r="O534" s="3"/>
      <c r="P534" s="3"/>
      <c r="Q534" s="3"/>
      <c r="R534" s="3"/>
      <c r="S534" s="3"/>
      <c r="T534" s="22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</row>
    <row r="535">
      <c r="A535" s="3"/>
      <c r="B535" s="3"/>
      <c r="C535" s="3"/>
      <c r="D535" s="3"/>
      <c r="E535" s="187"/>
      <c r="F535" s="3"/>
      <c r="G535" s="3"/>
      <c r="H535" s="3"/>
      <c r="I535" s="3"/>
      <c r="J535" s="3"/>
      <c r="K535" s="221"/>
      <c r="L535" s="599"/>
      <c r="M535" s="221"/>
      <c r="N535" s="3"/>
      <c r="O535" s="3"/>
      <c r="P535" s="3"/>
      <c r="Q535" s="3"/>
      <c r="R535" s="3"/>
      <c r="S535" s="3"/>
      <c r="T535" s="22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</row>
    <row r="536">
      <c r="A536" s="3"/>
      <c r="B536" s="3"/>
      <c r="C536" s="3"/>
      <c r="D536" s="3"/>
      <c r="E536" s="187"/>
      <c r="F536" s="3"/>
      <c r="G536" s="3"/>
      <c r="H536" s="3"/>
      <c r="I536" s="3"/>
      <c r="J536" s="3"/>
      <c r="K536" s="221"/>
      <c r="L536" s="599"/>
      <c r="M536" s="221"/>
      <c r="N536" s="3"/>
      <c r="O536" s="3"/>
      <c r="P536" s="3"/>
      <c r="Q536" s="3"/>
      <c r="R536" s="3"/>
      <c r="S536" s="3"/>
      <c r="T536" s="22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</row>
    <row r="537">
      <c r="A537" s="3"/>
      <c r="B537" s="3"/>
      <c r="C537" s="3"/>
      <c r="D537" s="3"/>
      <c r="E537" s="187"/>
      <c r="F537" s="3"/>
      <c r="G537" s="3"/>
      <c r="H537" s="3"/>
      <c r="I537" s="3"/>
      <c r="J537" s="3"/>
      <c r="K537" s="221"/>
      <c r="L537" s="599"/>
      <c r="M537" s="221"/>
      <c r="N537" s="3"/>
      <c r="O537" s="3"/>
      <c r="P537" s="3"/>
      <c r="Q537" s="3"/>
      <c r="R537" s="3"/>
      <c r="S537" s="3"/>
      <c r="T537" s="22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</row>
    <row r="538">
      <c r="A538" s="3"/>
      <c r="B538" s="3"/>
      <c r="C538" s="3"/>
      <c r="D538" s="3"/>
      <c r="E538" s="187"/>
      <c r="F538" s="3"/>
      <c r="G538" s="3"/>
      <c r="H538" s="3"/>
      <c r="I538" s="3"/>
      <c r="J538" s="3"/>
      <c r="K538" s="221"/>
      <c r="L538" s="599"/>
      <c r="M538" s="221"/>
      <c r="N538" s="3"/>
      <c r="O538" s="3"/>
      <c r="P538" s="3"/>
      <c r="Q538" s="3"/>
      <c r="R538" s="3"/>
      <c r="S538" s="3"/>
      <c r="T538" s="22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</row>
    <row r="539">
      <c r="A539" s="3"/>
      <c r="B539" s="3"/>
      <c r="C539" s="3"/>
      <c r="D539" s="3"/>
      <c r="E539" s="187"/>
      <c r="F539" s="3"/>
      <c r="G539" s="3"/>
      <c r="H539" s="3"/>
      <c r="I539" s="3"/>
      <c r="J539" s="3"/>
      <c r="K539" s="221"/>
      <c r="L539" s="599"/>
      <c r="M539" s="221"/>
      <c r="N539" s="3"/>
      <c r="O539" s="3"/>
      <c r="P539" s="3"/>
      <c r="Q539" s="3"/>
      <c r="R539" s="3"/>
      <c r="S539" s="3"/>
      <c r="T539" s="22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</row>
    <row r="540">
      <c r="A540" s="3"/>
      <c r="B540" s="3"/>
      <c r="C540" s="3"/>
      <c r="D540" s="3"/>
      <c r="E540" s="187"/>
      <c r="F540" s="3"/>
      <c r="G540" s="3"/>
      <c r="H540" s="3"/>
      <c r="I540" s="3"/>
      <c r="J540" s="3"/>
      <c r="K540" s="221"/>
      <c r="L540" s="599"/>
      <c r="M540" s="221"/>
      <c r="N540" s="3"/>
      <c r="O540" s="3"/>
      <c r="P540" s="3"/>
      <c r="Q540" s="3"/>
      <c r="R540" s="3"/>
      <c r="S540" s="3"/>
      <c r="T540" s="22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</row>
    <row r="541">
      <c r="A541" s="3"/>
      <c r="B541" s="3"/>
      <c r="C541" s="3"/>
      <c r="D541" s="3"/>
      <c r="E541" s="187"/>
      <c r="F541" s="3"/>
      <c r="G541" s="3"/>
      <c r="H541" s="3"/>
      <c r="I541" s="3"/>
      <c r="J541" s="3"/>
      <c r="K541" s="221"/>
      <c r="L541" s="599"/>
      <c r="M541" s="221"/>
      <c r="N541" s="3"/>
      <c r="O541" s="3"/>
      <c r="P541" s="3"/>
      <c r="Q541" s="3"/>
      <c r="R541" s="3"/>
      <c r="S541" s="3"/>
      <c r="T541" s="22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</row>
    <row r="542">
      <c r="A542" s="3"/>
      <c r="B542" s="3"/>
      <c r="C542" s="3"/>
      <c r="D542" s="3"/>
      <c r="E542" s="187"/>
      <c r="F542" s="3"/>
      <c r="G542" s="3"/>
      <c r="H542" s="3"/>
      <c r="I542" s="3"/>
      <c r="J542" s="3"/>
      <c r="K542" s="221"/>
      <c r="L542" s="599"/>
      <c r="M542" s="221"/>
      <c r="N542" s="3"/>
      <c r="O542" s="3"/>
      <c r="P542" s="3"/>
      <c r="Q542" s="3"/>
      <c r="R542" s="3"/>
      <c r="S542" s="3"/>
      <c r="T542" s="22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</row>
    <row r="543">
      <c r="A543" s="3"/>
      <c r="B543" s="3"/>
      <c r="C543" s="3"/>
      <c r="D543" s="3"/>
      <c r="E543" s="187"/>
      <c r="F543" s="3"/>
      <c r="G543" s="3"/>
      <c r="H543" s="3"/>
      <c r="I543" s="3"/>
      <c r="J543" s="3"/>
      <c r="K543" s="221"/>
      <c r="L543" s="599"/>
      <c r="M543" s="221"/>
      <c r="N543" s="3"/>
      <c r="O543" s="3"/>
      <c r="P543" s="3"/>
      <c r="Q543" s="3"/>
      <c r="R543" s="3"/>
      <c r="S543" s="3"/>
      <c r="T543" s="22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</row>
    <row r="544">
      <c r="A544" s="3"/>
      <c r="B544" s="3"/>
      <c r="C544" s="3"/>
      <c r="D544" s="3"/>
      <c r="E544" s="187"/>
      <c r="F544" s="3"/>
      <c r="G544" s="3"/>
      <c r="H544" s="3"/>
      <c r="I544" s="3"/>
      <c r="J544" s="3"/>
      <c r="K544" s="221"/>
      <c r="L544" s="599"/>
      <c r="M544" s="221"/>
      <c r="N544" s="3"/>
      <c r="O544" s="3"/>
      <c r="P544" s="3"/>
      <c r="Q544" s="3"/>
      <c r="R544" s="3"/>
      <c r="S544" s="3"/>
      <c r="T544" s="22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</row>
    <row r="545">
      <c r="A545" s="3"/>
      <c r="B545" s="3"/>
      <c r="C545" s="3"/>
      <c r="D545" s="3"/>
      <c r="E545" s="187"/>
      <c r="F545" s="3"/>
      <c r="G545" s="3"/>
      <c r="H545" s="3"/>
      <c r="I545" s="3"/>
      <c r="J545" s="3"/>
      <c r="K545" s="221"/>
      <c r="L545" s="599"/>
      <c r="M545" s="221"/>
      <c r="N545" s="3"/>
      <c r="O545" s="3"/>
      <c r="P545" s="3"/>
      <c r="Q545" s="3"/>
      <c r="R545" s="3"/>
      <c r="S545" s="3"/>
      <c r="T545" s="22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</row>
    <row r="546">
      <c r="A546" s="3"/>
      <c r="B546" s="3"/>
      <c r="C546" s="3"/>
      <c r="D546" s="3"/>
      <c r="E546" s="187"/>
      <c r="F546" s="3"/>
      <c r="G546" s="3"/>
      <c r="H546" s="3"/>
      <c r="I546" s="3"/>
      <c r="J546" s="3"/>
      <c r="K546" s="221"/>
      <c r="L546" s="599"/>
      <c r="M546" s="221"/>
      <c r="N546" s="3"/>
      <c r="O546" s="3"/>
      <c r="P546" s="3"/>
      <c r="Q546" s="3"/>
      <c r="R546" s="3"/>
      <c r="S546" s="3"/>
      <c r="T546" s="22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</row>
    <row r="547">
      <c r="A547" s="3"/>
      <c r="B547" s="3"/>
      <c r="C547" s="3"/>
      <c r="D547" s="3"/>
      <c r="E547" s="187"/>
      <c r="F547" s="3"/>
      <c r="G547" s="3"/>
      <c r="H547" s="3"/>
      <c r="I547" s="3"/>
      <c r="J547" s="3"/>
      <c r="K547" s="221"/>
      <c r="L547" s="599"/>
      <c r="M547" s="221"/>
      <c r="N547" s="3"/>
      <c r="O547" s="3"/>
      <c r="P547" s="3"/>
      <c r="Q547" s="3"/>
      <c r="R547" s="3"/>
      <c r="S547" s="3"/>
      <c r="T547" s="22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</row>
    <row r="548">
      <c r="A548" s="3"/>
      <c r="B548" s="3"/>
      <c r="C548" s="3"/>
      <c r="D548" s="3"/>
      <c r="E548" s="187"/>
      <c r="F548" s="3"/>
      <c r="G548" s="3"/>
      <c r="H548" s="3"/>
      <c r="I548" s="3"/>
      <c r="J548" s="3"/>
      <c r="K548" s="221"/>
      <c r="L548" s="599"/>
      <c r="M548" s="221"/>
      <c r="N548" s="3"/>
      <c r="O548" s="3"/>
      <c r="P548" s="3"/>
      <c r="Q548" s="3"/>
      <c r="R548" s="3"/>
      <c r="S548" s="3"/>
      <c r="T548" s="22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</row>
    <row r="549">
      <c r="A549" s="3"/>
      <c r="B549" s="3"/>
      <c r="C549" s="3"/>
      <c r="D549" s="3"/>
      <c r="E549" s="187"/>
      <c r="F549" s="3"/>
      <c r="G549" s="3"/>
      <c r="H549" s="3"/>
      <c r="I549" s="3"/>
      <c r="J549" s="3"/>
      <c r="K549" s="221"/>
      <c r="L549" s="599"/>
      <c r="M549" s="221"/>
      <c r="N549" s="3"/>
      <c r="O549" s="3"/>
      <c r="P549" s="3"/>
      <c r="Q549" s="3"/>
      <c r="R549" s="3"/>
      <c r="S549" s="3"/>
      <c r="T549" s="22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</row>
    <row r="550">
      <c r="A550" s="3"/>
      <c r="B550" s="3"/>
      <c r="C550" s="3"/>
      <c r="D550" s="3"/>
      <c r="E550" s="187"/>
      <c r="F550" s="3"/>
      <c r="G550" s="3"/>
      <c r="H550" s="3"/>
      <c r="I550" s="3"/>
      <c r="J550" s="3"/>
      <c r="K550" s="221"/>
      <c r="L550" s="599"/>
      <c r="M550" s="221"/>
      <c r="N550" s="3"/>
      <c r="O550" s="3"/>
      <c r="P550" s="3"/>
      <c r="Q550" s="3"/>
      <c r="R550" s="3"/>
      <c r="S550" s="3"/>
      <c r="T550" s="22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</row>
    <row r="551">
      <c r="A551" s="3"/>
      <c r="B551" s="3"/>
      <c r="C551" s="3"/>
      <c r="D551" s="3"/>
      <c r="E551" s="187"/>
      <c r="F551" s="3"/>
      <c r="G551" s="3"/>
      <c r="H551" s="3"/>
      <c r="I551" s="3"/>
      <c r="J551" s="3"/>
      <c r="K551" s="221"/>
      <c r="L551" s="599"/>
      <c r="M551" s="221"/>
      <c r="N551" s="3"/>
      <c r="O551" s="3"/>
      <c r="P551" s="3"/>
      <c r="Q551" s="3"/>
      <c r="R551" s="3"/>
      <c r="S551" s="3"/>
      <c r="T551" s="22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</row>
    <row r="552">
      <c r="A552" s="3"/>
      <c r="B552" s="3"/>
      <c r="C552" s="3"/>
      <c r="D552" s="3"/>
      <c r="E552" s="187"/>
      <c r="F552" s="3"/>
      <c r="G552" s="3"/>
      <c r="H552" s="3"/>
      <c r="I552" s="3"/>
      <c r="J552" s="3"/>
      <c r="K552" s="221"/>
      <c r="L552" s="599"/>
      <c r="M552" s="221"/>
      <c r="N552" s="3"/>
      <c r="O552" s="3"/>
      <c r="P552" s="3"/>
      <c r="Q552" s="3"/>
      <c r="R552" s="3"/>
      <c r="S552" s="3"/>
      <c r="T552" s="22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</row>
    <row r="553">
      <c r="A553" s="3"/>
      <c r="B553" s="3"/>
      <c r="C553" s="3"/>
      <c r="D553" s="3"/>
      <c r="E553" s="187"/>
      <c r="F553" s="3"/>
      <c r="G553" s="3"/>
      <c r="H553" s="3"/>
      <c r="I553" s="3"/>
      <c r="J553" s="3"/>
      <c r="K553" s="221"/>
      <c r="L553" s="599"/>
      <c r="M553" s="221"/>
      <c r="N553" s="3"/>
      <c r="O553" s="3"/>
      <c r="P553" s="3"/>
      <c r="Q553" s="3"/>
      <c r="R553" s="3"/>
      <c r="S553" s="3"/>
      <c r="T553" s="22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</row>
    <row r="554">
      <c r="A554" s="3"/>
      <c r="B554" s="3"/>
      <c r="C554" s="3"/>
      <c r="D554" s="3"/>
      <c r="E554" s="187"/>
      <c r="F554" s="3"/>
      <c r="G554" s="3"/>
      <c r="H554" s="3"/>
      <c r="I554" s="3"/>
      <c r="J554" s="3"/>
      <c r="K554" s="221"/>
      <c r="L554" s="599"/>
      <c r="M554" s="221"/>
      <c r="N554" s="3"/>
      <c r="O554" s="3"/>
      <c r="P554" s="3"/>
      <c r="Q554" s="3"/>
      <c r="R554" s="3"/>
      <c r="S554" s="3"/>
      <c r="T554" s="22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</row>
    <row r="555">
      <c r="A555" s="3"/>
      <c r="B555" s="3"/>
      <c r="C555" s="3"/>
      <c r="D555" s="3"/>
      <c r="E555" s="187"/>
      <c r="F555" s="3"/>
      <c r="G555" s="3"/>
      <c r="H555" s="3"/>
      <c r="I555" s="3"/>
      <c r="J555" s="3"/>
      <c r="K555" s="221"/>
      <c r="L555" s="599"/>
      <c r="M555" s="221"/>
      <c r="N555" s="3"/>
      <c r="O555" s="3"/>
      <c r="P555" s="3"/>
      <c r="Q555" s="3"/>
      <c r="R555" s="3"/>
      <c r="S555" s="3"/>
      <c r="T555" s="22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</row>
    <row r="556">
      <c r="A556" s="3"/>
      <c r="B556" s="3"/>
      <c r="C556" s="3"/>
      <c r="D556" s="3"/>
      <c r="E556" s="187"/>
      <c r="F556" s="3"/>
      <c r="G556" s="3"/>
      <c r="H556" s="3"/>
      <c r="I556" s="3"/>
      <c r="J556" s="3"/>
      <c r="K556" s="221"/>
      <c r="L556" s="599"/>
      <c r="M556" s="221"/>
      <c r="N556" s="3"/>
      <c r="O556" s="3"/>
      <c r="P556" s="3"/>
      <c r="Q556" s="3"/>
      <c r="R556" s="3"/>
      <c r="S556" s="3"/>
      <c r="T556" s="22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</row>
    <row r="557">
      <c r="A557" s="3"/>
      <c r="B557" s="3"/>
      <c r="C557" s="3"/>
      <c r="D557" s="3"/>
      <c r="E557" s="187"/>
      <c r="F557" s="3"/>
      <c r="G557" s="3"/>
      <c r="H557" s="3"/>
      <c r="I557" s="3"/>
      <c r="J557" s="3"/>
      <c r="K557" s="221"/>
      <c r="L557" s="599"/>
      <c r="M557" s="221"/>
      <c r="N557" s="3"/>
      <c r="O557" s="3"/>
      <c r="P557" s="3"/>
      <c r="Q557" s="3"/>
      <c r="R557" s="3"/>
      <c r="S557" s="3"/>
      <c r="T557" s="22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</row>
    <row r="558">
      <c r="A558" s="3"/>
      <c r="B558" s="3"/>
      <c r="C558" s="3"/>
      <c r="D558" s="3"/>
      <c r="E558" s="187"/>
      <c r="F558" s="3"/>
      <c r="G558" s="3"/>
      <c r="H558" s="3"/>
      <c r="I558" s="3"/>
      <c r="J558" s="3"/>
      <c r="K558" s="221"/>
      <c r="L558" s="599"/>
      <c r="M558" s="221"/>
      <c r="N558" s="3"/>
      <c r="O558" s="3"/>
      <c r="P558" s="3"/>
      <c r="Q558" s="3"/>
      <c r="R558" s="3"/>
      <c r="S558" s="3"/>
      <c r="T558" s="22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</row>
    <row r="559">
      <c r="A559" s="3"/>
      <c r="B559" s="3"/>
      <c r="C559" s="3"/>
      <c r="D559" s="3"/>
      <c r="E559" s="187"/>
      <c r="F559" s="3"/>
      <c r="G559" s="3"/>
      <c r="H559" s="3"/>
      <c r="I559" s="3"/>
      <c r="J559" s="3"/>
      <c r="K559" s="221"/>
      <c r="L559" s="599"/>
      <c r="M559" s="221"/>
      <c r="N559" s="3"/>
      <c r="O559" s="3"/>
      <c r="P559" s="3"/>
      <c r="Q559" s="3"/>
      <c r="R559" s="3"/>
      <c r="S559" s="3"/>
      <c r="T559" s="22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</row>
    <row r="560">
      <c r="A560" s="3"/>
      <c r="B560" s="3"/>
      <c r="C560" s="3"/>
      <c r="D560" s="3"/>
      <c r="E560" s="187"/>
      <c r="F560" s="3"/>
      <c r="G560" s="3"/>
      <c r="H560" s="3"/>
      <c r="I560" s="3"/>
      <c r="J560" s="3"/>
      <c r="K560" s="221"/>
      <c r="L560" s="599"/>
      <c r="M560" s="221"/>
      <c r="N560" s="3"/>
      <c r="O560" s="3"/>
      <c r="P560" s="3"/>
      <c r="Q560" s="3"/>
      <c r="R560" s="3"/>
      <c r="S560" s="3"/>
      <c r="T560" s="22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</row>
    <row r="561">
      <c r="A561" s="3"/>
      <c r="B561" s="3"/>
      <c r="C561" s="3"/>
      <c r="D561" s="3"/>
      <c r="E561" s="187"/>
      <c r="F561" s="3"/>
      <c r="G561" s="3"/>
      <c r="H561" s="3"/>
      <c r="I561" s="3"/>
      <c r="J561" s="3"/>
      <c r="K561" s="221"/>
      <c r="L561" s="599"/>
      <c r="M561" s="221"/>
      <c r="N561" s="3"/>
      <c r="O561" s="3"/>
      <c r="P561" s="3"/>
      <c r="Q561" s="3"/>
      <c r="R561" s="3"/>
      <c r="S561" s="3"/>
      <c r="T561" s="22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</row>
    <row r="562">
      <c r="A562" s="3"/>
      <c r="B562" s="3"/>
      <c r="C562" s="3"/>
      <c r="D562" s="3"/>
      <c r="E562" s="187"/>
      <c r="F562" s="3"/>
      <c r="G562" s="3"/>
      <c r="H562" s="3"/>
      <c r="I562" s="3"/>
      <c r="J562" s="3"/>
      <c r="K562" s="221"/>
      <c r="L562" s="599"/>
      <c r="M562" s="221"/>
      <c r="N562" s="3"/>
      <c r="O562" s="3"/>
      <c r="P562" s="3"/>
      <c r="Q562" s="3"/>
      <c r="R562" s="3"/>
      <c r="S562" s="3"/>
      <c r="T562" s="22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</row>
    <row r="563">
      <c r="A563" s="3"/>
      <c r="B563" s="3"/>
      <c r="C563" s="3"/>
      <c r="D563" s="3"/>
      <c r="E563" s="187"/>
      <c r="F563" s="3"/>
      <c r="G563" s="3"/>
      <c r="H563" s="3"/>
      <c r="I563" s="3"/>
      <c r="J563" s="3"/>
      <c r="K563" s="221"/>
      <c r="L563" s="599"/>
      <c r="M563" s="221"/>
      <c r="N563" s="3"/>
      <c r="O563" s="3"/>
      <c r="P563" s="3"/>
      <c r="Q563" s="3"/>
      <c r="R563" s="3"/>
      <c r="S563" s="3"/>
      <c r="T563" s="22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</row>
    <row r="564">
      <c r="A564" s="3"/>
      <c r="B564" s="3"/>
      <c r="C564" s="3"/>
      <c r="D564" s="3"/>
      <c r="E564" s="187"/>
      <c r="F564" s="3"/>
      <c r="G564" s="3"/>
      <c r="H564" s="3"/>
      <c r="I564" s="3"/>
      <c r="J564" s="3"/>
      <c r="K564" s="221"/>
      <c r="L564" s="599"/>
      <c r="M564" s="221"/>
      <c r="N564" s="3"/>
      <c r="O564" s="3"/>
      <c r="P564" s="3"/>
      <c r="Q564" s="3"/>
      <c r="R564" s="3"/>
      <c r="S564" s="3"/>
      <c r="T564" s="22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</row>
    <row r="565">
      <c r="A565" s="3"/>
      <c r="B565" s="3"/>
      <c r="C565" s="3"/>
      <c r="D565" s="3"/>
      <c r="E565" s="187"/>
      <c r="F565" s="3"/>
      <c r="G565" s="3"/>
      <c r="H565" s="3"/>
      <c r="I565" s="3"/>
      <c r="J565" s="3"/>
      <c r="K565" s="221"/>
      <c r="L565" s="599"/>
      <c r="M565" s="221"/>
      <c r="N565" s="3"/>
      <c r="O565" s="3"/>
      <c r="P565" s="3"/>
      <c r="Q565" s="3"/>
      <c r="R565" s="3"/>
      <c r="S565" s="3"/>
      <c r="T565" s="22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</row>
    <row r="566">
      <c r="A566" s="3"/>
      <c r="B566" s="3"/>
      <c r="C566" s="3"/>
      <c r="D566" s="3"/>
      <c r="E566" s="187"/>
      <c r="F566" s="3"/>
      <c r="G566" s="3"/>
      <c r="H566" s="3"/>
      <c r="I566" s="3"/>
      <c r="J566" s="3"/>
      <c r="K566" s="221"/>
      <c r="L566" s="599"/>
      <c r="M566" s="221"/>
      <c r="N566" s="3"/>
      <c r="O566" s="3"/>
      <c r="P566" s="3"/>
      <c r="Q566" s="3"/>
      <c r="R566" s="3"/>
      <c r="S566" s="3"/>
      <c r="T566" s="22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</row>
    <row r="567">
      <c r="A567" s="3"/>
      <c r="B567" s="3"/>
      <c r="C567" s="3"/>
      <c r="D567" s="3"/>
      <c r="E567" s="187"/>
      <c r="F567" s="3"/>
      <c r="G567" s="3"/>
      <c r="H567" s="3"/>
      <c r="I567" s="3"/>
      <c r="J567" s="3"/>
      <c r="K567" s="221"/>
      <c r="L567" s="599"/>
      <c r="M567" s="221"/>
      <c r="N567" s="3"/>
      <c r="O567" s="3"/>
      <c r="P567" s="3"/>
      <c r="Q567" s="3"/>
      <c r="R567" s="3"/>
      <c r="S567" s="3"/>
      <c r="T567" s="22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</row>
    <row r="568">
      <c r="A568" s="3"/>
      <c r="B568" s="3"/>
      <c r="C568" s="3"/>
      <c r="D568" s="3"/>
      <c r="E568" s="187"/>
      <c r="F568" s="3"/>
      <c r="G568" s="3"/>
      <c r="H568" s="3"/>
      <c r="I568" s="3"/>
      <c r="J568" s="3"/>
      <c r="K568" s="221"/>
      <c r="L568" s="599"/>
      <c r="M568" s="221"/>
      <c r="N568" s="3"/>
      <c r="O568" s="3"/>
      <c r="P568" s="3"/>
      <c r="Q568" s="3"/>
      <c r="R568" s="3"/>
      <c r="S568" s="3"/>
      <c r="T568" s="22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</row>
    <row r="569">
      <c r="A569" s="3"/>
      <c r="B569" s="3"/>
      <c r="C569" s="3"/>
      <c r="D569" s="3"/>
      <c r="E569" s="187"/>
      <c r="F569" s="3"/>
      <c r="G569" s="3"/>
      <c r="H569" s="3"/>
      <c r="I569" s="3"/>
      <c r="J569" s="3"/>
      <c r="K569" s="221"/>
      <c r="L569" s="599"/>
      <c r="M569" s="221"/>
      <c r="N569" s="3"/>
      <c r="O569" s="3"/>
      <c r="P569" s="3"/>
      <c r="Q569" s="3"/>
      <c r="R569" s="3"/>
      <c r="S569" s="3"/>
      <c r="T569" s="22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</row>
    <row r="570">
      <c r="A570" s="3"/>
      <c r="B570" s="3"/>
      <c r="C570" s="3"/>
      <c r="D570" s="3"/>
      <c r="E570" s="187"/>
      <c r="F570" s="3"/>
      <c r="G570" s="3"/>
      <c r="H570" s="3"/>
      <c r="I570" s="3"/>
      <c r="J570" s="3"/>
      <c r="K570" s="221"/>
      <c r="L570" s="599"/>
      <c r="M570" s="221"/>
      <c r="N570" s="3"/>
      <c r="O570" s="3"/>
      <c r="P570" s="3"/>
      <c r="Q570" s="3"/>
      <c r="R570" s="3"/>
      <c r="S570" s="3"/>
      <c r="T570" s="22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</row>
    <row r="571">
      <c r="A571" s="3"/>
      <c r="B571" s="3"/>
      <c r="C571" s="3"/>
      <c r="D571" s="3"/>
      <c r="E571" s="187"/>
      <c r="F571" s="3"/>
      <c r="G571" s="3"/>
      <c r="H571" s="3"/>
      <c r="I571" s="3"/>
      <c r="J571" s="3"/>
      <c r="K571" s="221"/>
      <c r="L571" s="599"/>
      <c r="M571" s="221"/>
      <c r="N571" s="3"/>
      <c r="O571" s="3"/>
      <c r="P571" s="3"/>
      <c r="Q571" s="3"/>
      <c r="R571" s="3"/>
      <c r="S571" s="3"/>
      <c r="T571" s="22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</row>
    <row r="572">
      <c r="A572" s="3"/>
      <c r="B572" s="3"/>
      <c r="C572" s="3"/>
      <c r="D572" s="3"/>
      <c r="E572" s="187"/>
      <c r="F572" s="3"/>
      <c r="G572" s="3"/>
      <c r="H572" s="3"/>
      <c r="I572" s="3"/>
      <c r="J572" s="3"/>
      <c r="K572" s="221"/>
      <c r="L572" s="599"/>
      <c r="M572" s="221"/>
      <c r="N572" s="3"/>
      <c r="O572" s="3"/>
      <c r="P572" s="3"/>
      <c r="Q572" s="3"/>
      <c r="R572" s="3"/>
      <c r="S572" s="3"/>
      <c r="T572" s="22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</row>
    <row r="573">
      <c r="A573" s="3"/>
      <c r="B573" s="3"/>
      <c r="C573" s="3"/>
      <c r="D573" s="3"/>
      <c r="E573" s="187"/>
      <c r="F573" s="3"/>
      <c r="G573" s="3"/>
      <c r="H573" s="3"/>
      <c r="I573" s="3"/>
      <c r="J573" s="3"/>
      <c r="K573" s="221"/>
      <c r="L573" s="599"/>
      <c r="M573" s="221"/>
      <c r="N573" s="3"/>
      <c r="O573" s="3"/>
      <c r="P573" s="3"/>
      <c r="Q573" s="3"/>
      <c r="R573" s="3"/>
      <c r="S573" s="3"/>
      <c r="T573" s="22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</row>
    <row r="574">
      <c r="A574" s="3"/>
      <c r="B574" s="3"/>
      <c r="C574" s="3"/>
      <c r="D574" s="3"/>
      <c r="E574" s="187"/>
      <c r="F574" s="3"/>
      <c r="G574" s="3"/>
      <c r="H574" s="3"/>
      <c r="I574" s="3"/>
      <c r="J574" s="3"/>
      <c r="K574" s="221"/>
      <c r="L574" s="599"/>
      <c r="M574" s="221"/>
      <c r="N574" s="3"/>
      <c r="O574" s="3"/>
      <c r="P574" s="3"/>
      <c r="Q574" s="3"/>
      <c r="R574" s="3"/>
      <c r="S574" s="3"/>
      <c r="T574" s="22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</row>
    <row r="575">
      <c r="A575" s="3"/>
      <c r="B575" s="3"/>
      <c r="C575" s="3"/>
      <c r="D575" s="3"/>
      <c r="E575" s="187"/>
      <c r="F575" s="3"/>
      <c r="G575" s="3"/>
      <c r="H575" s="3"/>
      <c r="I575" s="3"/>
      <c r="J575" s="3"/>
      <c r="K575" s="221"/>
      <c r="L575" s="599"/>
      <c r="M575" s="221"/>
      <c r="N575" s="3"/>
      <c r="O575" s="3"/>
      <c r="P575" s="3"/>
      <c r="Q575" s="3"/>
      <c r="R575" s="3"/>
      <c r="S575" s="3"/>
      <c r="T575" s="22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</row>
    <row r="576">
      <c r="A576" s="3"/>
      <c r="B576" s="3"/>
      <c r="C576" s="3"/>
      <c r="D576" s="3"/>
      <c r="E576" s="187"/>
      <c r="F576" s="3"/>
      <c r="G576" s="3"/>
      <c r="H576" s="3"/>
      <c r="I576" s="3"/>
      <c r="J576" s="3"/>
      <c r="K576" s="221"/>
      <c r="L576" s="599"/>
      <c r="M576" s="221"/>
      <c r="N576" s="3"/>
      <c r="O576" s="3"/>
      <c r="P576" s="3"/>
      <c r="Q576" s="3"/>
      <c r="R576" s="3"/>
      <c r="S576" s="3"/>
      <c r="T576" s="22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</row>
    <row r="577">
      <c r="A577" s="3"/>
      <c r="B577" s="3"/>
      <c r="C577" s="3"/>
      <c r="D577" s="3"/>
      <c r="E577" s="187"/>
      <c r="F577" s="3"/>
      <c r="G577" s="3"/>
      <c r="H577" s="3"/>
      <c r="I577" s="3"/>
      <c r="J577" s="3"/>
      <c r="K577" s="221"/>
      <c r="L577" s="599"/>
      <c r="M577" s="221"/>
      <c r="N577" s="3"/>
      <c r="O577" s="3"/>
      <c r="P577" s="3"/>
      <c r="Q577" s="3"/>
      <c r="R577" s="3"/>
      <c r="S577" s="3"/>
      <c r="T577" s="22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</row>
    <row r="578">
      <c r="A578" s="3"/>
      <c r="B578" s="3"/>
      <c r="C578" s="3"/>
      <c r="D578" s="3"/>
      <c r="E578" s="187"/>
      <c r="F578" s="3"/>
      <c r="G578" s="3"/>
      <c r="H578" s="3"/>
      <c r="I578" s="3"/>
      <c r="J578" s="3"/>
      <c r="K578" s="221"/>
      <c r="L578" s="599"/>
      <c r="M578" s="221"/>
      <c r="N578" s="3"/>
      <c r="O578" s="3"/>
      <c r="P578" s="3"/>
      <c r="Q578" s="3"/>
      <c r="R578" s="3"/>
      <c r="S578" s="3"/>
      <c r="T578" s="22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</row>
    <row r="579">
      <c r="A579" s="3"/>
      <c r="B579" s="3"/>
      <c r="C579" s="3"/>
      <c r="D579" s="3"/>
      <c r="E579" s="187"/>
      <c r="F579" s="3"/>
      <c r="G579" s="3"/>
      <c r="H579" s="3"/>
      <c r="I579" s="3"/>
      <c r="J579" s="3"/>
      <c r="K579" s="221"/>
      <c r="L579" s="599"/>
      <c r="M579" s="221"/>
      <c r="N579" s="3"/>
      <c r="O579" s="3"/>
      <c r="P579" s="3"/>
      <c r="Q579" s="3"/>
      <c r="R579" s="3"/>
      <c r="S579" s="3"/>
      <c r="T579" s="22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</row>
    <row r="580">
      <c r="A580" s="3"/>
      <c r="B580" s="3"/>
      <c r="C580" s="3"/>
      <c r="D580" s="3"/>
      <c r="E580" s="187"/>
      <c r="F580" s="3"/>
      <c r="G580" s="3"/>
      <c r="H580" s="3"/>
      <c r="I580" s="3"/>
      <c r="J580" s="3"/>
      <c r="K580" s="221"/>
      <c r="L580" s="599"/>
      <c r="M580" s="221"/>
      <c r="N580" s="3"/>
      <c r="O580" s="3"/>
      <c r="P580" s="3"/>
      <c r="Q580" s="3"/>
      <c r="R580" s="3"/>
      <c r="S580" s="3"/>
      <c r="T580" s="22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</row>
    <row r="581">
      <c r="A581" s="3"/>
      <c r="B581" s="3"/>
      <c r="C581" s="3"/>
      <c r="D581" s="3"/>
      <c r="E581" s="187"/>
      <c r="F581" s="3"/>
      <c r="G581" s="3"/>
      <c r="H581" s="3"/>
      <c r="I581" s="3"/>
      <c r="J581" s="3"/>
      <c r="K581" s="221"/>
      <c r="L581" s="599"/>
      <c r="M581" s="221"/>
      <c r="N581" s="3"/>
      <c r="O581" s="3"/>
      <c r="P581" s="3"/>
      <c r="Q581" s="3"/>
      <c r="R581" s="3"/>
      <c r="S581" s="3"/>
      <c r="T581" s="22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</row>
    <row r="582">
      <c r="A582" s="3"/>
      <c r="B582" s="3"/>
      <c r="C582" s="3"/>
      <c r="D582" s="3"/>
      <c r="E582" s="187"/>
      <c r="F582" s="3"/>
      <c r="G582" s="3"/>
      <c r="H582" s="3"/>
      <c r="I582" s="3"/>
      <c r="J582" s="3"/>
      <c r="K582" s="221"/>
      <c r="L582" s="599"/>
      <c r="M582" s="221"/>
      <c r="N582" s="3"/>
      <c r="O582" s="3"/>
      <c r="P582" s="3"/>
      <c r="Q582" s="3"/>
      <c r="R582" s="3"/>
      <c r="S582" s="3"/>
      <c r="T582" s="22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</row>
    <row r="583">
      <c r="A583" s="3"/>
      <c r="B583" s="3"/>
      <c r="C583" s="3"/>
      <c r="D583" s="3"/>
      <c r="E583" s="187"/>
      <c r="F583" s="3"/>
      <c r="G583" s="3"/>
      <c r="H583" s="3"/>
      <c r="I583" s="3"/>
      <c r="J583" s="3"/>
      <c r="K583" s="221"/>
      <c r="L583" s="599"/>
      <c r="M583" s="221"/>
      <c r="N583" s="3"/>
      <c r="O583" s="3"/>
      <c r="P583" s="3"/>
      <c r="Q583" s="3"/>
      <c r="R583" s="3"/>
      <c r="S583" s="3"/>
      <c r="T583" s="22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</row>
    <row r="584">
      <c r="A584" s="3"/>
      <c r="B584" s="3"/>
      <c r="C584" s="3"/>
      <c r="D584" s="3"/>
      <c r="E584" s="187"/>
      <c r="F584" s="3"/>
      <c r="G584" s="3"/>
      <c r="H584" s="3"/>
      <c r="I584" s="3"/>
      <c r="J584" s="3"/>
      <c r="K584" s="221"/>
      <c r="L584" s="599"/>
      <c r="M584" s="221"/>
      <c r="N584" s="3"/>
      <c r="O584" s="3"/>
      <c r="P584" s="3"/>
      <c r="Q584" s="3"/>
      <c r="R584" s="3"/>
      <c r="S584" s="3"/>
      <c r="T584" s="22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</row>
    <row r="585">
      <c r="A585" s="3"/>
      <c r="B585" s="3"/>
      <c r="C585" s="3"/>
      <c r="D585" s="3"/>
      <c r="E585" s="187"/>
      <c r="F585" s="3"/>
      <c r="G585" s="3"/>
      <c r="H585" s="3"/>
      <c r="I585" s="3"/>
      <c r="J585" s="3"/>
      <c r="K585" s="221"/>
      <c r="L585" s="599"/>
      <c r="M585" s="221"/>
      <c r="N585" s="3"/>
      <c r="O585" s="3"/>
      <c r="P585" s="3"/>
      <c r="Q585" s="3"/>
      <c r="R585" s="3"/>
      <c r="S585" s="3"/>
      <c r="T585" s="22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</row>
    <row r="586">
      <c r="A586" s="3"/>
      <c r="B586" s="3"/>
      <c r="C586" s="3"/>
      <c r="D586" s="3"/>
      <c r="E586" s="187"/>
      <c r="F586" s="3"/>
      <c r="G586" s="3"/>
      <c r="H586" s="3"/>
      <c r="I586" s="3"/>
      <c r="J586" s="3"/>
      <c r="K586" s="221"/>
      <c r="L586" s="599"/>
      <c r="M586" s="221"/>
      <c r="N586" s="3"/>
      <c r="O586" s="3"/>
      <c r="P586" s="3"/>
      <c r="Q586" s="3"/>
      <c r="R586" s="3"/>
      <c r="S586" s="3"/>
      <c r="T586" s="22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</row>
    <row r="587">
      <c r="A587" s="3"/>
      <c r="B587" s="3"/>
      <c r="C587" s="3"/>
      <c r="D587" s="3"/>
      <c r="E587" s="187"/>
      <c r="F587" s="3"/>
      <c r="G587" s="3"/>
      <c r="H587" s="3"/>
      <c r="I587" s="3"/>
      <c r="J587" s="3"/>
      <c r="K587" s="221"/>
      <c r="L587" s="599"/>
      <c r="M587" s="221"/>
      <c r="N587" s="3"/>
      <c r="O587" s="3"/>
      <c r="P587" s="3"/>
      <c r="Q587" s="3"/>
      <c r="R587" s="3"/>
      <c r="S587" s="3"/>
      <c r="T587" s="22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</row>
    <row r="588">
      <c r="A588" s="3"/>
      <c r="B588" s="3"/>
      <c r="C588" s="3"/>
      <c r="D588" s="3"/>
      <c r="E588" s="187"/>
      <c r="F588" s="3"/>
      <c r="G588" s="3"/>
      <c r="H588" s="3"/>
      <c r="I588" s="3"/>
      <c r="J588" s="3"/>
      <c r="K588" s="221"/>
      <c r="L588" s="599"/>
      <c r="M588" s="221"/>
      <c r="N588" s="3"/>
      <c r="O588" s="3"/>
      <c r="P588" s="3"/>
      <c r="Q588" s="3"/>
      <c r="R588" s="3"/>
      <c r="S588" s="3"/>
      <c r="T588" s="22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</row>
    <row r="589">
      <c r="A589" s="3"/>
      <c r="B589" s="3"/>
      <c r="C589" s="3"/>
      <c r="D589" s="3"/>
      <c r="E589" s="187"/>
      <c r="F589" s="3"/>
      <c r="G589" s="3"/>
      <c r="H589" s="3"/>
      <c r="I589" s="3"/>
      <c r="J589" s="3"/>
      <c r="K589" s="221"/>
      <c r="L589" s="599"/>
      <c r="M589" s="221"/>
      <c r="N589" s="3"/>
      <c r="O589" s="3"/>
      <c r="P589" s="3"/>
      <c r="Q589" s="3"/>
      <c r="R589" s="3"/>
      <c r="S589" s="3"/>
      <c r="T589" s="22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</row>
    <row r="590">
      <c r="A590" s="3"/>
      <c r="B590" s="3"/>
      <c r="C590" s="3"/>
      <c r="D590" s="3"/>
      <c r="E590" s="187"/>
      <c r="F590" s="3"/>
      <c r="G590" s="3"/>
      <c r="H590" s="3"/>
      <c r="I590" s="3"/>
      <c r="J590" s="3"/>
      <c r="K590" s="221"/>
      <c r="L590" s="599"/>
      <c r="M590" s="221"/>
      <c r="N590" s="3"/>
      <c r="O590" s="3"/>
      <c r="P590" s="3"/>
      <c r="Q590" s="3"/>
      <c r="R590" s="3"/>
      <c r="S590" s="3"/>
      <c r="T590" s="22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</row>
    <row r="591">
      <c r="A591" s="3"/>
      <c r="B591" s="3"/>
      <c r="C591" s="3"/>
      <c r="D591" s="3"/>
      <c r="E591" s="187"/>
      <c r="F591" s="3"/>
      <c r="G591" s="3"/>
      <c r="H591" s="3"/>
      <c r="I591" s="3"/>
      <c r="J591" s="3"/>
      <c r="K591" s="221"/>
      <c r="L591" s="599"/>
      <c r="M591" s="221"/>
      <c r="N591" s="3"/>
      <c r="O591" s="3"/>
      <c r="P591" s="3"/>
      <c r="Q591" s="3"/>
      <c r="R591" s="3"/>
      <c r="S591" s="3"/>
      <c r="T591" s="22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</row>
    <row r="592">
      <c r="A592" s="3"/>
      <c r="B592" s="3"/>
      <c r="C592" s="3"/>
      <c r="D592" s="3"/>
      <c r="E592" s="187"/>
      <c r="F592" s="3"/>
      <c r="G592" s="3"/>
      <c r="H592" s="3"/>
      <c r="I592" s="3"/>
      <c r="J592" s="3"/>
      <c r="K592" s="221"/>
      <c r="L592" s="599"/>
      <c r="M592" s="221"/>
      <c r="N592" s="3"/>
      <c r="O592" s="3"/>
      <c r="P592" s="3"/>
      <c r="Q592" s="3"/>
      <c r="R592" s="3"/>
      <c r="S592" s="3"/>
      <c r="T592" s="22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</row>
    <row r="593">
      <c r="A593" s="3"/>
      <c r="B593" s="3"/>
      <c r="C593" s="3"/>
      <c r="D593" s="3"/>
      <c r="E593" s="187"/>
      <c r="F593" s="3"/>
      <c r="G593" s="3"/>
      <c r="H593" s="3"/>
      <c r="I593" s="3"/>
      <c r="J593" s="3"/>
      <c r="K593" s="221"/>
      <c r="L593" s="599"/>
      <c r="M593" s="221"/>
      <c r="N593" s="3"/>
      <c r="O593" s="3"/>
      <c r="P593" s="3"/>
      <c r="Q593" s="3"/>
      <c r="R593" s="3"/>
      <c r="S593" s="3"/>
      <c r="T593" s="22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</row>
    <row r="594">
      <c r="A594" s="3"/>
      <c r="B594" s="3"/>
      <c r="C594" s="3"/>
      <c r="D594" s="3"/>
      <c r="E594" s="187"/>
      <c r="F594" s="3"/>
      <c r="G594" s="3"/>
      <c r="H594" s="3"/>
      <c r="I594" s="3"/>
      <c r="J594" s="3"/>
      <c r="K594" s="221"/>
      <c r="L594" s="599"/>
      <c r="M594" s="221"/>
      <c r="N594" s="3"/>
      <c r="O594" s="3"/>
      <c r="P594" s="3"/>
      <c r="Q594" s="3"/>
      <c r="R594" s="3"/>
      <c r="S594" s="3"/>
      <c r="T594" s="22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</row>
    <row r="595">
      <c r="A595" s="3"/>
      <c r="B595" s="3"/>
      <c r="C595" s="3"/>
      <c r="D595" s="3"/>
      <c r="E595" s="187"/>
      <c r="F595" s="3"/>
      <c r="G595" s="3"/>
      <c r="H595" s="3"/>
      <c r="I595" s="3"/>
      <c r="J595" s="3"/>
      <c r="K595" s="221"/>
      <c r="L595" s="599"/>
      <c r="M595" s="221"/>
      <c r="N595" s="3"/>
      <c r="O595" s="3"/>
      <c r="P595" s="3"/>
      <c r="Q595" s="3"/>
      <c r="R595" s="3"/>
      <c r="S595" s="3"/>
      <c r="T595" s="22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</row>
    <row r="596">
      <c r="A596" s="3"/>
      <c r="B596" s="3"/>
      <c r="C596" s="3"/>
      <c r="D596" s="3"/>
      <c r="E596" s="187"/>
      <c r="F596" s="3"/>
      <c r="G596" s="3"/>
      <c r="H596" s="3"/>
      <c r="I596" s="3"/>
      <c r="J596" s="3"/>
      <c r="K596" s="221"/>
      <c r="L596" s="599"/>
      <c r="M596" s="221"/>
      <c r="N596" s="3"/>
      <c r="O596" s="3"/>
      <c r="P596" s="3"/>
      <c r="Q596" s="3"/>
      <c r="R596" s="3"/>
      <c r="S596" s="3"/>
      <c r="T596" s="22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</row>
    <row r="597">
      <c r="A597" s="3"/>
      <c r="B597" s="3"/>
      <c r="C597" s="3"/>
      <c r="D597" s="3"/>
      <c r="E597" s="187"/>
      <c r="F597" s="3"/>
      <c r="G597" s="3"/>
      <c r="H597" s="3"/>
      <c r="I597" s="3"/>
      <c r="J597" s="3"/>
      <c r="K597" s="221"/>
      <c r="L597" s="599"/>
      <c r="M597" s="221"/>
      <c r="N597" s="3"/>
      <c r="O597" s="3"/>
      <c r="P597" s="3"/>
      <c r="Q597" s="3"/>
      <c r="R597" s="3"/>
      <c r="S597" s="3"/>
      <c r="T597" s="22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</row>
    <row r="598">
      <c r="A598" s="3"/>
      <c r="B598" s="3"/>
      <c r="C598" s="3"/>
      <c r="D598" s="3"/>
      <c r="E598" s="187"/>
      <c r="F598" s="3"/>
      <c r="G598" s="3"/>
      <c r="H598" s="3"/>
      <c r="I598" s="3"/>
      <c r="J598" s="3"/>
      <c r="K598" s="221"/>
      <c r="L598" s="599"/>
      <c r="M598" s="221"/>
      <c r="N598" s="3"/>
      <c r="O598" s="3"/>
      <c r="P598" s="3"/>
      <c r="Q598" s="3"/>
      <c r="R598" s="3"/>
      <c r="S598" s="3"/>
      <c r="T598" s="22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</row>
    <row r="599">
      <c r="A599" s="3"/>
      <c r="B599" s="3"/>
      <c r="C599" s="3"/>
      <c r="D599" s="3"/>
      <c r="E599" s="187"/>
      <c r="F599" s="3"/>
      <c r="G599" s="3"/>
      <c r="H599" s="3"/>
      <c r="I599" s="3"/>
      <c r="J599" s="3"/>
      <c r="K599" s="221"/>
      <c r="L599" s="599"/>
      <c r="M599" s="221"/>
      <c r="N599" s="3"/>
      <c r="O599" s="3"/>
      <c r="P599" s="3"/>
      <c r="Q599" s="3"/>
      <c r="R599" s="3"/>
      <c r="S599" s="3"/>
      <c r="T599" s="22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</row>
    <row r="600">
      <c r="A600" s="3"/>
      <c r="B600" s="3"/>
      <c r="C600" s="3"/>
      <c r="D600" s="3"/>
      <c r="E600" s="187"/>
      <c r="F600" s="3"/>
      <c r="G600" s="3"/>
      <c r="H600" s="3"/>
      <c r="I600" s="3"/>
      <c r="J600" s="3"/>
      <c r="K600" s="221"/>
      <c r="L600" s="599"/>
      <c r="M600" s="221"/>
      <c r="N600" s="3"/>
      <c r="O600" s="3"/>
      <c r="P600" s="3"/>
      <c r="Q600" s="3"/>
      <c r="R600" s="3"/>
      <c r="S600" s="3"/>
      <c r="T600" s="22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</row>
    <row r="601">
      <c r="A601" s="3"/>
      <c r="B601" s="3"/>
      <c r="C601" s="3"/>
      <c r="D601" s="3"/>
      <c r="E601" s="187"/>
      <c r="F601" s="3"/>
      <c r="G601" s="3"/>
      <c r="H601" s="3"/>
      <c r="I601" s="3"/>
      <c r="J601" s="3"/>
      <c r="K601" s="221"/>
      <c r="L601" s="599"/>
      <c r="M601" s="221"/>
      <c r="N601" s="3"/>
      <c r="O601" s="3"/>
      <c r="P601" s="3"/>
      <c r="Q601" s="3"/>
      <c r="R601" s="3"/>
      <c r="S601" s="3"/>
      <c r="T601" s="22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</row>
    <row r="602">
      <c r="A602" s="3"/>
      <c r="B602" s="3"/>
      <c r="C602" s="3"/>
      <c r="D602" s="3"/>
      <c r="E602" s="187"/>
      <c r="F602" s="3"/>
      <c r="G602" s="3"/>
      <c r="H602" s="3"/>
      <c r="I602" s="3"/>
      <c r="J602" s="3"/>
      <c r="K602" s="221"/>
      <c r="L602" s="599"/>
      <c r="M602" s="221"/>
      <c r="N602" s="3"/>
      <c r="O602" s="3"/>
      <c r="P602" s="3"/>
      <c r="Q602" s="3"/>
      <c r="R602" s="3"/>
      <c r="S602" s="3"/>
      <c r="T602" s="22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</row>
    <row r="603">
      <c r="A603" s="3"/>
      <c r="B603" s="3"/>
      <c r="C603" s="3"/>
      <c r="D603" s="3"/>
      <c r="E603" s="187"/>
      <c r="F603" s="3"/>
      <c r="G603" s="3"/>
      <c r="H603" s="3"/>
      <c r="I603" s="3"/>
      <c r="J603" s="3"/>
      <c r="K603" s="221"/>
      <c r="L603" s="599"/>
      <c r="M603" s="221"/>
      <c r="N603" s="3"/>
      <c r="O603" s="3"/>
      <c r="P603" s="3"/>
      <c r="Q603" s="3"/>
      <c r="R603" s="3"/>
      <c r="S603" s="3"/>
      <c r="T603" s="22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</row>
    <row r="604">
      <c r="A604" s="3"/>
      <c r="B604" s="3"/>
      <c r="C604" s="3"/>
      <c r="D604" s="3"/>
      <c r="E604" s="187"/>
      <c r="F604" s="3"/>
      <c r="G604" s="3"/>
      <c r="H604" s="3"/>
      <c r="I604" s="3"/>
      <c r="J604" s="3"/>
      <c r="K604" s="221"/>
      <c r="L604" s="599"/>
      <c r="M604" s="221"/>
      <c r="N604" s="3"/>
      <c r="O604" s="3"/>
      <c r="P604" s="3"/>
      <c r="Q604" s="3"/>
      <c r="R604" s="3"/>
      <c r="S604" s="3"/>
      <c r="T604" s="22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</row>
    <row r="605">
      <c r="A605" s="3"/>
      <c r="B605" s="3"/>
      <c r="C605" s="3"/>
      <c r="D605" s="3"/>
      <c r="E605" s="187"/>
      <c r="F605" s="3"/>
      <c r="G605" s="3"/>
      <c r="H605" s="3"/>
      <c r="I605" s="3"/>
      <c r="J605" s="3"/>
      <c r="K605" s="221"/>
      <c r="L605" s="599"/>
      <c r="M605" s="221"/>
      <c r="N605" s="3"/>
      <c r="O605" s="3"/>
      <c r="P605" s="3"/>
      <c r="Q605" s="3"/>
      <c r="R605" s="3"/>
      <c r="S605" s="3"/>
      <c r="T605" s="22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</row>
    <row r="606">
      <c r="A606" s="3"/>
      <c r="B606" s="3"/>
      <c r="C606" s="3"/>
      <c r="D606" s="3"/>
      <c r="E606" s="187"/>
      <c r="F606" s="3"/>
      <c r="G606" s="3"/>
      <c r="H606" s="3"/>
      <c r="I606" s="3"/>
      <c r="J606" s="3"/>
      <c r="K606" s="221"/>
      <c r="L606" s="599"/>
      <c r="M606" s="221"/>
      <c r="N606" s="3"/>
      <c r="O606" s="3"/>
      <c r="P606" s="3"/>
      <c r="Q606" s="3"/>
      <c r="R606" s="3"/>
      <c r="S606" s="3"/>
      <c r="T606" s="22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</row>
    <row r="607">
      <c r="A607" s="3"/>
      <c r="B607" s="3"/>
      <c r="C607" s="3"/>
      <c r="D607" s="3"/>
      <c r="E607" s="187"/>
      <c r="F607" s="3"/>
      <c r="G607" s="3"/>
      <c r="H607" s="3"/>
      <c r="I607" s="3"/>
      <c r="J607" s="3"/>
      <c r="K607" s="221"/>
      <c r="L607" s="599"/>
      <c r="M607" s="221"/>
      <c r="N607" s="3"/>
      <c r="O607" s="3"/>
      <c r="P607" s="3"/>
      <c r="Q607" s="3"/>
      <c r="R607" s="3"/>
      <c r="S607" s="3"/>
      <c r="T607" s="22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</row>
    <row r="608">
      <c r="A608" s="3"/>
      <c r="B608" s="3"/>
      <c r="C608" s="3"/>
      <c r="D608" s="3"/>
      <c r="E608" s="187"/>
      <c r="F608" s="3"/>
      <c r="G608" s="3"/>
      <c r="H608" s="3"/>
      <c r="I608" s="3"/>
      <c r="J608" s="3"/>
      <c r="K608" s="221"/>
      <c r="L608" s="599"/>
      <c r="M608" s="221"/>
      <c r="N608" s="3"/>
      <c r="O608" s="3"/>
      <c r="P608" s="3"/>
      <c r="Q608" s="3"/>
      <c r="R608" s="3"/>
      <c r="S608" s="3"/>
      <c r="T608" s="22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</row>
    <row r="609">
      <c r="A609" s="3"/>
      <c r="B609" s="3"/>
      <c r="C609" s="3"/>
      <c r="D609" s="3"/>
      <c r="E609" s="187"/>
      <c r="F609" s="3"/>
      <c r="G609" s="3"/>
      <c r="H609" s="3"/>
      <c r="I609" s="3"/>
      <c r="J609" s="3"/>
      <c r="K609" s="221"/>
      <c r="L609" s="599"/>
      <c r="M609" s="221"/>
      <c r="N609" s="3"/>
      <c r="O609" s="3"/>
      <c r="P609" s="3"/>
      <c r="Q609" s="3"/>
      <c r="R609" s="3"/>
      <c r="S609" s="3"/>
      <c r="T609" s="22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</row>
    <row r="610">
      <c r="A610" s="3"/>
      <c r="B610" s="3"/>
      <c r="C610" s="3"/>
      <c r="D610" s="3"/>
      <c r="E610" s="187"/>
      <c r="F610" s="3"/>
      <c r="G610" s="3"/>
      <c r="H610" s="3"/>
      <c r="I610" s="3"/>
      <c r="J610" s="3"/>
      <c r="K610" s="221"/>
      <c r="L610" s="599"/>
      <c r="M610" s="221"/>
      <c r="N610" s="3"/>
      <c r="O610" s="3"/>
      <c r="P610" s="3"/>
      <c r="Q610" s="3"/>
      <c r="R610" s="3"/>
      <c r="S610" s="3"/>
      <c r="T610" s="22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</row>
    <row r="611">
      <c r="A611" s="3"/>
      <c r="B611" s="3"/>
      <c r="C611" s="3"/>
      <c r="D611" s="3"/>
      <c r="E611" s="187"/>
      <c r="F611" s="3"/>
      <c r="G611" s="3"/>
      <c r="H611" s="3"/>
      <c r="I611" s="3"/>
      <c r="J611" s="3"/>
      <c r="K611" s="221"/>
      <c r="L611" s="599"/>
      <c r="M611" s="221"/>
      <c r="N611" s="3"/>
      <c r="O611" s="3"/>
      <c r="P611" s="3"/>
      <c r="Q611" s="3"/>
      <c r="R611" s="3"/>
      <c r="S611" s="3"/>
      <c r="T611" s="22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</row>
    <row r="612">
      <c r="A612" s="3"/>
      <c r="B612" s="3"/>
      <c r="C612" s="3"/>
      <c r="D612" s="3"/>
      <c r="E612" s="187"/>
      <c r="F612" s="3"/>
      <c r="G612" s="3"/>
      <c r="H612" s="3"/>
      <c r="I612" s="3"/>
      <c r="J612" s="3"/>
      <c r="K612" s="221"/>
      <c r="L612" s="599"/>
      <c r="M612" s="221"/>
      <c r="N612" s="3"/>
      <c r="O612" s="3"/>
      <c r="P612" s="3"/>
      <c r="Q612" s="3"/>
      <c r="R612" s="3"/>
      <c r="S612" s="3"/>
      <c r="T612" s="22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</row>
    <row r="613">
      <c r="A613" s="3"/>
      <c r="B613" s="3"/>
      <c r="C613" s="3"/>
      <c r="D613" s="3"/>
      <c r="E613" s="187"/>
      <c r="F613" s="3"/>
      <c r="G613" s="3"/>
      <c r="H613" s="3"/>
      <c r="I613" s="3"/>
      <c r="J613" s="3"/>
      <c r="K613" s="221"/>
      <c r="L613" s="599"/>
      <c r="M613" s="221"/>
      <c r="N613" s="3"/>
      <c r="O613" s="3"/>
      <c r="P613" s="3"/>
      <c r="Q613" s="3"/>
      <c r="R613" s="3"/>
      <c r="S613" s="3"/>
      <c r="T613" s="22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</row>
    <row r="614">
      <c r="A614" s="3"/>
      <c r="B614" s="3"/>
      <c r="C614" s="3"/>
      <c r="D614" s="3"/>
      <c r="E614" s="187"/>
      <c r="F614" s="3"/>
      <c r="G614" s="3"/>
      <c r="H614" s="3"/>
      <c r="I614" s="3"/>
      <c r="J614" s="3"/>
      <c r="K614" s="221"/>
      <c r="L614" s="599"/>
      <c r="M614" s="221"/>
      <c r="N614" s="3"/>
      <c r="O614" s="3"/>
      <c r="P614" s="3"/>
      <c r="Q614" s="3"/>
      <c r="R614" s="3"/>
      <c r="S614" s="3"/>
      <c r="T614" s="22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</row>
    <row r="615">
      <c r="A615" s="3"/>
      <c r="B615" s="3"/>
      <c r="C615" s="3"/>
      <c r="D615" s="3"/>
      <c r="E615" s="187"/>
      <c r="F615" s="3"/>
      <c r="G615" s="3"/>
      <c r="H615" s="3"/>
      <c r="I615" s="3"/>
      <c r="J615" s="3"/>
      <c r="K615" s="221"/>
      <c r="L615" s="599"/>
      <c r="M615" s="221"/>
      <c r="N615" s="3"/>
      <c r="O615" s="3"/>
      <c r="P615" s="3"/>
      <c r="Q615" s="3"/>
      <c r="R615" s="3"/>
      <c r="S615" s="3"/>
      <c r="T615" s="22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</row>
    <row r="616">
      <c r="A616" s="3"/>
      <c r="B616" s="3"/>
      <c r="C616" s="3"/>
      <c r="D616" s="3"/>
      <c r="E616" s="187"/>
      <c r="F616" s="3"/>
      <c r="G616" s="3"/>
      <c r="H616" s="3"/>
      <c r="I616" s="3"/>
      <c r="J616" s="3"/>
      <c r="K616" s="221"/>
      <c r="L616" s="599"/>
      <c r="M616" s="221"/>
      <c r="N616" s="3"/>
      <c r="O616" s="3"/>
      <c r="P616" s="3"/>
      <c r="Q616" s="3"/>
      <c r="R616" s="3"/>
      <c r="S616" s="3"/>
      <c r="T616" s="22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</row>
    <row r="617">
      <c r="A617" s="3"/>
      <c r="B617" s="3"/>
      <c r="C617" s="3"/>
      <c r="D617" s="3"/>
      <c r="E617" s="187"/>
      <c r="F617" s="3"/>
      <c r="G617" s="3"/>
      <c r="H617" s="3"/>
      <c r="I617" s="3"/>
      <c r="J617" s="3"/>
      <c r="K617" s="221"/>
      <c r="L617" s="599"/>
      <c r="M617" s="221"/>
      <c r="N617" s="3"/>
      <c r="O617" s="3"/>
      <c r="P617" s="3"/>
      <c r="Q617" s="3"/>
      <c r="R617" s="3"/>
      <c r="S617" s="3"/>
      <c r="T617" s="22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</row>
    <row r="618">
      <c r="A618" s="3"/>
      <c r="B618" s="3"/>
      <c r="C618" s="3"/>
      <c r="D618" s="3"/>
      <c r="E618" s="187"/>
      <c r="F618" s="3"/>
      <c r="G618" s="3"/>
      <c r="H618" s="3"/>
      <c r="I618" s="3"/>
      <c r="J618" s="3"/>
      <c r="K618" s="221"/>
      <c r="L618" s="599"/>
      <c r="M618" s="221"/>
      <c r="N618" s="3"/>
      <c r="O618" s="3"/>
      <c r="P618" s="3"/>
      <c r="Q618" s="3"/>
      <c r="R618" s="3"/>
      <c r="S618" s="3"/>
      <c r="T618" s="22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</row>
    <row r="619">
      <c r="A619" s="3"/>
      <c r="B619" s="3"/>
      <c r="C619" s="3"/>
      <c r="D619" s="3"/>
      <c r="E619" s="187"/>
      <c r="F619" s="3"/>
      <c r="G619" s="3"/>
      <c r="H619" s="3"/>
      <c r="I619" s="3"/>
      <c r="J619" s="3"/>
      <c r="K619" s="221"/>
      <c r="L619" s="599"/>
      <c r="M619" s="221"/>
      <c r="N619" s="3"/>
      <c r="O619" s="3"/>
      <c r="P619" s="3"/>
      <c r="Q619" s="3"/>
      <c r="R619" s="3"/>
      <c r="S619" s="3"/>
      <c r="T619" s="22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</row>
    <row r="620">
      <c r="A620" s="3"/>
      <c r="B620" s="3"/>
      <c r="C620" s="3"/>
      <c r="D620" s="3"/>
      <c r="E620" s="187"/>
      <c r="F620" s="3"/>
      <c r="G620" s="3"/>
      <c r="H620" s="3"/>
      <c r="I620" s="3"/>
      <c r="J620" s="3"/>
      <c r="K620" s="221"/>
      <c r="L620" s="599"/>
      <c r="M620" s="221"/>
      <c r="N620" s="3"/>
      <c r="O620" s="3"/>
      <c r="P620" s="3"/>
      <c r="Q620" s="3"/>
      <c r="R620" s="3"/>
      <c r="S620" s="3"/>
      <c r="T620" s="22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</row>
    <row r="621">
      <c r="A621" s="3"/>
      <c r="B621" s="3"/>
      <c r="C621" s="3"/>
      <c r="D621" s="3"/>
      <c r="E621" s="187"/>
      <c r="F621" s="3"/>
      <c r="G621" s="3"/>
      <c r="H621" s="3"/>
      <c r="I621" s="3"/>
      <c r="J621" s="3"/>
      <c r="K621" s="221"/>
      <c r="L621" s="599"/>
      <c r="M621" s="221"/>
      <c r="N621" s="3"/>
      <c r="O621" s="3"/>
      <c r="P621" s="3"/>
      <c r="Q621" s="3"/>
      <c r="R621" s="3"/>
      <c r="S621" s="3"/>
      <c r="T621" s="22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</row>
    <row r="622">
      <c r="A622" s="3"/>
      <c r="B622" s="3"/>
      <c r="C622" s="3"/>
      <c r="D622" s="3"/>
      <c r="E622" s="187"/>
      <c r="F622" s="3"/>
      <c r="G622" s="3"/>
      <c r="H622" s="3"/>
      <c r="I622" s="3"/>
      <c r="J622" s="3"/>
      <c r="K622" s="221"/>
      <c r="L622" s="599"/>
      <c r="M622" s="221"/>
      <c r="N622" s="3"/>
      <c r="O622" s="3"/>
      <c r="P622" s="3"/>
      <c r="Q622" s="3"/>
      <c r="R622" s="3"/>
      <c r="S622" s="3"/>
      <c r="T622" s="22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</row>
    <row r="623">
      <c r="A623" s="3"/>
      <c r="B623" s="3"/>
      <c r="C623" s="3"/>
      <c r="D623" s="3"/>
      <c r="E623" s="187"/>
      <c r="F623" s="3"/>
      <c r="G623" s="3"/>
      <c r="H623" s="3"/>
      <c r="I623" s="3"/>
      <c r="J623" s="3"/>
      <c r="K623" s="221"/>
      <c r="L623" s="599"/>
      <c r="M623" s="221"/>
      <c r="N623" s="3"/>
      <c r="O623" s="3"/>
      <c r="P623" s="3"/>
      <c r="Q623" s="3"/>
      <c r="R623" s="3"/>
      <c r="S623" s="3"/>
      <c r="T623" s="22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</row>
    <row r="624">
      <c r="A624" s="3"/>
      <c r="B624" s="3"/>
      <c r="C624" s="3"/>
      <c r="D624" s="3"/>
      <c r="E624" s="187"/>
      <c r="F624" s="3"/>
      <c r="G624" s="3"/>
      <c r="H624" s="3"/>
      <c r="I624" s="3"/>
      <c r="J624" s="3"/>
      <c r="K624" s="221"/>
      <c r="L624" s="599"/>
      <c r="M624" s="221"/>
      <c r="N624" s="3"/>
      <c r="O624" s="3"/>
      <c r="P624" s="3"/>
      <c r="Q624" s="3"/>
      <c r="R624" s="3"/>
      <c r="S624" s="3"/>
      <c r="T624" s="22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</row>
    <row r="625">
      <c r="A625" s="3"/>
      <c r="B625" s="3"/>
      <c r="C625" s="3"/>
      <c r="D625" s="3"/>
      <c r="E625" s="187"/>
      <c r="F625" s="3"/>
      <c r="G625" s="3"/>
      <c r="H625" s="3"/>
      <c r="I625" s="3"/>
      <c r="J625" s="3"/>
      <c r="K625" s="221"/>
      <c r="L625" s="599"/>
      <c r="M625" s="221"/>
      <c r="N625" s="3"/>
      <c r="O625" s="3"/>
      <c r="P625" s="3"/>
      <c r="Q625" s="3"/>
      <c r="R625" s="3"/>
      <c r="S625" s="3"/>
      <c r="T625" s="22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</row>
    <row r="626">
      <c r="A626" s="3"/>
      <c r="B626" s="3"/>
      <c r="C626" s="3"/>
      <c r="D626" s="3"/>
      <c r="E626" s="187"/>
      <c r="F626" s="3"/>
      <c r="G626" s="3"/>
      <c r="H626" s="3"/>
      <c r="I626" s="3"/>
      <c r="J626" s="3"/>
      <c r="K626" s="221"/>
      <c r="L626" s="599"/>
      <c r="M626" s="221"/>
      <c r="N626" s="3"/>
      <c r="O626" s="3"/>
      <c r="P626" s="3"/>
      <c r="Q626" s="3"/>
      <c r="R626" s="3"/>
      <c r="S626" s="3"/>
      <c r="T626" s="22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</row>
    <row r="627">
      <c r="A627" s="3"/>
      <c r="B627" s="3"/>
      <c r="C627" s="3"/>
      <c r="D627" s="3"/>
      <c r="E627" s="187"/>
      <c r="F627" s="3"/>
      <c r="G627" s="3"/>
      <c r="H627" s="3"/>
      <c r="I627" s="3"/>
      <c r="J627" s="3"/>
      <c r="K627" s="221"/>
      <c r="L627" s="599"/>
      <c r="M627" s="221"/>
      <c r="N627" s="3"/>
      <c r="O627" s="3"/>
      <c r="P627" s="3"/>
      <c r="Q627" s="3"/>
      <c r="R627" s="3"/>
      <c r="S627" s="3"/>
      <c r="T627" s="22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</row>
    <row r="628">
      <c r="A628" s="3"/>
      <c r="B628" s="3"/>
      <c r="C628" s="3"/>
      <c r="D628" s="3"/>
      <c r="E628" s="187"/>
      <c r="F628" s="3"/>
      <c r="G628" s="3"/>
      <c r="H628" s="3"/>
      <c r="I628" s="3"/>
      <c r="J628" s="3"/>
      <c r="K628" s="221"/>
      <c r="L628" s="599"/>
      <c r="M628" s="221"/>
      <c r="N628" s="3"/>
      <c r="O628" s="3"/>
      <c r="P628" s="3"/>
      <c r="Q628" s="3"/>
      <c r="R628" s="3"/>
      <c r="S628" s="3"/>
      <c r="T628" s="22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</row>
    <row r="629">
      <c r="A629" s="3"/>
      <c r="B629" s="3"/>
      <c r="C629" s="3"/>
      <c r="D629" s="3"/>
      <c r="E629" s="187"/>
      <c r="F629" s="3"/>
      <c r="G629" s="3"/>
      <c r="H629" s="3"/>
      <c r="I629" s="3"/>
      <c r="J629" s="3"/>
      <c r="K629" s="221"/>
      <c r="L629" s="599"/>
      <c r="M629" s="221"/>
      <c r="N629" s="3"/>
      <c r="O629" s="3"/>
      <c r="P629" s="3"/>
      <c r="Q629" s="3"/>
      <c r="R629" s="3"/>
      <c r="S629" s="3"/>
      <c r="T629" s="22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</row>
    <row r="630">
      <c r="A630" s="3"/>
      <c r="B630" s="3"/>
      <c r="C630" s="3"/>
      <c r="D630" s="3"/>
      <c r="E630" s="187"/>
      <c r="F630" s="3"/>
      <c r="G630" s="3"/>
      <c r="H630" s="3"/>
      <c r="I630" s="3"/>
      <c r="J630" s="3"/>
      <c r="K630" s="221"/>
      <c r="L630" s="599"/>
      <c r="M630" s="221"/>
      <c r="N630" s="3"/>
      <c r="O630" s="3"/>
      <c r="P630" s="3"/>
      <c r="Q630" s="3"/>
      <c r="R630" s="3"/>
      <c r="S630" s="3"/>
      <c r="T630" s="22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</row>
    <row r="631">
      <c r="A631" s="3"/>
      <c r="B631" s="3"/>
      <c r="C631" s="3"/>
      <c r="D631" s="3"/>
      <c r="E631" s="187"/>
      <c r="F631" s="3"/>
      <c r="G631" s="3"/>
      <c r="H631" s="3"/>
      <c r="I631" s="3"/>
      <c r="J631" s="3"/>
      <c r="K631" s="221"/>
      <c r="L631" s="599"/>
      <c r="M631" s="221"/>
      <c r="N631" s="3"/>
      <c r="O631" s="3"/>
      <c r="P631" s="3"/>
      <c r="Q631" s="3"/>
      <c r="R631" s="3"/>
      <c r="S631" s="3"/>
      <c r="T631" s="22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</row>
    <row r="632">
      <c r="A632" s="3"/>
      <c r="B632" s="3"/>
      <c r="C632" s="3"/>
      <c r="D632" s="3"/>
      <c r="E632" s="187"/>
      <c r="F632" s="3"/>
      <c r="G632" s="3"/>
      <c r="H632" s="3"/>
      <c r="I632" s="3"/>
      <c r="J632" s="3"/>
      <c r="K632" s="221"/>
      <c r="L632" s="599"/>
      <c r="M632" s="221"/>
      <c r="N632" s="3"/>
      <c r="O632" s="3"/>
      <c r="P632" s="3"/>
      <c r="Q632" s="3"/>
      <c r="R632" s="3"/>
      <c r="S632" s="3"/>
      <c r="T632" s="22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</row>
    <row r="633">
      <c r="A633" s="3"/>
      <c r="B633" s="3"/>
      <c r="C633" s="3"/>
      <c r="D633" s="3"/>
      <c r="E633" s="187"/>
      <c r="F633" s="3"/>
      <c r="G633" s="3"/>
      <c r="H633" s="3"/>
      <c r="I633" s="3"/>
      <c r="J633" s="3"/>
      <c r="K633" s="221"/>
      <c r="L633" s="599"/>
      <c r="M633" s="221"/>
      <c r="N633" s="3"/>
      <c r="O633" s="3"/>
      <c r="P633" s="3"/>
      <c r="Q633" s="3"/>
      <c r="R633" s="3"/>
      <c r="S633" s="3"/>
      <c r="T633" s="22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</row>
    <row r="634">
      <c r="A634" s="3"/>
      <c r="B634" s="3"/>
      <c r="C634" s="3"/>
      <c r="D634" s="3"/>
      <c r="E634" s="187"/>
      <c r="F634" s="3"/>
      <c r="G634" s="3"/>
      <c r="H634" s="3"/>
      <c r="I634" s="3"/>
      <c r="J634" s="3"/>
      <c r="K634" s="221"/>
      <c r="L634" s="599"/>
      <c r="M634" s="221"/>
      <c r="N634" s="3"/>
      <c r="O634" s="3"/>
      <c r="P634" s="3"/>
      <c r="Q634" s="3"/>
      <c r="R634" s="3"/>
      <c r="S634" s="3"/>
      <c r="T634" s="22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</row>
    <row r="635">
      <c r="A635" s="3"/>
      <c r="B635" s="3"/>
      <c r="C635" s="3"/>
      <c r="D635" s="3"/>
      <c r="E635" s="187"/>
      <c r="F635" s="3"/>
      <c r="G635" s="3"/>
      <c r="H635" s="3"/>
      <c r="I635" s="3"/>
      <c r="J635" s="3"/>
      <c r="K635" s="221"/>
      <c r="L635" s="599"/>
      <c r="M635" s="221"/>
      <c r="N635" s="3"/>
      <c r="O635" s="3"/>
      <c r="P635" s="3"/>
      <c r="Q635" s="3"/>
      <c r="R635" s="3"/>
      <c r="S635" s="3"/>
      <c r="T635" s="22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</row>
    <row r="636">
      <c r="A636" s="3"/>
      <c r="B636" s="3"/>
      <c r="C636" s="3"/>
      <c r="D636" s="3"/>
      <c r="E636" s="187"/>
      <c r="F636" s="3"/>
      <c r="G636" s="3"/>
      <c r="H636" s="3"/>
      <c r="I636" s="3"/>
      <c r="J636" s="3"/>
      <c r="K636" s="221"/>
      <c r="L636" s="599"/>
      <c r="M636" s="221"/>
      <c r="N636" s="3"/>
      <c r="O636" s="3"/>
      <c r="P636" s="3"/>
      <c r="Q636" s="3"/>
      <c r="R636" s="3"/>
      <c r="S636" s="3"/>
      <c r="T636" s="22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</row>
    <row r="637">
      <c r="A637" s="3"/>
      <c r="B637" s="3"/>
      <c r="C637" s="3"/>
      <c r="D637" s="3"/>
      <c r="E637" s="187"/>
      <c r="F637" s="3"/>
      <c r="G637" s="3"/>
      <c r="H637" s="3"/>
      <c r="I637" s="3"/>
      <c r="J637" s="3"/>
      <c r="K637" s="221"/>
      <c r="L637" s="599"/>
      <c r="M637" s="221"/>
      <c r="N637" s="3"/>
      <c r="O637" s="3"/>
      <c r="P637" s="3"/>
      <c r="Q637" s="3"/>
      <c r="R637" s="3"/>
      <c r="S637" s="3"/>
      <c r="T637" s="22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</row>
    <row r="638">
      <c r="A638" s="3"/>
      <c r="B638" s="3"/>
      <c r="C638" s="3"/>
      <c r="D638" s="3"/>
      <c r="E638" s="187"/>
      <c r="F638" s="3"/>
      <c r="G638" s="3"/>
      <c r="H638" s="3"/>
      <c r="I638" s="3"/>
      <c r="J638" s="3"/>
      <c r="K638" s="221"/>
      <c r="L638" s="599"/>
      <c r="M638" s="221"/>
      <c r="N638" s="3"/>
      <c r="O638" s="3"/>
      <c r="P638" s="3"/>
      <c r="Q638" s="3"/>
      <c r="R638" s="3"/>
      <c r="S638" s="3"/>
      <c r="T638" s="22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</row>
    <row r="639">
      <c r="A639" s="3"/>
      <c r="B639" s="3"/>
      <c r="C639" s="3"/>
      <c r="D639" s="3"/>
      <c r="E639" s="187"/>
      <c r="F639" s="3"/>
      <c r="G639" s="3"/>
      <c r="H639" s="3"/>
      <c r="I639" s="3"/>
      <c r="J639" s="3"/>
      <c r="K639" s="221"/>
      <c r="L639" s="599"/>
      <c r="M639" s="221"/>
      <c r="N639" s="3"/>
      <c r="O639" s="3"/>
      <c r="P639" s="3"/>
      <c r="Q639" s="3"/>
      <c r="R639" s="3"/>
      <c r="S639" s="3"/>
      <c r="T639" s="22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</row>
    <row r="640">
      <c r="A640" s="3"/>
      <c r="B640" s="3"/>
      <c r="C640" s="3"/>
      <c r="D640" s="3"/>
      <c r="E640" s="187"/>
      <c r="F640" s="3"/>
      <c r="G640" s="3"/>
      <c r="H640" s="3"/>
      <c r="I640" s="3"/>
      <c r="J640" s="3"/>
      <c r="K640" s="221"/>
      <c r="L640" s="599"/>
      <c r="M640" s="221"/>
      <c r="N640" s="3"/>
      <c r="O640" s="3"/>
      <c r="P640" s="3"/>
      <c r="Q640" s="3"/>
      <c r="R640" s="3"/>
      <c r="S640" s="3"/>
      <c r="T640" s="22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</row>
    <row r="641">
      <c r="A641" s="3"/>
      <c r="B641" s="3"/>
      <c r="C641" s="3"/>
      <c r="D641" s="3"/>
      <c r="E641" s="187"/>
      <c r="F641" s="3"/>
      <c r="G641" s="3"/>
      <c r="H641" s="3"/>
      <c r="I641" s="3"/>
      <c r="J641" s="3"/>
      <c r="K641" s="221"/>
      <c r="L641" s="599"/>
      <c r="M641" s="221"/>
      <c r="N641" s="3"/>
      <c r="O641" s="3"/>
      <c r="P641" s="3"/>
      <c r="Q641" s="3"/>
      <c r="R641" s="3"/>
      <c r="S641" s="3"/>
      <c r="T641" s="22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</row>
    <row r="642">
      <c r="A642" s="3"/>
      <c r="B642" s="3"/>
      <c r="C642" s="3"/>
      <c r="D642" s="3"/>
      <c r="E642" s="187"/>
      <c r="F642" s="3"/>
      <c r="G642" s="3"/>
      <c r="H642" s="3"/>
      <c r="I642" s="3"/>
      <c r="J642" s="3"/>
      <c r="K642" s="221"/>
      <c r="L642" s="599"/>
      <c r="M642" s="221"/>
      <c r="N642" s="3"/>
      <c r="O642" s="3"/>
      <c r="P642" s="3"/>
      <c r="Q642" s="3"/>
      <c r="R642" s="3"/>
      <c r="S642" s="3"/>
      <c r="T642" s="22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</row>
    <row r="643">
      <c r="A643" s="3"/>
      <c r="B643" s="3"/>
      <c r="C643" s="3"/>
      <c r="D643" s="3"/>
      <c r="E643" s="187"/>
      <c r="F643" s="3"/>
      <c r="G643" s="3"/>
      <c r="H643" s="3"/>
      <c r="I643" s="3"/>
      <c r="J643" s="3"/>
      <c r="K643" s="221"/>
      <c r="L643" s="599"/>
      <c r="M643" s="221"/>
      <c r="N643" s="3"/>
      <c r="O643" s="3"/>
      <c r="P643" s="3"/>
      <c r="Q643" s="3"/>
      <c r="R643" s="3"/>
      <c r="S643" s="3"/>
      <c r="T643" s="22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</row>
    <row r="644">
      <c r="A644" s="3"/>
      <c r="B644" s="3"/>
      <c r="C644" s="3"/>
      <c r="D644" s="3"/>
      <c r="E644" s="187"/>
      <c r="F644" s="3"/>
      <c r="G644" s="3"/>
      <c r="H644" s="3"/>
      <c r="I644" s="3"/>
      <c r="J644" s="3"/>
      <c r="K644" s="221"/>
      <c r="L644" s="599"/>
      <c r="M644" s="221"/>
      <c r="N644" s="3"/>
      <c r="O644" s="3"/>
      <c r="P644" s="3"/>
      <c r="Q644" s="3"/>
      <c r="R644" s="3"/>
      <c r="S644" s="3"/>
      <c r="T644" s="22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</row>
    <row r="645">
      <c r="A645" s="3"/>
      <c r="B645" s="3"/>
      <c r="C645" s="3"/>
      <c r="D645" s="3"/>
      <c r="E645" s="187"/>
      <c r="F645" s="3"/>
      <c r="G645" s="3"/>
      <c r="H645" s="3"/>
      <c r="I645" s="3"/>
      <c r="J645" s="3"/>
      <c r="K645" s="221"/>
      <c r="L645" s="599"/>
      <c r="M645" s="221"/>
      <c r="N645" s="3"/>
      <c r="O645" s="3"/>
      <c r="P645" s="3"/>
      <c r="Q645" s="3"/>
      <c r="R645" s="3"/>
      <c r="S645" s="3"/>
      <c r="T645" s="22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</row>
    <row r="646">
      <c r="A646" s="3"/>
      <c r="B646" s="3"/>
      <c r="C646" s="3"/>
      <c r="D646" s="3"/>
      <c r="E646" s="187"/>
      <c r="F646" s="3"/>
      <c r="G646" s="3"/>
      <c r="H646" s="3"/>
      <c r="I646" s="3"/>
      <c r="J646" s="3"/>
      <c r="K646" s="221"/>
      <c r="L646" s="599"/>
      <c r="M646" s="221"/>
      <c r="N646" s="3"/>
      <c r="O646" s="3"/>
      <c r="P646" s="3"/>
      <c r="Q646" s="3"/>
      <c r="R646" s="3"/>
      <c r="S646" s="3"/>
      <c r="T646" s="22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</row>
    <row r="647">
      <c r="A647" s="3"/>
      <c r="B647" s="3"/>
      <c r="C647" s="3"/>
      <c r="D647" s="3"/>
      <c r="E647" s="187"/>
      <c r="F647" s="3"/>
      <c r="G647" s="3"/>
      <c r="H647" s="3"/>
      <c r="I647" s="3"/>
      <c r="J647" s="3"/>
      <c r="K647" s="221"/>
      <c r="L647" s="599"/>
      <c r="M647" s="221"/>
      <c r="N647" s="3"/>
      <c r="O647" s="3"/>
      <c r="P647" s="3"/>
      <c r="Q647" s="3"/>
      <c r="R647" s="3"/>
      <c r="S647" s="3"/>
      <c r="T647" s="22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</row>
    <row r="648">
      <c r="A648" s="3"/>
      <c r="B648" s="3"/>
      <c r="C648" s="3"/>
      <c r="D648" s="3"/>
      <c r="E648" s="187"/>
      <c r="F648" s="3"/>
      <c r="G648" s="3"/>
      <c r="H648" s="3"/>
      <c r="I648" s="3"/>
      <c r="J648" s="3"/>
      <c r="K648" s="221"/>
      <c r="L648" s="599"/>
      <c r="M648" s="221"/>
      <c r="N648" s="3"/>
      <c r="O648" s="3"/>
      <c r="P648" s="3"/>
      <c r="Q648" s="3"/>
      <c r="R648" s="3"/>
      <c r="S648" s="3"/>
      <c r="T648" s="22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</row>
    <row r="649">
      <c r="A649" s="3"/>
      <c r="B649" s="3"/>
      <c r="C649" s="3"/>
      <c r="D649" s="3"/>
      <c r="E649" s="187"/>
      <c r="F649" s="3"/>
      <c r="G649" s="3"/>
      <c r="H649" s="3"/>
      <c r="I649" s="3"/>
      <c r="J649" s="3"/>
      <c r="K649" s="221"/>
      <c r="L649" s="599"/>
      <c r="M649" s="221"/>
      <c r="N649" s="3"/>
      <c r="O649" s="3"/>
      <c r="P649" s="3"/>
      <c r="Q649" s="3"/>
      <c r="R649" s="3"/>
      <c r="S649" s="3"/>
      <c r="T649" s="22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</row>
    <row r="650">
      <c r="A650" s="3"/>
      <c r="B650" s="3"/>
      <c r="C650" s="3"/>
      <c r="D650" s="3"/>
      <c r="E650" s="187"/>
      <c r="F650" s="3"/>
      <c r="G650" s="3"/>
      <c r="H650" s="3"/>
      <c r="I650" s="3"/>
      <c r="J650" s="3"/>
      <c r="K650" s="221"/>
      <c r="L650" s="599"/>
      <c r="M650" s="221"/>
      <c r="N650" s="3"/>
      <c r="O650" s="3"/>
      <c r="P650" s="3"/>
      <c r="Q650" s="3"/>
      <c r="R650" s="3"/>
      <c r="S650" s="3"/>
      <c r="T650" s="22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</row>
    <row r="651">
      <c r="A651" s="3"/>
      <c r="B651" s="3"/>
      <c r="C651" s="3"/>
      <c r="D651" s="3"/>
      <c r="E651" s="187"/>
      <c r="F651" s="3"/>
      <c r="G651" s="3"/>
      <c r="H651" s="3"/>
      <c r="I651" s="3"/>
      <c r="J651" s="3"/>
      <c r="K651" s="221"/>
      <c r="L651" s="599"/>
      <c r="M651" s="221"/>
      <c r="N651" s="3"/>
      <c r="O651" s="3"/>
      <c r="P651" s="3"/>
      <c r="Q651" s="3"/>
      <c r="R651" s="3"/>
      <c r="S651" s="3"/>
      <c r="T651" s="22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</row>
    <row r="652">
      <c r="A652" s="3"/>
      <c r="B652" s="3"/>
      <c r="C652" s="3"/>
      <c r="D652" s="3"/>
      <c r="E652" s="187"/>
      <c r="F652" s="3"/>
      <c r="G652" s="3"/>
      <c r="H652" s="3"/>
      <c r="I652" s="3"/>
      <c r="J652" s="3"/>
      <c r="K652" s="221"/>
      <c r="L652" s="599"/>
      <c r="M652" s="221"/>
      <c r="N652" s="3"/>
      <c r="O652" s="3"/>
      <c r="P652" s="3"/>
      <c r="Q652" s="3"/>
      <c r="R652" s="3"/>
      <c r="S652" s="3"/>
      <c r="T652" s="22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</row>
    <row r="653">
      <c r="A653" s="3"/>
      <c r="B653" s="3"/>
      <c r="C653" s="3"/>
      <c r="D653" s="3"/>
      <c r="E653" s="187"/>
      <c r="F653" s="3"/>
      <c r="G653" s="3"/>
      <c r="H653" s="3"/>
      <c r="I653" s="3"/>
      <c r="J653" s="3"/>
      <c r="K653" s="221"/>
      <c r="L653" s="599"/>
      <c r="M653" s="221"/>
      <c r="N653" s="3"/>
      <c r="O653" s="3"/>
      <c r="P653" s="3"/>
      <c r="Q653" s="3"/>
      <c r="R653" s="3"/>
      <c r="S653" s="3"/>
      <c r="T653" s="22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</row>
    <row r="654">
      <c r="A654" s="3"/>
      <c r="B654" s="3"/>
      <c r="C654" s="3"/>
      <c r="D654" s="3"/>
      <c r="E654" s="187"/>
      <c r="F654" s="3"/>
      <c r="G654" s="3"/>
      <c r="H654" s="3"/>
      <c r="I654" s="3"/>
      <c r="J654" s="3"/>
      <c r="K654" s="221"/>
      <c r="L654" s="599"/>
      <c r="M654" s="221"/>
      <c r="N654" s="3"/>
      <c r="O654" s="3"/>
      <c r="P654" s="3"/>
      <c r="Q654" s="3"/>
      <c r="R654" s="3"/>
      <c r="S654" s="3"/>
      <c r="T654" s="22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</row>
    <row r="655">
      <c r="A655" s="3"/>
      <c r="B655" s="3"/>
      <c r="C655" s="3"/>
      <c r="D655" s="3"/>
      <c r="E655" s="187"/>
      <c r="F655" s="3"/>
      <c r="G655" s="3"/>
      <c r="H655" s="3"/>
      <c r="I655" s="3"/>
      <c r="J655" s="3"/>
      <c r="K655" s="221"/>
      <c r="L655" s="599"/>
      <c r="M655" s="221"/>
      <c r="N655" s="3"/>
      <c r="O655" s="3"/>
      <c r="P655" s="3"/>
      <c r="Q655" s="3"/>
      <c r="R655" s="3"/>
      <c r="S655" s="3"/>
      <c r="T655" s="22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</row>
    <row r="656">
      <c r="A656" s="3"/>
      <c r="B656" s="3"/>
      <c r="C656" s="3"/>
      <c r="D656" s="3"/>
      <c r="E656" s="187"/>
      <c r="F656" s="3"/>
      <c r="G656" s="3"/>
      <c r="H656" s="3"/>
      <c r="I656" s="3"/>
      <c r="J656" s="3"/>
      <c r="K656" s="221"/>
      <c r="L656" s="599"/>
      <c r="M656" s="221"/>
      <c r="N656" s="3"/>
      <c r="O656" s="3"/>
      <c r="P656" s="3"/>
      <c r="Q656" s="3"/>
      <c r="R656" s="3"/>
      <c r="S656" s="3"/>
      <c r="T656" s="22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</row>
    <row r="657">
      <c r="A657" s="3"/>
      <c r="B657" s="3"/>
      <c r="C657" s="3"/>
      <c r="D657" s="3"/>
      <c r="E657" s="187"/>
      <c r="F657" s="3"/>
      <c r="G657" s="3"/>
      <c r="H657" s="3"/>
      <c r="I657" s="3"/>
      <c r="J657" s="3"/>
      <c r="K657" s="221"/>
      <c r="L657" s="599"/>
      <c r="M657" s="221"/>
      <c r="N657" s="3"/>
      <c r="O657" s="3"/>
      <c r="P657" s="3"/>
      <c r="Q657" s="3"/>
      <c r="R657" s="3"/>
      <c r="S657" s="3"/>
      <c r="T657" s="22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</row>
    <row r="658">
      <c r="A658" s="3"/>
      <c r="B658" s="3"/>
      <c r="C658" s="3"/>
      <c r="D658" s="3"/>
      <c r="E658" s="187"/>
      <c r="F658" s="3"/>
      <c r="G658" s="3"/>
      <c r="H658" s="3"/>
      <c r="I658" s="3"/>
      <c r="J658" s="3"/>
      <c r="K658" s="221"/>
      <c r="L658" s="599"/>
      <c r="M658" s="221"/>
      <c r="N658" s="3"/>
      <c r="O658" s="3"/>
      <c r="P658" s="3"/>
      <c r="Q658" s="3"/>
      <c r="R658" s="3"/>
      <c r="S658" s="3"/>
      <c r="T658" s="22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</row>
    <row r="659">
      <c r="A659" s="3"/>
      <c r="B659" s="3"/>
      <c r="C659" s="3"/>
      <c r="D659" s="3"/>
      <c r="E659" s="187"/>
      <c r="F659" s="3"/>
      <c r="G659" s="3"/>
      <c r="H659" s="3"/>
      <c r="I659" s="3"/>
      <c r="J659" s="3"/>
      <c r="K659" s="221"/>
      <c r="L659" s="599"/>
      <c r="M659" s="221"/>
      <c r="N659" s="3"/>
      <c r="O659" s="3"/>
      <c r="P659" s="3"/>
      <c r="Q659" s="3"/>
      <c r="R659" s="3"/>
      <c r="S659" s="3"/>
      <c r="T659" s="22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</row>
    <row r="660">
      <c r="A660" s="3"/>
      <c r="B660" s="3"/>
      <c r="C660" s="3"/>
      <c r="D660" s="3"/>
      <c r="E660" s="187"/>
      <c r="F660" s="3"/>
      <c r="G660" s="3"/>
      <c r="H660" s="3"/>
      <c r="I660" s="3"/>
      <c r="J660" s="3"/>
      <c r="K660" s="221"/>
      <c r="L660" s="599"/>
      <c r="M660" s="221"/>
      <c r="N660" s="3"/>
      <c r="O660" s="3"/>
      <c r="P660" s="3"/>
      <c r="Q660" s="3"/>
      <c r="R660" s="3"/>
      <c r="S660" s="3"/>
      <c r="T660" s="22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</row>
    <row r="661">
      <c r="A661" s="3"/>
      <c r="B661" s="3"/>
      <c r="C661" s="3"/>
      <c r="D661" s="3"/>
      <c r="E661" s="187"/>
      <c r="F661" s="3"/>
      <c r="G661" s="3"/>
      <c r="H661" s="3"/>
      <c r="I661" s="3"/>
      <c r="J661" s="3"/>
      <c r="K661" s="221"/>
      <c r="L661" s="599"/>
      <c r="M661" s="221"/>
      <c r="N661" s="3"/>
      <c r="O661" s="3"/>
      <c r="P661" s="3"/>
      <c r="Q661" s="3"/>
      <c r="R661" s="3"/>
      <c r="S661" s="3"/>
      <c r="T661" s="22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</row>
    <row r="662">
      <c r="A662" s="3"/>
      <c r="B662" s="3"/>
      <c r="C662" s="3"/>
      <c r="D662" s="3"/>
      <c r="E662" s="187"/>
      <c r="F662" s="3"/>
      <c r="G662" s="3"/>
      <c r="H662" s="3"/>
      <c r="I662" s="3"/>
      <c r="J662" s="3"/>
      <c r="K662" s="221"/>
      <c r="L662" s="599"/>
      <c r="M662" s="221"/>
      <c r="N662" s="3"/>
      <c r="O662" s="3"/>
      <c r="P662" s="3"/>
      <c r="Q662" s="3"/>
      <c r="R662" s="3"/>
      <c r="S662" s="3"/>
      <c r="T662" s="22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</row>
    <row r="663">
      <c r="A663" s="3"/>
      <c r="B663" s="3"/>
      <c r="C663" s="3"/>
      <c r="D663" s="3"/>
      <c r="E663" s="187"/>
      <c r="F663" s="3"/>
      <c r="G663" s="3"/>
      <c r="H663" s="3"/>
      <c r="I663" s="3"/>
      <c r="J663" s="3"/>
      <c r="K663" s="221"/>
      <c r="L663" s="599"/>
      <c r="M663" s="221"/>
      <c r="N663" s="3"/>
      <c r="O663" s="3"/>
      <c r="P663" s="3"/>
      <c r="Q663" s="3"/>
      <c r="R663" s="3"/>
      <c r="S663" s="3"/>
      <c r="T663" s="22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</row>
    <row r="664">
      <c r="A664" s="3"/>
      <c r="B664" s="3"/>
      <c r="C664" s="3"/>
      <c r="D664" s="3"/>
      <c r="E664" s="187"/>
      <c r="F664" s="3"/>
      <c r="G664" s="3"/>
      <c r="H664" s="3"/>
      <c r="I664" s="3"/>
      <c r="J664" s="3"/>
      <c r="K664" s="221"/>
      <c r="L664" s="599"/>
      <c r="M664" s="221"/>
      <c r="N664" s="3"/>
      <c r="O664" s="3"/>
      <c r="P664" s="3"/>
      <c r="Q664" s="3"/>
      <c r="R664" s="3"/>
      <c r="S664" s="3"/>
      <c r="T664" s="22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</row>
    <row r="665">
      <c r="A665" s="3"/>
      <c r="B665" s="3"/>
      <c r="C665" s="3"/>
      <c r="D665" s="3"/>
      <c r="E665" s="187"/>
      <c r="F665" s="3"/>
      <c r="G665" s="3"/>
      <c r="H665" s="3"/>
      <c r="I665" s="3"/>
      <c r="J665" s="3"/>
      <c r="K665" s="221"/>
      <c r="L665" s="599"/>
      <c r="M665" s="221"/>
      <c r="N665" s="3"/>
      <c r="O665" s="3"/>
      <c r="P665" s="3"/>
      <c r="Q665" s="3"/>
      <c r="R665" s="3"/>
      <c r="S665" s="3"/>
      <c r="T665" s="22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</row>
    <row r="666">
      <c r="A666" s="3"/>
      <c r="B666" s="3"/>
      <c r="C666" s="3"/>
      <c r="D666" s="3"/>
      <c r="E666" s="187"/>
      <c r="F666" s="3"/>
      <c r="G666" s="3"/>
      <c r="H666" s="3"/>
      <c r="I666" s="3"/>
      <c r="J666" s="3"/>
      <c r="K666" s="221"/>
      <c r="L666" s="599"/>
      <c r="M666" s="221"/>
      <c r="N666" s="3"/>
      <c r="O666" s="3"/>
      <c r="P666" s="3"/>
      <c r="Q666" s="3"/>
      <c r="R666" s="3"/>
      <c r="S666" s="3"/>
      <c r="T666" s="22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</row>
    <row r="667">
      <c r="A667" s="3"/>
      <c r="B667" s="3"/>
      <c r="C667" s="3"/>
      <c r="D667" s="3"/>
      <c r="E667" s="187"/>
      <c r="F667" s="3"/>
      <c r="G667" s="3"/>
      <c r="H667" s="3"/>
      <c r="I667" s="3"/>
      <c r="J667" s="3"/>
      <c r="K667" s="221"/>
      <c r="L667" s="599"/>
      <c r="M667" s="221"/>
      <c r="N667" s="3"/>
      <c r="O667" s="3"/>
      <c r="P667" s="3"/>
      <c r="Q667" s="3"/>
      <c r="R667" s="3"/>
      <c r="S667" s="3"/>
      <c r="T667" s="22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</row>
    <row r="668">
      <c r="A668" s="3"/>
      <c r="B668" s="3"/>
      <c r="C668" s="3"/>
      <c r="D668" s="3"/>
      <c r="E668" s="187"/>
      <c r="F668" s="3"/>
      <c r="G668" s="3"/>
      <c r="H668" s="3"/>
      <c r="I668" s="3"/>
      <c r="J668" s="3"/>
      <c r="K668" s="221"/>
      <c r="L668" s="599"/>
      <c r="M668" s="221"/>
      <c r="N668" s="3"/>
      <c r="O668" s="3"/>
      <c r="P668" s="3"/>
      <c r="Q668" s="3"/>
      <c r="R668" s="3"/>
      <c r="S668" s="3"/>
      <c r="T668" s="22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</row>
    <row r="669">
      <c r="A669" s="3"/>
      <c r="B669" s="3"/>
      <c r="C669" s="3"/>
      <c r="D669" s="3"/>
      <c r="E669" s="187"/>
      <c r="F669" s="3"/>
      <c r="G669" s="3"/>
      <c r="H669" s="3"/>
      <c r="I669" s="3"/>
      <c r="J669" s="3"/>
      <c r="K669" s="221"/>
      <c r="L669" s="599"/>
      <c r="M669" s="221"/>
      <c r="N669" s="3"/>
      <c r="O669" s="3"/>
      <c r="P669" s="3"/>
      <c r="Q669" s="3"/>
      <c r="R669" s="3"/>
      <c r="S669" s="3"/>
      <c r="T669" s="22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</row>
    <row r="670">
      <c r="A670" s="3"/>
      <c r="B670" s="3"/>
      <c r="C670" s="3"/>
      <c r="D670" s="3"/>
      <c r="E670" s="187"/>
      <c r="F670" s="3"/>
      <c r="G670" s="3"/>
      <c r="H670" s="3"/>
      <c r="I670" s="3"/>
      <c r="J670" s="3"/>
      <c r="K670" s="221"/>
      <c r="L670" s="599"/>
      <c r="M670" s="221"/>
      <c r="N670" s="3"/>
      <c r="O670" s="3"/>
      <c r="P670" s="3"/>
      <c r="Q670" s="3"/>
      <c r="R670" s="3"/>
      <c r="S670" s="3"/>
      <c r="T670" s="22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</row>
    <row r="671">
      <c r="A671" s="3"/>
      <c r="B671" s="3"/>
      <c r="C671" s="3"/>
      <c r="D671" s="3"/>
      <c r="E671" s="187"/>
      <c r="F671" s="3"/>
      <c r="G671" s="3"/>
      <c r="H671" s="3"/>
      <c r="I671" s="3"/>
      <c r="J671" s="3"/>
      <c r="K671" s="221"/>
      <c r="L671" s="599"/>
      <c r="M671" s="221"/>
      <c r="N671" s="3"/>
      <c r="O671" s="3"/>
      <c r="P671" s="3"/>
      <c r="Q671" s="3"/>
      <c r="R671" s="3"/>
      <c r="S671" s="3"/>
      <c r="T671" s="22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</row>
    <row r="672">
      <c r="A672" s="3"/>
      <c r="B672" s="3"/>
      <c r="C672" s="3"/>
      <c r="D672" s="3"/>
      <c r="E672" s="187"/>
      <c r="F672" s="3"/>
      <c r="G672" s="3"/>
      <c r="H672" s="3"/>
      <c r="I672" s="3"/>
      <c r="J672" s="3"/>
      <c r="K672" s="221"/>
      <c r="L672" s="599"/>
      <c r="M672" s="221"/>
      <c r="N672" s="3"/>
      <c r="O672" s="3"/>
      <c r="P672" s="3"/>
      <c r="Q672" s="3"/>
      <c r="R672" s="3"/>
      <c r="S672" s="3"/>
      <c r="T672" s="22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</row>
    <row r="673">
      <c r="A673" s="3"/>
      <c r="B673" s="3"/>
      <c r="C673" s="3"/>
      <c r="D673" s="3"/>
      <c r="E673" s="187"/>
      <c r="F673" s="3"/>
      <c r="G673" s="3"/>
      <c r="H673" s="3"/>
      <c r="I673" s="3"/>
      <c r="J673" s="3"/>
      <c r="K673" s="221"/>
      <c r="L673" s="599"/>
      <c r="M673" s="221"/>
      <c r="N673" s="3"/>
      <c r="O673" s="3"/>
      <c r="P673" s="3"/>
      <c r="Q673" s="3"/>
      <c r="R673" s="3"/>
      <c r="S673" s="3"/>
      <c r="T673" s="22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</row>
    <row r="674">
      <c r="A674" s="3"/>
      <c r="B674" s="3"/>
      <c r="C674" s="3"/>
      <c r="D674" s="3"/>
      <c r="E674" s="187"/>
      <c r="F674" s="3"/>
      <c r="G674" s="3"/>
      <c r="H674" s="3"/>
      <c r="I674" s="3"/>
      <c r="J674" s="3"/>
      <c r="K674" s="221"/>
      <c r="L674" s="599"/>
      <c r="M674" s="221"/>
      <c r="N674" s="3"/>
      <c r="O674" s="3"/>
      <c r="P674" s="3"/>
      <c r="Q674" s="3"/>
      <c r="R674" s="3"/>
      <c r="S674" s="3"/>
      <c r="T674" s="22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</row>
    <row r="675">
      <c r="A675" s="3"/>
      <c r="B675" s="3"/>
      <c r="C675" s="3"/>
      <c r="D675" s="3"/>
      <c r="E675" s="187"/>
      <c r="F675" s="3"/>
      <c r="G675" s="3"/>
      <c r="H675" s="3"/>
      <c r="I675" s="3"/>
      <c r="J675" s="3"/>
      <c r="K675" s="221"/>
      <c r="L675" s="599"/>
      <c r="M675" s="221"/>
      <c r="N675" s="3"/>
      <c r="O675" s="3"/>
      <c r="P675" s="3"/>
      <c r="Q675" s="3"/>
      <c r="R675" s="3"/>
      <c r="S675" s="3"/>
      <c r="T675" s="22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</row>
    <row r="676">
      <c r="A676" s="3"/>
      <c r="B676" s="3"/>
      <c r="C676" s="3"/>
      <c r="D676" s="3"/>
      <c r="E676" s="187"/>
      <c r="F676" s="3"/>
      <c r="G676" s="3"/>
      <c r="H676" s="3"/>
      <c r="I676" s="3"/>
      <c r="J676" s="3"/>
      <c r="K676" s="221"/>
      <c r="L676" s="599"/>
      <c r="M676" s="221"/>
      <c r="N676" s="3"/>
      <c r="O676" s="3"/>
      <c r="P676" s="3"/>
      <c r="Q676" s="3"/>
      <c r="R676" s="3"/>
      <c r="S676" s="3"/>
      <c r="T676" s="22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</row>
    <row r="677">
      <c r="A677" s="3"/>
      <c r="B677" s="3"/>
      <c r="C677" s="3"/>
      <c r="D677" s="3"/>
      <c r="E677" s="187"/>
      <c r="F677" s="3"/>
      <c r="G677" s="3"/>
      <c r="H677" s="3"/>
      <c r="I677" s="3"/>
      <c r="J677" s="3"/>
      <c r="K677" s="221"/>
      <c r="L677" s="599"/>
      <c r="M677" s="221"/>
      <c r="N677" s="3"/>
      <c r="O677" s="3"/>
      <c r="P677" s="3"/>
      <c r="Q677" s="3"/>
      <c r="R677" s="3"/>
      <c r="S677" s="3"/>
      <c r="T677" s="22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</row>
    <row r="678">
      <c r="A678" s="3"/>
      <c r="B678" s="3"/>
      <c r="C678" s="3"/>
      <c r="D678" s="3"/>
      <c r="E678" s="187"/>
      <c r="F678" s="3"/>
      <c r="G678" s="3"/>
      <c r="H678" s="3"/>
      <c r="I678" s="3"/>
      <c r="J678" s="3"/>
      <c r="K678" s="221"/>
      <c r="L678" s="599"/>
      <c r="M678" s="221"/>
      <c r="N678" s="3"/>
      <c r="O678" s="3"/>
      <c r="P678" s="3"/>
      <c r="Q678" s="3"/>
      <c r="R678" s="3"/>
      <c r="S678" s="3"/>
      <c r="T678" s="22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</row>
    <row r="679">
      <c r="A679" s="3"/>
      <c r="B679" s="3"/>
      <c r="C679" s="3"/>
      <c r="D679" s="3"/>
      <c r="E679" s="187"/>
      <c r="F679" s="3"/>
      <c r="G679" s="3"/>
      <c r="H679" s="3"/>
      <c r="I679" s="3"/>
      <c r="J679" s="3"/>
      <c r="K679" s="221"/>
      <c r="L679" s="599"/>
      <c r="M679" s="221"/>
      <c r="N679" s="3"/>
      <c r="O679" s="3"/>
      <c r="P679" s="3"/>
      <c r="Q679" s="3"/>
      <c r="R679" s="3"/>
      <c r="S679" s="3"/>
      <c r="T679" s="22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</row>
    <row r="680">
      <c r="A680" s="3"/>
      <c r="B680" s="3"/>
      <c r="C680" s="3"/>
      <c r="D680" s="3"/>
      <c r="E680" s="187"/>
      <c r="F680" s="3"/>
      <c r="G680" s="3"/>
      <c r="H680" s="3"/>
      <c r="I680" s="3"/>
      <c r="J680" s="3"/>
      <c r="K680" s="221"/>
      <c r="L680" s="599"/>
      <c r="M680" s="221"/>
      <c r="N680" s="3"/>
      <c r="O680" s="3"/>
      <c r="P680" s="3"/>
      <c r="Q680" s="3"/>
      <c r="R680" s="3"/>
      <c r="S680" s="3"/>
      <c r="T680" s="22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</row>
    <row r="681">
      <c r="A681" s="3"/>
      <c r="B681" s="3"/>
      <c r="C681" s="3"/>
      <c r="D681" s="3"/>
      <c r="E681" s="187"/>
      <c r="F681" s="3"/>
      <c r="G681" s="3"/>
      <c r="H681" s="3"/>
      <c r="I681" s="3"/>
      <c r="J681" s="3"/>
      <c r="K681" s="221"/>
      <c r="L681" s="599"/>
      <c r="M681" s="221"/>
      <c r="N681" s="3"/>
      <c r="O681" s="3"/>
      <c r="P681" s="3"/>
      <c r="Q681" s="3"/>
      <c r="R681" s="3"/>
      <c r="S681" s="3"/>
      <c r="T681" s="22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</row>
    <row r="682">
      <c r="A682" s="3"/>
      <c r="B682" s="3"/>
      <c r="C682" s="3"/>
      <c r="D682" s="3"/>
      <c r="E682" s="187"/>
      <c r="F682" s="3"/>
      <c r="G682" s="3"/>
      <c r="H682" s="3"/>
      <c r="I682" s="3"/>
      <c r="J682" s="3"/>
      <c r="K682" s="221"/>
      <c r="L682" s="599"/>
      <c r="M682" s="221"/>
      <c r="N682" s="3"/>
      <c r="O682" s="3"/>
      <c r="P682" s="3"/>
      <c r="Q682" s="3"/>
      <c r="R682" s="3"/>
      <c r="S682" s="3"/>
      <c r="T682" s="22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</row>
    <row r="683">
      <c r="A683" s="3"/>
      <c r="B683" s="3"/>
      <c r="C683" s="3"/>
      <c r="D683" s="3"/>
      <c r="E683" s="187"/>
      <c r="F683" s="3"/>
      <c r="G683" s="3"/>
      <c r="H683" s="3"/>
      <c r="I683" s="3"/>
      <c r="J683" s="3"/>
      <c r="K683" s="221"/>
      <c r="L683" s="599"/>
      <c r="M683" s="221"/>
      <c r="N683" s="3"/>
      <c r="O683" s="3"/>
      <c r="P683" s="3"/>
      <c r="Q683" s="3"/>
      <c r="R683" s="3"/>
      <c r="S683" s="3"/>
      <c r="T683" s="22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</row>
    <row r="684">
      <c r="A684" s="3"/>
      <c r="B684" s="3"/>
      <c r="C684" s="3"/>
      <c r="D684" s="3"/>
      <c r="E684" s="187"/>
      <c r="F684" s="3"/>
      <c r="G684" s="3"/>
      <c r="H684" s="3"/>
      <c r="I684" s="3"/>
      <c r="J684" s="3"/>
      <c r="K684" s="221"/>
      <c r="L684" s="599"/>
      <c r="M684" s="221"/>
      <c r="N684" s="3"/>
      <c r="O684" s="3"/>
      <c r="P684" s="3"/>
      <c r="Q684" s="3"/>
      <c r="R684" s="3"/>
      <c r="S684" s="3"/>
      <c r="T684" s="22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</row>
    <row r="685">
      <c r="A685" s="3"/>
      <c r="B685" s="3"/>
      <c r="C685" s="3"/>
      <c r="D685" s="3"/>
      <c r="E685" s="187"/>
      <c r="F685" s="3"/>
      <c r="G685" s="3"/>
      <c r="H685" s="3"/>
      <c r="I685" s="3"/>
      <c r="J685" s="3"/>
      <c r="K685" s="221"/>
      <c r="L685" s="599"/>
      <c r="M685" s="221"/>
      <c r="N685" s="3"/>
      <c r="O685" s="3"/>
      <c r="P685" s="3"/>
      <c r="Q685" s="3"/>
      <c r="R685" s="3"/>
      <c r="S685" s="3"/>
      <c r="T685" s="22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</row>
    <row r="686">
      <c r="A686" s="3"/>
      <c r="B686" s="3"/>
      <c r="C686" s="3"/>
      <c r="D686" s="3"/>
      <c r="E686" s="187"/>
      <c r="F686" s="3"/>
      <c r="G686" s="3"/>
      <c r="H686" s="3"/>
      <c r="I686" s="3"/>
      <c r="J686" s="3"/>
      <c r="K686" s="221"/>
      <c r="L686" s="599"/>
      <c r="M686" s="221"/>
      <c r="N686" s="3"/>
      <c r="O686" s="3"/>
      <c r="P686" s="3"/>
      <c r="Q686" s="3"/>
      <c r="R686" s="3"/>
      <c r="S686" s="3"/>
      <c r="T686" s="22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</row>
    <row r="687">
      <c r="A687" s="3"/>
      <c r="B687" s="3"/>
      <c r="C687" s="3"/>
      <c r="D687" s="3"/>
      <c r="E687" s="187"/>
      <c r="F687" s="3"/>
      <c r="G687" s="3"/>
      <c r="H687" s="3"/>
      <c r="I687" s="3"/>
      <c r="J687" s="3"/>
      <c r="K687" s="221"/>
      <c r="L687" s="599"/>
      <c r="M687" s="221"/>
      <c r="N687" s="3"/>
      <c r="O687" s="3"/>
      <c r="P687" s="3"/>
      <c r="Q687" s="3"/>
      <c r="R687" s="3"/>
      <c r="S687" s="3"/>
      <c r="T687" s="22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</row>
    <row r="688">
      <c r="A688" s="3"/>
      <c r="B688" s="3"/>
      <c r="C688" s="3"/>
      <c r="D688" s="3"/>
      <c r="E688" s="187"/>
      <c r="F688" s="3"/>
      <c r="G688" s="3"/>
      <c r="H688" s="3"/>
      <c r="I688" s="3"/>
      <c r="J688" s="3"/>
      <c r="K688" s="221"/>
      <c r="L688" s="599"/>
      <c r="M688" s="221"/>
      <c r="N688" s="3"/>
      <c r="O688" s="3"/>
      <c r="P688" s="3"/>
      <c r="Q688" s="3"/>
      <c r="R688" s="3"/>
      <c r="S688" s="3"/>
      <c r="T688" s="22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</row>
    <row r="689">
      <c r="A689" s="3"/>
      <c r="B689" s="3"/>
      <c r="C689" s="3"/>
      <c r="D689" s="3"/>
      <c r="E689" s="187"/>
      <c r="F689" s="3"/>
      <c r="G689" s="3"/>
      <c r="H689" s="3"/>
      <c r="I689" s="3"/>
      <c r="J689" s="3"/>
      <c r="K689" s="221"/>
      <c r="L689" s="599"/>
      <c r="M689" s="221"/>
      <c r="N689" s="3"/>
      <c r="O689" s="3"/>
      <c r="P689" s="3"/>
      <c r="Q689" s="3"/>
      <c r="R689" s="3"/>
      <c r="S689" s="3"/>
      <c r="T689" s="22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</row>
    <row r="690">
      <c r="A690" s="3"/>
      <c r="B690" s="3"/>
      <c r="C690" s="3"/>
      <c r="D690" s="3"/>
      <c r="E690" s="187"/>
      <c r="F690" s="3"/>
      <c r="G690" s="3"/>
      <c r="H690" s="3"/>
      <c r="I690" s="3"/>
      <c r="J690" s="3"/>
      <c r="K690" s="221"/>
      <c r="L690" s="599"/>
      <c r="M690" s="221"/>
      <c r="N690" s="3"/>
      <c r="O690" s="3"/>
      <c r="P690" s="3"/>
      <c r="Q690" s="3"/>
      <c r="R690" s="3"/>
      <c r="S690" s="3"/>
      <c r="T690" s="22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</row>
    <row r="691">
      <c r="A691" s="3"/>
      <c r="B691" s="3"/>
      <c r="C691" s="3"/>
      <c r="D691" s="3"/>
      <c r="E691" s="187"/>
      <c r="F691" s="3"/>
      <c r="G691" s="3"/>
      <c r="H691" s="3"/>
      <c r="I691" s="3"/>
      <c r="J691" s="3"/>
      <c r="K691" s="221"/>
      <c r="L691" s="599"/>
      <c r="M691" s="221"/>
      <c r="N691" s="3"/>
      <c r="O691" s="3"/>
      <c r="P691" s="3"/>
      <c r="Q691" s="3"/>
      <c r="R691" s="3"/>
      <c r="S691" s="3"/>
      <c r="T691" s="22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</row>
    <row r="692">
      <c r="A692" s="3"/>
      <c r="B692" s="3"/>
      <c r="C692" s="3"/>
      <c r="D692" s="3"/>
      <c r="E692" s="187"/>
      <c r="F692" s="3"/>
      <c r="G692" s="3"/>
      <c r="H692" s="3"/>
      <c r="I692" s="3"/>
      <c r="J692" s="3"/>
      <c r="K692" s="221"/>
      <c r="L692" s="599"/>
      <c r="M692" s="221"/>
      <c r="N692" s="3"/>
      <c r="O692" s="3"/>
      <c r="P692" s="3"/>
      <c r="Q692" s="3"/>
      <c r="R692" s="3"/>
      <c r="S692" s="3"/>
      <c r="T692" s="22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</row>
    <row r="693">
      <c r="A693" s="3"/>
      <c r="B693" s="3"/>
      <c r="C693" s="3"/>
      <c r="D693" s="3"/>
      <c r="E693" s="187"/>
      <c r="F693" s="3"/>
      <c r="G693" s="3"/>
      <c r="H693" s="3"/>
      <c r="I693" s="3"/>
      <c r="J693" s="3"/>
      <c r="K693" s="221"/>
      <c r="L693" s="599"/>
      <c r="M693" s="221"/>
      <c r="N693" s="3"/>
      <c r="O693" s="3"/>
      <c r="P693" s="3"/>
      <c r="Q693" s="3"/>
      <c r="R693" s="3"/>
      <c r="S693" s="3"/>
      <c r="T693" s="22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</row>
    <row r="694">
      <c r="A694" s="3"/>
      <c r="B694" s="3"/>
      <c r="C694" s="3"/>
      <c r="D694" s="3"/>
      <c r="E694" s="187"/>
      <c r="F694" s="3"/>
      <c r="G694" s="3"/>
      <c r="H694" s="3"/>
      <c r="I694" s="3"/>
      <c r="J694" s="3"/>
      <c r="K694" s="221"/>
      <c r="L694" s="599"/>
      <c r="M694" s="221"/>
      <c r="N694" s="3"/>
      <c r="O694" s="3"/>
      <c r="P694" s="3"/>
      <c r="Q694" s="3"/>
      <c r="R694" s="3"/>
      <c r="S694" s="3"/>
      <c r="T694" s="22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</row>
    <row r="695">
      <c r="A695" s="3"/>
      <c r="B695" s="3"/>
      <c r="C695" s="3"/>
      <c r="D695" s="3"/>
      <c r="E695" s="187"/>
      <c r="F695" s="3"/>
      <c r="G695" s="3"/>
      <c r="H695" s="3"/>
      <c r="I695" s="3"/>
      <c r="J695" s="3"/>
      <c r="K695" s="221"/>
      <c r="L695" s="599"/>
      <c r="M695" s="221"/>
      <c r="N695" s="3"/>
      <c r="O695" s="3"/>
      <c r="P695" s="3"/>
      <c r="Q695" s="3"/>
      <c r="R695" s="3"/>
      <c r="S695" s="3"/>
      <c r="T695" s="22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</row>
    <row r="696">
      <c r="A696" s="3"/>
      <c r="B696" s="3"/>
      <c r="C696" s="3"/>
      <c r="D696" s="3"/>
      <c r="E696" s="187"/>
      <c r="F696" s="3"/>
      <c r="G696" s="3"/>
      <c r="H696" s="3"/>
      <c r="I696" s="3"/>
      <c r="J696" s="3"/>
      <c r="K696" s="221"/>
      <c r="L696" s="599"/>
      <c r="M696" s="221"/>
      <c r="N696" s="3"/>
      <c r="O696" s="3"/>
      <c r="P696" s="3"/>
      <c r="Q696" s="3"/>
      <c r="R696" s="3"/>
      <c r="S696" s="3"/>
      <c r="T696" s="22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</row>
    <row r="697">
      <c r="A697" s="3"/>
      <c r="B697" s="3"/>
      <c r="C697" s="3"/>
      <c r="D697" s="3"/>
      <c r="E697" s="187"/>
      <c r="F697" s="3"/>
      <c r="G697" s="3"/>
      <c r="H697" s="3"/>
      <c r="I697" s="3"/>
      <c r="J697" s="3"/>
      <c r="K697" s="221"/>
      <c r="L697" s="599"/>
      <c r="M697" s="221"/>
      <c r="N697" s="3"/>
      <c r="O697" s="3"/>
      <c r="P697" s="3"/>
      <c r="Q697" s="3"/>
      <c r="R697" s="3"/>
      <c r="S697" s="3"/>
      <c r="T697" s="22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</row>
    <row r="698">
      <c r="A698" s="3"/>
      <c r="B698" s="3"/>
      <c r="C698" s="3"/>
      <c r="D698" s="3"/>
      <c r="E698" s="187"/>
      <c r="F698" s="3"/>
      <c r="G698" s="3"/>
      <c r="H698" s="3"/>
      <c r="I698" s="3"/>
      <c r="J698" s="3"/>
      <c r="K698" s="221"/>
      <c r="L698" s="599"/>
      <c r="M698" s="221"/>
      <c r="N698" s="3"/>
      <c r="O698" s="3"/>
      <c r="P698" s="3"/>
      <c r="Q698" s="3"/>
      <c r="R698" s="3"/>
      <c r="S698" s="3"/>
      <c r="T698" s="22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</row>
    <row r="699">
      <c r="A699" s="3"/>
      <c r="B699" s="3"/>
      <c r="C699" s="3"/>
      <c r="D699" s="3"/>
      <c r="E699" s="187"/>
      <c r="F699" s="3"/>
      <c r="G699" s="3"/>
      <c r="H699" s="3"/>
      <c r="I699" s="3"/>
      <c r="J699" s="3"/>
      <c r="K699" s="221"/>
      <c r="L699" s="599"/>
      <c r="M699" s="221"/>
      <c r="N699" s="3"/>
      <c r="O699" s="3"/>
      <c r="P699" s="3"/>
      <c r="Q699" s="3"/>
      <c r="R699" s="3"/>
      <c r="S699" s="3"/>
      <c r="T699" s="22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</row>
    <row r="700">
      <c r="A700" s="3"/>
      <c r="B700" s="3"/>
      <c r="C700" s="3"/>
      <c r="D700" s="3"/>
      <c r="E700" s="187"/>
      <c r="F700" s="3"/>
      <c r="G700" s="3"/>
      <c r="H700" s="3"/>
      <c r="I700" s="3"/>
      <c r="J700" s="3"/>
      <c r="K700" s="221"/>
      <c r="L700" s="599"/>
      <c r="M700" s="221"/>
      <c r="N700" s="3"/>
      <c r="O700" s="3"/>
      <c r="P700" s="3"/>
      <c r="Q700" s="3"/>
      <c r="R700" s="3"/>
      <c r="S700" s="3"/>
      <c r="T700" s="22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</row>
    <row r="701">
      <c r="A701" s="3"/>
      <c r="B701" s="3"/>
      <c r="C701" s="3"/>
      <c r="D701" s="3"/>
      <c r="E701" s="187"/>
      <c r="F701" s="3"/>
      <c r="G701" s="3"/>
      <c r="H701" s="3"/>
      <c r="I701" s="3"/>
      <c r="J701" s="3"/>
      <c r="K701" s="221"/>
      <c r="L701" s="599"/>
      <c r="M701" s="221"/>
      <c r="N701" s="3"/>
      <c r="O701" s="3"/>
      <c r="P701" s="3"/>
      <c r="Q701" s="3"/>
      <c r="R701" s="3"/>
      <c r="S701" s="3"/>
      <c r="T701" s="22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</row>
    <row r="702">
      <c r="A702" s="3"/>
      <c r="B702" s="3"/>
      <c r="C702" s="3"/>
      <c r="D702" s="3"/>
      <c r="E702" s="187"/>
      <c r="F702" s="3"/>
      <c r="G702" s="3"/>
      <c r="H702" s="3"/>
      <c r="I702" s="3"/>
      <c r="J702" s="3"/>
      <c r="K702" s="221"/>
      <c r="L702" s="599"/>
      <c r="M702" s="221"/>
      <c r="N702" s="3"/>
      <c r="O702" s="3"/>
      <c r="P702" s="3"/>
      <c r="Q702" s="3"/>
      <c r="R702" s="3"/>
      <c r="S702" s="3"/>
      <c r="T702" s="22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</row>
    <row r="703">
      <c r="A703" s="3"/>
      <c r="B703" s="3"/>
      <c r="C703" s="3"/>
      <c r="D703" s="3"/>
      <c r="E703" s="187"/>
      <c r="F703" s="3"/>
      <c r="G703" s="3"/>
      <c r="H703" s="3"/>
      <c r="I703" s="3"/>
      <c r="J703" s="3"/>
      <c r="K703" s="221"/>
      <c r="L703" s="599"/>
      <c r="M703" s="221"/>
      <c r="N703" s="3"/>
      <c r="O703" s="3"/>
      <c r="P703" s="3"/>
      <c r="Q703" s="3"/>
      <c r="R703" s="3"/>
      <c r="S703" s="3"/>
      <c r="T703" s="22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</row>
    <row r="704">
      <c r="A704" s="3"/>
      <c r="B704" s="3"/>
      <c r="C704" s="3"/>
      <c r="D704" s="3"/>
      <c r="E704" s="187"/>
      <c r="F704" s="3"/>
      <c r="G704" s="3"/>
      <c r="H704" s="3"/>
      <c r="I704" s="3"/>
      <c r="J704" s="3"/>
      <c r="K704" s="221"/>
      <c r="L704" s="599"/>
      <c r="M704" s="221"/>
      <c r="N704" s="3"/>
      <c r="O704" s="3"/>
      <c r="P704" s="3"/>
      <c r="Q704" s="3"/>
      <c r="R704" s="3"/>
      <c r="S704" s="3"/>
      <c r="T704" s="22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</row>
    <row r="705">
      <c r="A705" s="3"/>
      <c r="B705" s="3"/>
      <c r="C705" s="3"/>
      <c r="D705" s="3"/>
      <c r="E705" s="187"/>
      <c r="F705" s="3"/>
      <c r="G705" s="3"/>
      <c r="H705" s="3"/>
      <c r="I705" s="3"/>
      <c r="J705" s="3"/>
      <c r="K705" s="221"/>
      <c r="L705" s="599"/>
      <c r="M705" s="221"/>
      <c r="N705" s="3"/>
      <c r="O705" s="3"/>
      <c r="P705" s="3"/>
      <c r="Q705" s="3"/>
      <c r="R705" s="3"/>
      <c r="S705" s="3"/>
      <c r="T705" s="22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</row>
    <row r="706">
      <c r="A706" s="3"/>
      <c r="B706" s="3"/>
      <c r="C706" s="3"/>
      <c r="D706" s="3"/>
      <c r="E706" s="187"/>
      <c r="F706" s="3"/>
      <c r="G706" s="3"/>
      <c r="H706" s="3"/>
      <c r="I706" s="3"/>
      <c r="J706" s="3"/>
      <c r="K706" s="221"/>
      <c r="L706" s="599"/>
      <c r="M706" s="221"/>
      <c r="N706" s="3"/>
      <c r="O706" s="3"/>
      <c r="P706" s="3"/>
      <c r="Q706" s="3"/>
      <c r="R706" s="3"/>
      <c r="S706" s="3"/>
      <c r="T706" s="22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</row>
    <row r="707">
      <c r="A707" s="3"/>
      <c r="B707" s="3"/>
      <c r="C707" s="3"/>
      <c r="D707" s="3"/>
      <c r="E707" s="187"/>
      <c r="F707" s="3"/>
      <c r="G707" s="3"/>
      <c r="H707" s="3"/>
      <c r="I707" s="3"/>
      <c r="J707" s="3"/>
      <c r="K707" s="221"/>
      <c r="L707" s="599"/>
      <c r="M707" s="221"/>
      <c r="N707" s="3"/>
      <c r="O707" s="3"/>
      <c r="P707" s="3"/>
      <c r="Q707" s="3"/>
      <c r="R707" s="3"/>
      <c r="S707" s="3"/>
      <c r="T707" s="22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</row>
    <row r="708">
      <c r="A708" s="3"/>
      <c r="B708" s="3"/>
      <c r="C708" s="3"/>
      <c r="D708" s="3"/>
      <c r="E708" s="187"/>
      <c r="F708" s="3"/>
      <c r="G708" s="3"/>
      <c r="H708" s="3"/>
      <c r="I708" s="3"/>
      <c r="J708" s="3"/>
      <c r="K708" s="221"/>
      <c r="L708" s="599"/>
      <c r="M708" s="221"/>
      <c r="N708" s="3"/>
      <c r="O708" s="3"/>
      <c r="P708" s="3"/>
      <c r="Q708" s="3"/>
      <c r="R708" s="3"/>
      <c r="S708" s="3"/>
      <c r="T708" s="22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</row>
    <row r="709">
      <c r="A709" s="3"/>
      <c r="B709" s="3"/>
      <c r="C709" s="3"/>
      <c r="D709" s="3"/>
      <c r="E709" s="187"/>
      <c r="F709" s="3"/>
      <c r="G709" s="3"/>
      <c r="H709" s="3"/>
      <c r="I709" s="3"/>
      <c r="J709" s="3"/>
      <c r="K709" s="221"/>
      <c r="L709" s="599"/>
      <c r="M709" s="221"/>
      <c r="N709" s="3"/>
      <c r="O709" s="3"/>
      <c r="P709" s="3"/>
      <c r="Q709" s="3"/>
      <c r="R709" s="3"/>
      <c r="S709" s="3"/>
      <c r="T709" s="22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</row>
    <row r="710">
      <c r="A710" s="3"/>
      <c r="B710" s="3"/>
      <c r="C710" s="3"/>
      <c r="D710" s="3"/>
      <c r="E710" s="187"/>
      <c r="F710" s="3"/>
      <c r="G710" s="3"/>
      <c r="H710" s="3"/>
      <c r="I710" s="3"/>
      <c r="J710" s="3"/>
      <c r="K710" s="221"/>
      <c r="L710" s="599"/>
      <c r="M710" s="221"/>
      <c r="N710" s="3"/>
      <c r="O710" s="3"/>
      <c r="P710" s="3"/>
      <c r="Q710" s="3"/>
      <c r="R710" s="3"/>
      <c r="S710" s="3"/>
      <c r="T710" s="22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</row>
    <row r="711">
      <c r="A711" s="3"/>
      <c r="B711" s="3"/>
      <c r="C711" s="3"/>
      <c r="D711" s="3"/>
      <c r="E711" s="187"/>
      <c r="F711" s="3"/>
      <c r="G711" s="3"/>
      <c r="H711" s="3"/>
      <c r="I711" s="3"/>
      <c r="J711" s="3"/>
      <c r="K711" s="221"/>
      <c r="L711" s="599"/>
      <c r="M711" s="221"/>
      <c r="N711" s="3"/>
      <c r="O711" s="3"/>
      <c r="P711" s="3"/>
      <c r="Q711" s="3"/>
      <c r="R711" s="3"/>
      <c r="S711" s="3"/>
      <c r="T711" s="22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</row>
    <row r="712">
      <c r="A712" s="3"/>
      <c r="B712" s="3"/>
      <c r="C712" s="3"/>
      <c r="D712" s="3"/>
      <c r="E712" s="187"/>
      <c r="F712" s="3"/>
      <c r="G712" s="3"/>
      <c r="H712" s="3"/>
      <c r="I712" s="3"/>
      <c r="J712" s="3"/>
      <c r="K712" s="221"/>
      <c r="L712" s="599"/>
      <c r="M712" s="221"/>
      <c r="N712" s="3"/>
      <c r="O712" s="3"/>
      <c r="P712" s="3"/>
      <c r="Q712" s="3"/>
      <c r="R712" s="3"/>
      <c r="S712" s="3"/>
      <c r="T712" s="22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</row>
    <row r="713">
      <c r="A713" s="3"/>
      <c r="B713" s="3"/>
      <c r="C713" s="3"/>
      <c r="D713" s="3"/>
      <c r="E713" s="187"/>
      <c r="F713" s="3"/>
      <c r="G713" s="3"/>
      <c r="H713" s="3"/>
      <c r="I713" s="3"/>
      <c r="J713" s="3"/>
      <c r="K713" s="221"/>
      <c r="L713" s="599"/>
      <c r="M713" s="221"/>
      <c r="N713" s="3"/>
      <c r="O713" s="3"/>
      <c r="P713" s="3"/>
      <c r="Q713" s="3"/>
      <c r="R713" s="3"/>
      <c r="S713" s="3"/>
      <c r="T713" s="22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</row>
    <row r="714">
      <c r="A714" s="3"/>
      <c r="B714" s="3"/>
      <c r="C714" s="3"/>
      <c r="D714" s="3"/>
      <c r="E714" s="187"/>
      <c r="F714" s="3"/>
      <c r="G714" s="3"/>
      <c r="H714" s="3"/>
      <c r="I714" s="3"/>
      <c r="J714" s="3"/>
      <c r="K714" s="221"/>
      <c r="L714" s="599"/>
      <c r="M714" s="221"/>
      <c r="N714" s="3"/>
      <c r="O714" s="3"/>
      <c r="P714" s="3"/>
      <c r="Q714" s="3"/>
      <c r="R714" s="3"/>
      <c r="S714" s="3"/>
      <c r="T714" s="22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</row>
    <row r="715">
      <c r="A715" s="3"/>
      <c r="B715" s="3"/>
      <c r="C715" s="3"/>
      <c r="D715" s="3"/>
      <c r="E715" s="187"/>
      <c r="F715" s="3"/>
      <c r="G715" s="3"/>
      <c r="H715" s="3"/>
      <c r="I715" s="3"/>
      <c r="J715" s="3"/>
      <c r="K715" s="221"/>
      <c r="L715" s="599"/>
      <c r="M715" s="221"/>
      <c r="N715" s="3"/>
      <c r="O715" s="3"/>
      <c r="P715" s="3"/>
      <c r="Q715" s="3"/>
      <c r="R715" s="3"/>
      <c r="S715" s="3"/>
      <c r="T715" s="22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</row>
    <row r="716">
      <c r="A716" s="3"/>
      <c r="B716" s="3"/>
      <c r="C716" s="3"/>
      <c r="D716" s="3"/>
      <c r="E716" s="187"/>
      <c r="F716" s="3"/>
      <c r="G716" s="3"/>
      <c r="H716" s="3"/>
      <c r="I716" s="3"/>
      <c r="J716" s="3"/>
      <c r="K716" s="221"/>
      <c r="L716" s="599"/>
      <c r="M716" s="221"/>
      <c r="N716" s="3"/>
      <c r="O716" s="3"/>
      <c r="P716" s="3"/>
      <c r="Q716" s="3"/>
      <c r="R716" s="3"/>
      <c r="S716" s="3"/>
      <c r="T716" s="22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</row>
    <row r="717">
      <c r="A717" s="3"/>
      <c r="B717" s="3"/>
      <c r="C717" s="3"/>
      <c r="D717" s="3"/>
      <c r="E717" s="187"/>
      <c r="F717" s="3"/>
      <c r="G717" s="3"/>
      <c r="H717" s="3"/>
      <c r="I717" s="3"/>
      <c r="J717" s="3"/>
      <c r="K717" s="221"/>
      <c r="L717" s="599"/>
      <c r="M717" s="221"/>
      <c r="N717" s="3"/>
      <c r="O717" s="3"/>
      <c r="P717" s="3"/>
      <c r="Q717" s="3"/>
      <c r="R717" s="3"/>
      <c r="S717" s="3"/>
      <c r="T717" s="22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</row>
    <row r="718">
      <c r="A718" s="3"/>
      <c r="B718" s="3"/>
      <c r="C718" s="3"/>
      <c r="D718" s="3"/>
      <c r="E718" s="187"/>
      <c r="F718" s="3"/>
      <c r="G718" s="3"/>
      <c r="H718" s="3"/>
      <c r="I718" s="3"/>
      <c r="J718" s="3"/>
      <c r="K718" s="221"/>
      <c r="L718" s="599"/>
      <c r="M718" s="221"/>
      <c r="N718" s="3"/>
      <c r="O718" s="3"/>
      <c r="P718" s="3"/>
      <c r="Q718" s="3"/>
      <c r="R718" s="3"/>
      <c r="S718" s="3"/>
      <c r="T718" s="22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</row>
    <row r="719">
      <c r="A719" s="3"/>
      <c r="B719" s="3"/>
      <c r="C719" s="3"/>
      <c r="D719" s="3"/>
      <c r="E719" s="187"/>
      <c r="F719" s="3"/>
      <c r="G719" s="3"/>
      <c r="H719" s="3"/>
      <c r="I719" s="3"/>
      <c r="J719" s="3"/>
      <c r="K719" s="221"/>
      <c r="L719" s="599"/>
      <c r="M719" s="221"/>
      <c r="N719" s="3"/>
      <c r="O719" s="3"/>
      <c r="P719" s="3"/>
      <c r="Q719" s="3"/>
      <c r="R719" s="3"/>
      <c r="S719" s="3"/>
      <c r="T719" s="22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</row>
    <row r="720">
      <c r="A720" s="3"/>
      <c r="B720" s="3"/>
      <c r="C720" s="3"/>
      <c r="D720" s="3"/>
      <c r="E720" s="187"/>
      <c r="F720" s="3"/>
      <c r="G720" s="3"/>
      <c r="H720" s="3"/>
      <c r="I720" s="3"/>
      <c r="J720" s="3"/>
      <c r="K720" s="221"/>
      <c r="L720" s="599"/>
      <c r="M720" s="221"/>
      <c r="N720" s="3"/>
      <c r="O720" s="3"/>
      <c r="P720" s="3"/>
      <c r="Q720" s="3"/>
      <c r="R720" s="3"/>
      <c r="S720" s="3"/>
      <c r="T720" s="22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</row>
    <row r="721">
      <c r="A721" s="3"/>
      <c r="B721" s="3"/>
      <c r="C721" s="3"/>
      <c r="D721" s="3"/>
      <c r="E721" s="187"/>
      <c r="F721" s="3"/>
      <c r="G721" s="3"/>
      <c r="H721" s="3"/>
      <c r="I721" s="3"/>
      <c r="J721" s="3"/>
      <c r="K721" s="221"/>
      <c r="L721" s="599"/>
      <c r="M721" s="221"/>
      <c r="N721" s="3"/>
      <c r="O721" s="3"/>
      <c r="P721" s="3"/>
      <c r="Q721" s="3"/>
      <c r="R721" s="3"/>
      <c r="S721" s="3"/>
      <c r="T721" s="22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</row>
    <row r="722">
      <c r="A722" s="3"/>
      <c r="B722" s="3"/>
      <c r="C722" s="3"/>
      <c r="D722" s="3"/>
      <c r="E722" s="187"/>
      <c r="F722" s="3"/>
      <c r="G722" s="3"/>
      <c r="H722" s="3"/>
      <c r="I722" s="3"/>
      <c r="J722" s="3"/>
      <c r="K722" s="221"/>
      <c r="L722" s="599"/>
      <c r="M722" s="221"/>
      <c r="N722" s="3"/>
      <c r="O722" s="3"/>
      <c r="P722" s="3"/>
      <c r="Q722" s="3"/>
      <c r="R722" s="3"/>
      <c r="S722" s="3"/>
      <c r="T722" s="22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</row>
    <row r="723">
      <c r="A723" s="3"/>
      <c r="B723" s="3"/>
      <c r="C723" s="3"/>
      <c r="D723" s="3"/>
      <c r="E723" s="187"/>
      <c r="F723" s="3"/>
      <c r="G723" s="3"/>
      <c r="H723" s="3"/>
      <c r="I723" s="3"/>
      <c r="J723" s="3"/>
      <c r="K723" s="221"/>
      <c r="L723" s="599"/>
      <c r="M723" s="221"/>
      <c r="N723" s="3"/>
      <c r="O723" s="3"/>
      <c r="P723" s="3"/>
      <c r="Q723" s="3"/>
      <c r="R723" s="3"/>
      <c r="S723" s="3"/>
      <c r="T723" s="22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</row>
    <row r="724">
      <c r="A724" s="3"/>
      <c r="B724" s="3"/>
      <c r="C724" s="3"/>
      <c r="D724" s="3"/>
      <c r="E724" s="187"/>
      <c r="F724" s="3"/>
      <c r="G724" s="3"/>
      <c r="H724" s="3"/>
      <c r="I724" s="3"/>
      <c r="J724" s="3"/>
      <c r="K724" s="221"/>
      <c r="L724" s="599"/>
      <c r="M724" s="221"/>
      <c r="N724" s="3"/>
      <c r="O724" s="3"/>
      <c r="P724" s="3"/>
      <c r="Q724" s="3"/>
      <c r="R724" s="3"/>
      <c r="S724" s="3"/>
      <c r="T724" s="22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</row>
    <row r="725">
      <c r="A725" s="3"/>
      <c r="B725" s="3"/>
      <c r="C725" s="3"/>
      <c r="D725" s="3"/>
      <c r="E725" s="187"/>
      <c r="F725" s="3"/>
      <c r="G725" s="3"/>
      <c r="H725" s="3"/>
      <c r="I725" s="3"/>
      <c r="J725" s="3"/>
      <c r="K725" s="221"/>
      <c r="L725" s="599"/>
      <c r="M725" s="221"/>
      <c r="N725" s="3"/>
      <c r="O725" s="3"/>
      <c r="P725" s="3"/>
      <c r="Q725" s="3"/>
      <c r="R725" s="3"/>
      <c r="S725" s="3"/>
      <c r="T725" s="22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</row>
    <row r="726">
      <c r="A726" s="3"/>
      <c r="B726" s="3"/>
      <c r="C726" s="3"/>
      <c r="D726" s="3"/>
      <c r="E726" s="187"/>
      <c r="F726" s="3"/>
      <c r="G726" s="3"/>
      <c r="H726" s="3"/>
      <c r="I726" s="3"/>
      <c r="J726" s="3"/>
      <c r="K726" s="221"/>
      <c r="L726" s="599"/>
      <c r="M726" s="221"/>
      <c r="N726" s="3"/>
      <c r="O726" s="3"/>
      <c r="P726" s="3"/>
      <c r="Q726" s="3"/>
      <c r="R726" s="3"/>
      <c r="S726" s="3"/>
      <c r="T726" s="22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</row>
    <row r="727">
      <c r="A727" s="3"/>
      <c r="B727" s="3"/>
      <c r="C727" s="3"/>
      <c r="D727" s="3"/>
      <c r="E727" s="187"/>
      <c r="F727" s="3"/>
      <c r="G727" s="3"/>
      <c r="H727" s="3"/>
      <c r="I727" s="3"/>
      <c r="J727" s="3"/>
      <c r="K727" s="221"/>
      <c r="L727" s="599"/>
      <c r="M727" s="221"/>
      <c r="N727" s="3"/>
      <c r="O727" s="3"/>
      <c r="P727" s="3"/>
      <c r="Q727" s="3"/>
      <c r="R727" s="3"/>
      <c r="S727" s="3"/>
      <c r="T727" s="22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</row>
    <row r="728">
      <c r="A728" s="3"/>
      <c r="B728" s="3"/>
      <c r="C728" s="3"/>
      <c r="D728" s="3"/>
      <c r="E728" s="187"/>
      <c r="F728" s="3"/>
      <c r="G728" s="3"/>
      <c r="H728" s="3"/>
      <c r="I728" s="3"/>
      <c r="J728" s="3"/>
      <c r="K728" s="221"/>
      <c r="L728" s="599"/>
      <c r="M728" s="221"/>
      <c r="N728" s="3"/>
      <c r="O728" s="3"/>
      <c r="P728" s="3"/>
      <c r="Q728" s="3"/>
      <c r="R728" s="3"/>
      <c r="S728" s="3"/>
      <c r="T728" s="22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</row>
    <row r="729">
      <c r="A729" s="3"/>
      <c r="B729" s="3"/>
      <c r="C729" s="3"/>
      <c r="D729" s="3"/>
      <c r="E729" s="187"/>
      <c r="F729" s="3"/>
      <c r="G729" s="3"/>
      <c r="H729" s="3"/>
      <c r="I729" s="3"/>
      <c r="J729" s="3"/>
      <c r="K729" s="221"/>
      <c r="L729" s="599"/>
      <c r="M729" s="221"/>
      <c r="N729" s="3"/>
      <c r="O729" s="3"/>
      <c r="P729" s="3"/>
      <c r="Q729" s="3"/>
      <c r="R729" s="3"/>
      <c r="S729" s="3"/>
      <c r="T729" s="22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</row>
    <row r="730">
      <c r="A730" s="3"/>
      <c r="B730" s="3"/>
      <c r="C730" s="3"/>
      <c r="D730" s="3"/>
      <c r="E730" s="187"/>
      <c r="F730" s="3"/>
      <c r="G730" s="3"/>
      <c r="H730" s="3"/>
      <c r="I730" s="3"/>
      <c r="J730" s="3"/>
      <c r="K730" s="221"/>
      <c r="L730" s="599"/>
      <c r="M730" s="221"/>
      <c r="N730" s="3"/>
      <c r="O730" s="3"/>
      <c r="P730" s="3"/>
      <c r="Q730" s="3"/>
      <c r="R730" s="3"/>
      <c r="S730" s="3"/>
      <c r="T730" s="22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</row>
    <row r="731">
      <c r="A731" s="3"/>
      <c r="B731" s="3"/>
      <c r="C731" s="3"/>
      <c r="D731" s="3"/>
      <c r="E731" s="187"/>
      <c r="F731" s="3"/>
      <c r="G731" s="3"/>
      <c r="H731" s="3"/>
      <c r="I731" s="3"/>
      <c r="J731" s="3"/>
      <c r="K731" s="221"/>
      <c r="L731" s="599"/>
      <c r="M731" s="221"/>
      <c r="N731" s="3"/>
      <c r="O731" s="3"/>
      <c r="P731" s="3"/>
      <c r="Q731" s="3"/>
      <c r="R731" s="3"/>
      <c r="S731" s="3"/>
      <c r="T731" s="22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</row>
    <row r="732">
      <c r="A732" s="3"/>
      <c r="B732" s="3"/>
      <c r="C732" s="3"/>
      <c r="D732" s="3"/>
      <c r="E732" s="187"/>
      <c r="F732" s="3"/>
      <c r="G732" s="3"/>
      <c r="H732" s="3"/>
      <c r="I732" s="3"/>
      <c r="J732" s="3"/>
      <c r="K732" s="221"/>
      <c r="L732" s="599"/>
      <c r="M732" s="221"/>
      <c r="N732" s="3"/>
      <c r="O732" s="3"/>
      <c r="P732" s="3"/>
      <c r="Q732" s="3"/>
      <c r="R732" s="3"/>
      <c r="S732" s="3"/>
      <c r="T732" s="22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</row>
    <row r="733">
      <c r="A733" s="3"/>
      <c r="B733" s="3"/>
      <c r="C733" s="3"/>
      <c r="D733" s="3"/>
      <c r="E733" s="187"/>
      <c r="F733" s="3"/>
      <c r="G733" s="3"/>
      <c r="H733" s="3"/>
      <c r="I733" s="3"/>
      <c r="J733" s="3"/>
      <c r="K733" s="221"/>
      <c r="L733" s="599"/>
      <c r="M733" s="221"/>
      <c r="N733" s="3"/>
      <c r="O733" s="3"/>
      <c r="P733" s="3"/>
      <c r="Q733" s="3"/>
      <c r="R733" s="3"/>
      <c r="S733" s="3"/>
      <c r="T733" s="22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</row>
    <row r="734">
      <c r="A734" s="3"/>
      <c r="B734" s="3"/>
      <c r="C734" s="3"/>
      <c r="D734" s="3"/>
      <c r="E734" s="187"/>
      <c r="F734" s="3"/>
      <c r="G734" s="3"/>
      <c r="H734" s="3"/>
      <c r="I734" s="3"/>
      <c r="J734" s="3"/>
      <c r="K734" s="221"/>
      <c r="L734" s="599"/>
      <c r="M734" s="221"/>
      <c r="N734" s="3"/>
      <c r="O734" s="3"/>
      <c r="P734" s="3"/>
      <c r="Q734" s="3"/>
      <c r="R734" s="3"/>
      <c r="S734" s="3"/>
      <c r="T734" s="22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</row>
    <row r="735">
      <c r="A735" s="3"/>
      <c r="B735" s="3"/>
      <c r="C735" s="3"/>
      <c r="D735" s="3"/>
      <c r="E735" s="187"/>
      <c r="F735" s="3"/>
      <c r="G735" s="3"/>
      <c r="H735" s="3"/>
      <c r="I735" s="3"/>
      <c r="J735" s="3"/>
      <c r="K735" s="221"/>
      <c r="L735" s="599"/>
      <c r="M735" s="221"/>
      <c r="N735" s="3"/>
      <c r="O735" s="3"/>
      <c r="P735" s="3"/>
      <c r="Q735" s="3"/>
      <c r="R735" s="3"/>
      <c r="S735" s="3"/>
      <c r="T735" s="22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</row>
    <row r="736">
      <c r="A736" s="3"/>
      <c r="B736" s="3"/>
      <c r="C736" s="3"/>
      <c r="D736" s="3"/>
      <c r="E736" s="187"/>
      <c r="F736" s="3"/>
      <c r="G736" s="3"/>
      <c r="H736" s="3"/>
      <c r="I736" s="3"/>
      <c r="J736" s="3"/>
      <c r="K736" s="221"/>
      <c r="L736" s="599"/>
      <c r="M736" s="221"/>
      <c r="N736" s="3"/>
      <c r="O736" s="3"/>
      <c r="P736" s="3"/>
      <c r="Q736" s="3"/>
      <c r="R736" s="3"/>
      <c r="S736" s="3"/>
      <c r="T736" s="22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</row>
    <row r="737">
      <c r="A737" s="3"/>
      <c r="B737" s="3"/>
      <c r="C737" s="3"/>
      <c r="D737" s="3"/>
      <c r="E737" s="187"/>
      <c r="F737" s="3"/>
      <c r="G737" s="3"/>
      <c r="H737" s="3"/>
      <c r="I737" s="3"/>
      <c r="J737" s="3"/>
      <c r="K737" s="221"/>
      <c r="L737" s="599"/>
      <c r="M737" s="221"/>
      <c r="N737" s="3"/>
      <c r="O737" s="3"/>
      <c r="P737" s="3"/>
      <c r="Q737" s="3"/>
      <c r="R737" s="3"/>
      <c r="S737" s="3"/>
      <c r="T737" s="22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</row>
    <row r="738">
      <c r="A738" s="3"/>
      <c r="B738" s="3"/>
      <c r="C738" s="3"/>
      <c r="D738" s="3"/>
      <c r="E738" s="187"/>
      <c r="F738" s="3"/>
      <c r="G738" s="3"/>
      <c r="H738" s="3"/>
      <c r="I738" s="3"/>
      <c r="J738" s="3"/>
      <c r="K738" s="221"/>
      <c r="L738" s="599"/>
      <c r="M738" s="221"/>
      <c r="N738" s="3"/>
      <c r="O738" s="3"/>
      <c r="P738" s="3"/>
      <c r="Q738" s="3"/>
      <c r="R738" s="3"/>
      <c r="S738" s="3"/>
      <c r="T738" s="22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</row>
    <row r="739">
      <c r="A739" s="3"/>
      <c r="B739" s="3"/>
      <c r="C739" s="3"/>
      <c r="D739" s="3"/>
      <c r="E739" s="187"/>
      <c r="F739" s="3"/>
      <c r="G739" s="3"/>
      <c r="H739" s="3"/>
      <c r="I739" s="3"/>
      <c r="J739" s="3"/>
      <c r="K739" s="221"/>
      <c r="L739" s="599"/>
      <c r="M739" s="221"/>
      <c r="N739" s="3"/>
      <c r="O739" s="3"/>
      <c r="P739" s="3"/>
      <c r="Q739" s="3"/>
      <c r="R739" s="3"/>
      <c r="S739" s="3"/>
      <c r="T739" s="22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</row>
    <row r="740">
      <c r="A740" s="3"/>
      <c r="B740" s="3"/>
      <c r="C740" s="3"/>
      <c r="D740" s="3"/>
      <c r="E740" s="187"/>
      <c r="F740" s="3"/>
      <c r="G740" s="3"/>
      <c r="H740" s="3"/>
      <c r="I740" s="3"/>
      <c r="J740" s="3"/>
      <c r="K740" s="221"/>
      <c r="L740" s="599"/>
      <c r="M740" s="221"/>
      <c r="N740" s="3"/>
      <c r="O740" s="3"/>
      <c r="P740" s="3"/>
      <c r="Q740" s="3"/>
      <c r="R740" s="3"/>
      <c r="S740" s="3"/>
      <c r="T740" s="22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</row>
    <row r="741">
      <c r="A741" s="3"/>
      <c r="B741" s="3"/>
      <c r="C741" s="3"/>
      <c r="D741" s="3"/>
      <c r="E741" s="187"/>
      <c r="F741" s="3"/>
      <c r="G741" s="3"/>
      <c r="H741" s="3"/>
      <c r="I741" s="3"/>
      <c r="J741" s="3"/>
      <c r="K741" s="221"/>
      <c r="L741" s="599"/>
      <c r="M741" s="221"/>
      <c r="N741" s="3"/>
      <c r="O741" s="3"/>
      <c r="P741" s="3"/>
      <c r="Q741" s="3"/>
      <c r="R741" s="3"/>
      <c r="S741" s="3"/>
      <c r="T741" s="22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</row>
    <row r="742">
      <c r="A742" s="3"/>
      <c r="B742" s="3"/>
      <c r="C742" s="3"/>
      <c r="D742" s="3"/>
      <c r="E742" s="187"/>
      <c r="F742" s="3"/>
      <c r="G742" s="3"/>
      <c r="H742" s="3"/>
      <c r="I742" s="3"/>
      <c r="J742" s="3"/>
      <c r="K742" s="221"/>
      <c r="L742" s="599"/>
      <c r="M742" s="221"/>
      <c r="N742" s="3"/>
      <c r="O742" s="3"/>
      <c r="P742" s="3"/>
      <c r="Q742" s="3"/>
      <c r="R742" s="3"/>
      <c r="S742" s="3"/>
      <c r="T742" s="22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</row>
    <row r="743">
      <c r="A743" s="3"/>
      <c r="B743" s="3"/>
      <c r="C743" s="3"/>
      <c r="D743" s="3"/>
      <c r="E743" s="187"/>
      <c r="F743" s="3"/>
      <c r="G743" s="3"/>
      <c r="H743" s="3"/>
      <c r="I743" s="3"/>
      <c r="J743" s="3"/>
      <c r="K743" s="221"/>
      <c r="L743" s="599"/>
      <c r="M743" s="221"/>
      <c r="N743" s="3"/>
      <c r="O743" s="3"/>
      <c r="P743" s="3"/>
      <c r="Q743" s="3"/>
      <c r="R743" s="3"/>
      <c r="S743" s="3"/>
      <c r="T743" s="22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</row>
    <row r="744">
      <c r="A744" s="3"/>
      <c r="B744" s="3"/>
      <c r="C744" s="3"/>
      <c r="D744" s="3"/>
      <c r="E744" s="187"/>
      <c r="F744" s="3"/>
      <c r="G744" s="3"/>
      <c r="H744" s="3"/>
      <c r="I744" s="3"/>
      <c r="J744" s="3"/>
      <c r="K744" s="221"/>
      <c r="L744" s="599"/>
      <c r="M744" s="221"/>
      <c r="N744" s="3"/>
      <c r="O744" s="3"/>
      <c r="P744" s="3"/>
      <c r="Q744" s="3"/>
      <c r="R744" s="3"/>
      <c r="S744" s="3"/>
      <c r="T744" s="22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</row>
    <row r="745">
      <c r="A745" s="3"/>
      <c r="B745" s="3"/>
      <c r="C745" s="3"/>
      <c r="D745" s="3"/>
      <c r="E745" s="187"/>
      <c r="F745" s="3"/>
      <c r="G745" s="3"/>
      <c r="H745" s="3"/>
      <c r="I745" s="3"/>
      <c r="J745" s="3"/>
      <c r="K745" s="221"/>
      <c r="L745" s="599"/>
      <c r="M745" s="221"/>
      <c r="N745" s="3"/>
      <c r="O745" s="3"/>
      <c r="P745" s="3"/>
      <c r="Q745" s="3"/>
      <c r="R745" s="3"/>
      <c r="S745" s="3"/>
      <c r="T745" s="22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</row>
    <row r="746">
      <c r="A746" s="3"/>
      <c r="B746" s="3"/>
      <c r="C746" s="3"/>
      <c r="D746" s="3"/>
      <c r="E746" s="187"/>
      <c r="F746" s="3"/>
      <c r="G746" s="3"/>
      <c r="H746" s="3"/>
      <c r="I746" s="3"/>
      <c r="J746" s="3"/>
      <c r="K746" s="221"/>
      <c r="L746" s="599"/>
      <c r="M746" s="221"/>
      <c r="N746" s="3"/>
      <c r="O746" s="3"/>
      <c r="P746" s="3"/>
      <c r="Q746" s="3"/>
      <c r="R746" s="3"/>
      <c r="S746" s="3"/>
      <c r="T746" s="22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</row>
    <row r="747">
      <c r="A747" s="3"/>
      <c r="B747" s="3"/>
      <c r="C747" s="3"/>
      <c r="D747" s="3"/>
      <c r="E747" s="187"/>
      <c r="F747" s="3"/>
      <c r="G747" s="3"/>
      <c r="H747" s="3"/>
      <c r="I747" s="3"/>
      <c r="J747" s="3"/>
      <c r="K747" s="221"/>
      <c r="L747" s="599"/>
      <c r="M747" s="221"/>
      <c r="N747" s="3"/>
      <c r="O747" s="3"/>
      <c r="P747" s="3"/>
      <c r="Q747" s="3"/>
      <c r="R747" s="3"/>
      <c r="S747" s="3"/>
      <c r="T747" s="22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</row>
    <row r="748">
      <c r="A748" s="3"/>
      <c r="B748" s="3"/>
      <c r="C748" s="3"/>
      <c r="D748" s="3"/>
      <c r="E748" s="187"/>
      <c r="F748" s="3"/>
      <c r="G748" s="3"/>
      <c r="H748" s="3"/>
      <c r="I748" s="3"/>
      <c r="J748" s="3"/>
      <c r="K748" s="221"/>
      <c r="L748" s="599"/>
      <c r="M748" s="221"/>
      <c r="N748" s="3"/>
      <c r="O748" s="3"/>
      <c r="P748" s="3"/>
      <c r="Q748" s="3"/>
      <c r="R748" s="3"/>
      <c r="S748" s="3"/>
      <c r="T748" s="22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</row>
    <row r="749">
      <c r="A749" s="3"/>
      <c r="B749" s="3"/>
      <c r="C749" s="3"/>
      <c r="D749" s="3"/>
      <c r="E749" s="187"/>
      <c r="F749" s="3"/>
      <c r="G749" s="3"/>
      <c r="H749" s="3"/>
      <c r="I749" s="3"/>
      <c r="J749" s="3"/>
      <c r="K749" s="221"/>
      <c r="L749" s="599"/>
      <c r="M749" s="221"/>
      <c r="N749" s="3"/>
      <c r="O749" s="3"/>
      <c r="P749" s="3"/>
      <c r="Q749" s="3"/>
      <c r="R749" s="3"/>
      <c r="S749" s="3"/>
      <c r="T749" s="22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</row>
    <row r="750">
      <c r="A750" s="3"/>
      <c r="B750" s="3"/>
      <c r="C750" s="3"/>
      <c r="D750" s="3"/>
      <c r="E750" s="187"/>
      <c r="F750" s="3"/>
      <c r="G750" s="3"/>
      <c r="H750" s="3"/>
      <c r="I750" s="3"/>
      <c r="J750" s="3"/>
      <c r="K750" s="221"/>
      <c r="L750" s="599"/>
      <c r="M750" s="221"/>
      <c r="N750" s="3"/>
      <c r="O750" s="3"/>
      <c r="P750" s="3"/>
      <c r="Q750" s="3"/>
      <c r="R750" s="3"/>
      <c r="S750" s="3"/>
      <c r="T750" s="22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</row>
    <row r="751">
      <c r="A751" s="3"/>
      <c r="B751" s="3"/>
      <c r="C751" s="3"/>
      <c r="D751" s="3"/>
      <c r="E751" s="187"/>
      <c r="F751" s="3"/>
      <c r="G751" s="3"/>
      <c r="H751" s="3"/>
      <c r="I751" s="3"/>
      <c r="J751" s="3"/>
      <c r="K751" s="221"/>
      <c r="L751" s="599"/>
      <c r="M751" s="221"/>
      <c r="N751" s="3"/>
      <c r="O751" s="3"/>
      <c r="P751" s="3"/>
      <c r="Q751" s="3"/>
      <c r="R751" s="3"/>
      <c r="S751" s="3"/>
      <c r="T751" s="22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</row>
    <row r="752">
      <c r="A752" s="3"/>
      <c r="B752" s="3"/>
      <c r="C752" s="3"/>
      <c r="D752" s="3"/>
      <c r="E752" s="187"/>
      <c r="F752" s="3"/>
      <c r="G752" s="3"/>
      <c r="H752" s="3"/>
      <c r="I752" s="3"/>
      <c r="J752" s="3"/>
      <c r="K752" s="221"/>
      <c r="L752" s="599"/>
      <c r="M752" s="221"/>
      <c r="N752" s="3"/>
      <c r="O752" s="3"/>
      <c r="P752" s="3"/>
      <c r="Q752" s="3"/>
      <c r="R752" s="3"/>
      <c r="S752" s="3"/>
      <c r="T752" s="22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</row>
    <row r="753">
      <c r="A753" s="3"/>
      <c r="B753" s="3"/>
      <c r="C753" s="3"/>
      <c r="D753" s="3"/>
      <c r="E753" s="187"/>
      <c r="F753" s="3"/>
      <c r="G753" s="3"/>
      <c r="H753" s="3"/>
      <c r="I753" s="3"/>
      <c r="J753" s="3"/>
      <c r="K753" s="221"/>
      <c r="L753" s="599"/>
      <c r="M753" s="221"/>
      <c r="N753" s="3"/>
      <c r="O753" s="3"/>
      <c r="P753" s="3"/>
      <c r="Q753" s="3"/>
      <c r="R753" s="3"/>
      <c r="S753" s="3"/>
      <c r="T753" s="22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</row>
    <row r="754">
      <c r="A754" s="3"/>
      <c r="B754" s="3"/>
      <c r="C754" s="3"/>
      <c r="D754" s="3"/>
      <c r="E754" s="187"/>
      <c r="F754" s="3"/>
      <c r="G754" s="3"/>
      <c r="H754" s="3"/>
      <c r="I754" s="3"/>
      <c r="J754" s="3"/>
      <c r="K754" s="221"/>
      <c r="L754" s="599"/>
      <c r="M754" s="221"/>
      <c r="N754" s="3"/>
      <c r="O754" s="3"/>
      <c r="P754" s="3"/>
      <c r="Q754" s="3"/>
      <c r="R754" s="3"/>
      <c r="S754" s="3"/>
      <c r="T754" s="22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</row>
    <row r="755">
      <c r="A755" s="3"/>
      <c r="B755" s="3"/>
      <c r="C755" s="3"/>
      <c r="D755" s="3"/>
      <c r="E755" s="187"/>
      <c r="F755" s="3"/>
      <c r="G755" s="3"/>
      <c r="H755" s="3"/>
      <c r="I755" s="3"/>
      <c r="J755" s="3"/>
      <c r="K755" s="221"/>
      <c r="L755" s="599"/>
      <c r="M755" s="221"/>
      <c r="N755" s="3"/>
      <c r="O755" s="3"/>
      <c r="P755" s="3"/>
      <c r="Q755" s="3"/>
      <c r="R755" s="3"/>
      <c r="S755" s="3"/>
      <c r="T755" s="22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</row>
    <row r="756">
      <c r="A756" s="3"/>
      <c r="B756" s="3"/>
      <c r="C756" s="3"/>
      <c r="D756" s="3"/>
      <c r="E756" s="187"/>
      <c r="F756" s="3"/>
      <c r="G756" s="3"/>
      <c r="H756" s="3"/>
      <c r="I756" s="3"/>
      <c r="J756" s="3"/>
      <c r="K756" s="221"/>
      <c r="L756" s="599"/>
      <c r="M756" s="221"/>
      <c r="N756" s="3"/>
      <c r="O756" s="3"/>
      <c r="P756" s="3"/>
      <c r="Q756" s="3"/>
      <c r="R756" s="3"/>
      <c r="S756" s="3"/>
      <c r="T756" s="22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</row>
    <row r="757">
      <c r="A757" s="3"/>
      <c r="B757" s="3"/>
      <c r="C757" s="3"/>
      <c r="D757" s="3"/>
      <c r="E757" s="187"/>
      <c r="F757" s="3"/>
      <c r="G757" s="3"/>
      <c r="H757" s="3"/>
      <c r="I757" s="3"/>
      <c r="J757" s="3"/>
      <c r="K757" s="221"/>
      <c r="L757" s="599"/>
      <c r="M757" s="221"/>
      <c r="N757" s="3"/>
      <c r="O757" s="3"/>
      <c r="P757" s="3"/>
      <c r="Q757" s="3"/>
      <c r="R757" s="3"/>
      <c r="S757" s="3"/>
      <c r="T757" s="22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</row>
    <row r="758">
      <c r="A758" s="3"/>
      <c r="B758" s="3"/>
      <c r="C758" s="3"/>
      <c r="D758" s="3"/>
      <c r="E758" s="187"/>
      <c r="F758" s="3"/>
      <c r="G758" s="3"/>
      <c r="H758" s="3"/>
      <c r="I758" s="3"/>
      <c r="J758" s="3"/>
      <c r="K758" s="221"/>
      <c r="L758" s="599"/>
      <c r="M758" s="221"/>
      <c r="N758" s="3"/>
      <c r="O758" s="3"/>
      <c r="P758" s="3"/>
      <c r="Q758" s="3"/>
      <c r="R758" s="3"/>
      <c r="S758" s="3"/>
      <c r="T758" s="22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</row>
    <row r="759">
      <c r="A759" s="3"/>
      <c r="B759" s="3"/>
      <c r="C759" s="3"/>
      <c r="D759" s="3"/>
      <c r="E759" s="187"/>
      <c r="F759" s="3"/>
      <c r="G759" s="3"/>
      <c r="H759" s="3"/>
      <c r="I759" s="3"/>
      <c r="J759" s="3"/>
      <c r="K759" s="221"/>
      <c r="L759" s="599"/>
      <c r="M759" s="221"/>
      <c r="N759" s="3"/>
      <c r="O759" s="3"/>
      <c r="P759" s="3"/>
      <c r="Q759" s="3"/>
      <c r="R759" s="3"/>
      <c r="S759" s="3"/>
      <c r="T759" s="22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</row>
    <row r="760">
      <c r="A760" s="3"/>
      <c r="B760" s="3"/>
      <c r="C760" s="3"/>
      <c r="D760" s="3"/>
      <c r="E760" s="187"/>
      <c r="F760" s="3"/>
      <c r="G760" s="3"/>
      <c r="H760" s="3"/>
      <c r="I760" s="3"/>
      <c r="J760" s="3"/>
      <c r="K760" s="221"/>
      <c r="L760" s="599"/>
      <c r="M760" s="221"/>
      <c r="N760" s="3"/>
      <c r="O760" s="3"/>
      <c r="P760" s="3"/>
      <c r="Q760" s="3"/>
      <c r="R760" s="3"/>
      <c r="S760" s="3"/>
      <c r="T760" s="22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</row>
    <row r="761">
      <c r="A761" s="3"/>
      <c r="B761" s="3"/>
      <c r="C761" s="3"/>
      <c r="D761" s="3"/>
      <c r="E761" s="187"/>
      <c r="F761" s="3"/>
      <c r="G761" s="3"/>
      <c r="H761" s="3"/>
      <c r="I761" s="3"/>
      <c r="J761" s="3"/>
      <c r="K761" s="221"/>
      <c r="L761" s="599"/>
      <c r="M761" s="221"/>
      <c r="N761" s="3"/>
      <c r="O761" s="3"/>
      <c r="P761" s="3"/>
      <c r="Q761" s="3"/>
      <c r="R761" s="3"/>
      <c r="S761" s="3"/>
      <c r="T761" s="22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</row>
    <row r="762">
      <c r="A762" s="3"/>
      <c r="B762" s="3"/>
      <c r="C762" s="3"/>
      <c r="D762" s="3"/>
      <c r="E762" s="187"/>
      <c r="F762" s="3"/>
      <c r="G762" s="3"/>
      <c r="H762" s="3"/>
      <c r="I762" s="3"/>
      <c r="J762" s="3"/>
      <c r="K762" s="221"/>
      <c r="L762" s="599"/>
      <c r="M762" s="221"/>
      <c r="N762" s="3"/>
      <c r="O762" s="3"/>
      <c r="P762" s="3"/>
      <c r="Q762" s="3"/>
      <c r="R762" s="3"/>
      <c r="S762" s="3"/>
      <c r="T762" s="22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</row>
    <row r="763">
      <c r="A763" s="3"/>
      <c r="B763" s="3"/>
      <c r="C763" s="3"/>
      <c r="D763" s="3"/>
      <c r="E763" s="187"/>
      <c r="F763" s="3"/>
      <c r="G763" s="3"/>
      <c r="H763" s="3"/>
      <c r="I763" s="3"/>
      <c r="J763" s="3"/>
      <c r="K763" s="221"/>
      <c r="L763" s="599"/>
      <c r="M763" s="221"/>
      <c r="N763" s="3"/>
      <c r="O763" s="3"/>
      <c r="P763" s="3"/>
      <c r="Q763" s="3"/>
      <c r="R763" s="3"/>
      <c r="S763" s="3"/>
      <c r="T763" s="22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</row>
    <row r="764">
      <c r="A764" s="3"/>
      <c r="B764" s="3"/>
      <c r="C764" s="3"/>
      <c r="D764" s="3"/>
      <c r="E764" s="187"/>
      <c r="F764" s="3"/>
      <c r="G764" s="3"/>
      <c r="H764" s="3"/>
      <c r="I764" s="3"/>
      <c r="J764" s="3"/>
      <c r="K764" s="221"/>
      <c r="L764" s="599"/>
      <c r="M764" s="221"/>
      <c r="N764" s="3"/>
      <c r="O764" s="3"/>
      <c r="P764" s="3"/>
      <c r="Q764" s="3"/>
      <c r="R764" s="3"/>
      <c r="S764" s="3"/>
      <c r="T764" s="22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</row>
    <row r="765">
      <c r="A765" s="3"/>
      <c r="B765" s="3"/>
      <c r="C765" s="3"/>
      <c r="D765" s="3"/>
      <c r="E765" s="187"/>
      <c r="F765" s="3"/>
      <c r="G765" s="3"/>
      <c r="H765" s="3"/>
      <c r="I765" s="3"/>
      <c r="J765" s="3"/>
      <c r="K765" s="221"/>
      <c r="L765" s="599"/>
      <c r="M765" s="221"/>
      <c r="N765" s="3"/>
      <c r="O765" s="3"/>
      <c r="P765" s="3"/>
      <c r="Q765" s="3"/>
      <c r="R765" s="3"/>
      <c r="S765" s="3"/>
      <c r="T765" s="22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</row>
    <row r="766">
      <c r="A766" s="3"/>
      <c r="B766" s="3"/>
      <c r="C766" s="3"/>
      <c r="D766" s="3"/>
      <c r="E766" s="187"/>
      <c r="F766" s="3"/>
      <c r="G766" s="3"/>
      <c r="H766" s="3"/>
      <c r="I766" s="3"/>
      <c r="J766" s="3"/>
      <c r="K766" s="221"/>
      <c r="L766" s="599"/>
      <c r="M766" s="221"/>
      <c r="N766" s="3"/>
      <c r="O766" s="3"/>
      <c r="P766" s="3"/>
      <c r="Q766" s="3"/>
      <c r="R766" s="3"/>
      <c r="S766" s="3"/>
      <c r="T766" s="22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</row>
    <row r="767">
      <c r="A767" s="3"/>
      <c r="B767" s="3"/>
      <c r="C767" s="3"/>
      <c r="D767" s="3"/>
      <c r="E767" s="187"/>
      <c r="F767" s="3"/>
      <c r="G767" s="3"/>
      <c r="H767" s="3"/>
      <c r="I767" s="3"/>
      <c r="J767" s="3"/>
      <c r="K767" s="221"/>
      <c r="L767" s="599"/>
      <c r="M767" s="221"/>
      <c r="N767" s="3"/>
      <c r="O767" s="3"/>
      <c r="P767" s="3"/>
      <c r="Q767" s="3"/>
      <c r="R767" s="3"/>
      <c r="S767" s="3"/>
      <c r="T767" s="22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</row>
    <row r="768">
      <c r="A768" s="3"/>
      <c r="B768" s="3"/>
      <c r="C768" s="3"/>
      <c r="D768" s="3"/>
      <c r="E768" s="187"/>
      <c r="F768" s="3"/>
      <c r="G768" s="3"/>
      <c r="H768" s="3"/>
      <c r="I768" s="3"/>
      <c r="J768" s="3"/>
      <c r="K768" s="221"/>
      <c r="L768" s="599"/>
      <c r="M768" s="221"/>
      <c r="N768" s="3"/>
      <c r="O768" s="3"/>
      <c r="P768" s="3"/>
      <c r="Q768" s="3"/>
      <c r="R768" s="3"/>
      <c r="S768" s="3"/>
      <c r="T768" s="22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</row>
    <row r="769">
      <c r="A769" s="3"/>
      <c r="B769" s="3"/>
      <c r="C769" s="3"/>
      <c r="D769" s="3"/>
      <c r="E769" s="187"/>
      <c r="F769" s="3"/>
      <c r="G769" s="3"/>
      <c r="H769" s="3"/>
      <c r="I769" s="3"/>
      <c r="J769" s="3"/>
      <c r="K769" s="221"/>
      <c r="L769" s="599"/>
      <c r="M769" s="221"/>
      <c r="N769" s="3"/>
      <c r="O769" s="3"/>
      <c r="P769" s="3"/>
      <c r="Q769" s="3"/>
      <c r="R769" s="3"/>
      <c r="S769" s="3"/>
      <c r="T769" s="22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</row>
    <row r="770">
      <c r="A770" s="3"/>
      <c r="B770" s="3"/>
      <c r="C770" s="3"/>
      <c r="D770" s="3"/>
      <c r="E770" s="187"/>
      <c r="F770" s="3"/>
      <c r="G770" s="3"/>
      <c r="H770" s="3"/>
      <c r="I770" s="3"/>
      <c r="J770" s="3"/>
      <c r="K770" s="221"/>
      <c r="L770" s="599"/>
      <c r="M770" s="221"/>
      <c r="N770" s="3"/>
      <c r="O770" s="3"/>
      <c r="P770" s="3"/>
      <c r="Q770" s="3"/>
      <c r="R770" s="3"/>
      <c r="S770" s="3"/>
      <c r="T770" s="22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</row>
    <row r="771">
      <c r="A771" s="3"/>
      <c r="B771" s="3"/>
      <c r="C771" s="3"/>
      <c r="D771" s="3"/>
      <c r="E771" s="187"/>
      <c r="F771" s="3"/>
      <c r="G771" s="3"/>
      <c r="H771" s="3"/>
      <c r="I771" s="3"/>
      <c r="J771" s="3"/>
      <c r="K771" s="221"/>
      <c r="L771" s="599"/>
      <c r="M771" s="221"/>
      <c r="N771" s="3"/>
      <c r="O771" s="3"/>
      <c r="P771" s="3"/>
      <c r="Q771" s="3"/>
      <c r="R771" s="3"/>
      <c r="S771" s="3"/>
      <c r="T771" s="22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</row>
    <row r="772">
      <c r="A772" s="3"/>
      <c r="B772" s="3"/>
      <c r="C772" s="3"/>
      <c r="D772" s="3"/>
      <c r="E772" s="187"/>
      <c r="F772" s="3"/>
      <c r="G772" s="3"/>
      <c r="H772" s="3"/>
      <c r="I772" s="3"/>
      <c r="J772" s="3"/>
      <c r="K772" s="221"/>
      <c r="L772" s="599"/>
      <c r="M772" s="221"/>
      <c r="N772" s="3"/>
      <c r="O772" s="3"/>
      <c r="P772" s="3"/>
      <c r="Q772" s="3"/>
      <c r="R772" s="3"/>
      <c r="S772" s="3"/>
      <c r="T772" s="22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</row>
    <row r="773">
      <c r="A773" s="3"/>
      <c r="B773" s="3"/>
      <c r="C773" s="3"/>
      <c r="D773" s="3"/>
      <c r="E773" s="187"/>
      <c r="F773" s="3"/>
      <c r="G773" s="3"/>
      <c r="H773" s="3"/>
      <c r="I773" s="3"/>
      <c r="J773" s="3"/>
      <c r="K773" s="221"/>
      <c r="L773" s="599"/>
      <c r="M773" s="221"/>
      <c r="N773" s="3"/>
      <c r="O773" s="3"/>
      <c r="P773" s="3"/>
      <c r="Q773" s="3"/>
      <c r="R773" s="3"/>
      <c r="S773" s="3"/>
      <c r="T773" s="22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</row>
    <row r="774">
      <c r="A774" s="3"/>
      <c r="B774" s="3"/>
      <c r="C774" s="3"/>
      <c r="D774" s="3"/>
      <c r="E774" s="187"/>
      <c r="F774" s="3"/>
      <c r="G774" s="3"/>
      <c r="H774" s="3"/>
      <c r="I774" s="3"/>
      <c r="J774" s="3"/>
      <c r="K774" s="221"/>
      <c r="L774" s="599"/>
      <c r="M774" s="221"/>
      <c r="N774" s="3"/>
      <c r="O774" s="3"/>
      <c r="P774" s="3"/>
      <c r="Q774" s="3"/>
      <c r="R774" s="3"/>
      <c r="S774" s="3"/>
      <c r="T774" s="22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</row>
    <row r="775">
      <c r="A775" s="3"/>
      <c r="B775" s="3"/>
      <c r="C775" s="3"/>
      <c r="D775" s="3"/>
      <c r="E775" s="187"/>
      <c r="F775" s="3"/>
      <c r="G775" s="3"/>
      <c r="H775" s="3"/>
      <c r="I775" s="3"/>
      <c r="J775" s="3"/>
      <c r="K775" s="221"/>
      <c r="L775" s="599"/>
      <c r="M775" s="221"/>
      <c r="N775" s="3"/>
      <c r="O775" s="3"/>
      <c r="P775" s="3"/>
      <c r="Q775" s="3"/>
      <c r="R775" s="3"/>
      <c r="S775" s="3"/>
      <c r="T775" s="22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</row>
    <row r="776">
      <c r="A776" s="3"/>
      <c r="B776" s="3"/>
      <c r="C776" s="3"/>
      <c r="D776" s="3"/>
      <c r="E776" s="187"/>
      <c r="F776" s="3"/>
      <c r="G776" s="3"/>
      <c r="H776" s="3"/>
      <c r="I776" s="3"/>
      <c r="J776" s="3"/>
      <c r="K776" s="221"/>
      <c r="L776" s="599"/>
      <c r="M776" s="221"/>
      <c r="N776" s="3"/>
      <c r="O776" s="3"/>
      <c r="P776" s="3"/>
      <c r="Q776" s="3"/>
      <c r="R776" s="3"/>
      <c r="S776" s="3"/>
      <c r="T776" s="22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</row>
    <row r="777">
      <c r="A777" s="3"/>
      <c r="B777" s="3"/>
      <c r="C777" s="3"/>
      <c r="D777" s="3"/>
      <c r="E777" s="187"/>
      <c r="F777" s="3"/>
      <c r="G777" s="3"/>
      <c r="H777" s="3"/>
      <c r="I777" s="3"/>
      <c r="J777" s="3"/>
      <c r="K777" s="221"/>
      <c r="L777" s="599"/>
      <c r="M777" s="221"/>
      <c r="N777" s="3"/>
      <c r="O777" s="3"/>
      <c r="P777" s="3"/>
      <c r="Q777" s="3"/>
      <c r="R777" s="3"/>
      <c r="S777" s="3"/>
      <c r="T777" s="22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</row>
    <row r="778">
      <c r="A778" s="3"/>
      <c r="B778" s="3"/>
      <c r="C778" s="3"/>
      <c r="D778" s="3"/>
      <c r="E778" s="187"/>
      <c r="F778" s="3"/>
      <c r="G778" s="3"/>
      <c r="H778" s="3"/>
      <c r="I778" s="3"/>
      <c r="J778" s="3"/>
      <c r="K778" s="221"/>
      <c r="L778" s="599"/>
      <c r="M778" s="221"/>
      <c r="N778" s="3"/>
      <c r="O778" s="3"/>
      <c r="P778" s="3"/>
      <c r="Q778" s="3"/>
      <c r="R778" s="3"/>
      <c r="S778" s="3"/>
      <c r="T778" s="22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</row>
    <row r="779">
      <c r="A779" s="3"/>
      <c r="B779" s="3"/>
      <c r="C779" s="3"/>
      <c r="D779" s="3"/>
      <c r="E779" s="187"/>
      <c r="F779" s="3"/>
      <c r="G779" s="3"/>
      <c r="H779" s="3"/>
      <c r="I779" s="3"/>
      <c r="J779" s="3"/>
      <c r="K779" s="221"/>
      <c r="L779" s="599"/>
      <c r="M779" s="221"/>
      <c r="N779" s="3"/>
      <c r="O779" s="3"/>
      <c r="P779" s="3"/>
      <c r="Q779" s="3"/>
      <c r="R779" s="3"/>
      <c r="S779" s="3"/>
      <c r="T779" s="22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</row>
    <row r="780">
      <c r="A780" s="3"/>
      <c r="B780" s="3"/>
      <c r="C780" s="3"/>
      <c r="D780" s="3"/>
      <c r="E780" s="187"/>
      <c r="F780" s="3"/>
      <c r="G780" s="3"/>
      <c r="H780" s="3"/>
      <c r="I780" s="3"/>
      <c r="J780" s="3"/>
      <c r="K780" s="221"/>
      <c r="L780" s="599"/>
      <c r="M780" s="221"/>
      <c r="N780" s="3"/>
      <c r="O780" s="3"/>
      <c r="P780" s="3"/>
      <c r="Q780" s="3"/>
      <c r="R780" s="3"/>
      <c r="S780" s="3"/>
      <c r="T780" s="22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</row>
    <row r="781">
      <c r="A781" s="3"/>
      <c r="B781" s="3"/>
      <c r="C781" s="3"/>
      <c r="D781" s="3"/>
      <c r="E781" s="187"/>
      <c r="F781" s="3"/>
      <c r="G781" s="3"/>
      <c r="H781" s="3"/>
      <c r="I781" s="3"/>
      <c r="J781" s="3"/>
      <c r="K781" s="221"/>
      <c r="L781" s="599"/>
      <c r="M781" s="221"/>
      <c r="N781" s="3"/>
      <c r="O781" s="3"/>
      <c r="P781" s="3"/>
      <c r="Q781" s="3"/>
      <c r="R781" s="3"/>
      <c r="S781" s="3"/>
      <c r="T781" s="22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</row>
    <row r="782">
      <c r="A782" s="3"/>
      <c r="B782" s="3"/>
      <c r="C782" s="3"/>
      <c r="D782" s="3"/>
      <c r="E782" s="187"/>
      <c r="F782" s="3"/>
      <c r="G782" s="3"/>
      <c r="H782" s="3"/>
      <c r="I782" s="3"/>
      <c r="J782" s="3"/>
      <c r="K782" s="221"/>
      <c r="L782" s="599"/>
      <c r="M782" s="221"/>
      <c r="N782" s="3"/>
      <c r="O782" s="3"/>
      <c r="P782" s="3"/>
      <c r="Q782" s="3"/>
      <c r="R782" s="3"/>
      <c r="S782" s="3"/>
      <c r="T782" s="22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</row>
    <row r="783">
      <c r="A783" s="3"/>
      <c r="B783" s="3"/>
      <c r="C783" s="3"/>
      <c r="D783" s="3"/>
      <c r="E783" s="187"/>
      <c r="F783" s="3"/>
      <c r="G783" s="3"/>
      <c r="H783" s="3"/>
      <c r="I783" s="3"/>
      <c r="J783" s="3"/>
      <c r="K783" s="221"/>
      <c r="L783" s="599"/>
      <c r="M783" s="221"/>
      <c r="N783" s="3"/>
      <c r="O783" s="3"/>
      <c r="P783" s="3"/>
      <c r="Q783" s="3"/>
      <c r="R783" s="3"/>
      <c r="S783" s="3"/>
      <c r="T783" s="22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</row>
    <row r="784">
      <c r="A784" s="3"/>
      <c r="B784" s="3"/>
      <c r="C784" s="3"/>
      <c r="D784" s="3"/>
      <c r="E784" s="187"/>
      <c r="F784" s="3"/>
      <c r="G784" s="3"/>
      <c r="H784" s="3"/>
      <c r="I784" s="3"/>
      <c r="J784" s="3"/>
      <c r="K784" s="221"/>
      <c r="L784" s="599"/>
      <c r="M784" s="221"/>
      <c r="N784" s="3"/>
      <c r="O784" s="3"/>
      <c r="P784" s="3"/>
      <c r="Q784" s="3"/>
      <c r="R784" s="3"/>
      <c r="S784" s="3"/>
      <c r="T784" s="22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</row>
    <row r="785">
      <c r="A785" s="3"/>
      <c r="B785" s="3"/>
      <c r="C785" s="3"/>
      <c r="D785" s="3"/>
      <c r="E785" s="187"/>
      <c r="F785" s="3"/>
      <c r="G785" s="3"/>
      <c r="H785" s="3"/>
      <c r="I785" s="3"/>
      <c r="J785" s="3"/>
      <c r="K785" s="221"/>
      <c r="L785" s="599"/>
      <c r="M785" s="221"/>
      <c r="N785" s="3"/>
      <c r="O785" s="3"/>
      <c r="P785" s="3"/>
      <c r="Q785" s="3"/>
      <c r="R785" s="3"/>
      <c r="S785" s="3"/>
      <c r="T785" s="22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</row>
    <row r="786">
      <c r="A786" s="3"/>
      <c r="B786" s="3"/>
      <c r="C786" s="3"/>
      <c r="D786" s="3"/>
      <c r="E786" s="187"/>
      <c r="F786" s="3"/>
      <c r="G786" s="3"/>
      <c r="H786" s="3"/>
      <c r="I786" s="3"/>
      <c r="J786" s="3"/>
      <c r="K786" s="221"/>
      <c r="L786" s="599"/>
      <c r="M786" s="221"/>
      <c r="N786" s="3"/>
      <c r="O786" s="3"/>
      <c r="P786" s="3"/>
      <c r="Q786" s="3"/>
      <c r="R786" s="3"/>
      <c r="S786" s="3"/>
      <c r="T786" s="22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</row>
    <row r="787">
      <c r="A787" s="3"/>
      <c r="B787" s="3"/>
      <c r="C787" s="3"/>
      <c r="D787" s="3"/>
      <c r="E787" s="187"/>
      <c r="F787" s="3"/>
      <c r="G787" s="3"/>
      <c r="H787" s="3"/>
      <c r="I787" s="3"/>
      <c r="J787" s="3"/>
      <c r="K787" s="221"/>
      <c r="L787" s="599"/>
      <c r="M787" s="221"/>
      <c r="N787" s="3"/>
      <c r="O787" s="3"/>
      <c r="P787" s="3"/>
      <c r="Q787" s="3"/>
      <c r="R787" s="3"/>
      <c r="S787" s="3"/>
      <c r="T787" s="22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</row>
    <row r="788">
      <c r="A788" s="3"/>
      <c r="B788" s="3"/>
      <c r="C788" s="3"/>
      <c r="D788" s="3"/>
      <c r="E788" s="187"/>
      <c r="F788" s="3"/>
      <c r="G788" s="3"/>
      <c r="H788" s="3"/>
      <c r="I788" s="3"/>
      <c r="J788" s="3"/>
      <c r="K788" s="221"/>
      <c r="L788" s="599"/>
      <c r="M788" s="221"/>
      <c r="N788" s="3"/>
      <c r="O788" s="3"/>
      <c r="P788" s="3"/>
      <c r="Q788" s="3"/>
      <c r="R788" s="3"/>
      <c r="S788" s="3"/>
      <c r="T788" s="22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</row>
    <row r="789">
      <c r="A789" s="3"/>
      <c r="B789" s="3"/>
      <c r="C789" s="3"/>
      <c r="D789" s="3"/>
      <c r="E789" s="187"/>
      <c r="F789" s="3"/>
      <c r="G789" s="3"/>
      <c r="H789" s="3"/>
      <c r="I789" s="3"/>
      <c r="J789" s="3"/>
      <c r="K789" s="221"/>
      <c r="L789" s="599"/>
      <c r="M789" s="221"/>
      <c r="N789" s="3"/>
      <c r="O789" s="3"/>
      <c r="P789" s="3"/>
      <c r="Q789" s="3"/>
      <c r="R789" s="3"/>
      <c r="S789" s="3"/>
      <c r="T789" s="22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</row>
    <row r="790">
      <c r="A790" s="3"/>
      <c r="B790" s="3"/>
      <c r="C790" s="3"/>
      <c r="D790" s="3"/>
      <c r="E790" s="187"/>
      <c r="F790" s="3"/>
      <c r="G790" s="3"/>
      <c r="H790" s="3"/>
      <c r="I790" s="3"/>
      <c r="J790" s="3"/>
      <c r="K790" s="221"/>
      <c r="L790" s="599"/>
      <c r="M790" s="221"/>
      <c r="N790" s="3"/>
      <c r="O790" s="3"/>
      <c r="P790" s="3"/>
      <c r="Q790" s="3"/>
      <c r="R790" s="3"/>
      <c r="S790" s="3"/>
      <c r="T790" s="22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</row>
    <row r="791">
      <c r="A791" s="3"/>
      <c r="B791" s="3"/>
      <c r="C791" s="3"/>
      <c r="D791" s="3"/>
      <c r="E791" s="187"/>
      <c r="F791" s="3"/>
      <c r="G791" s="3"/>
      <c r="H791" s="3"/>
      <c r="I791" s="3"/>
      <c r="J791" s="3"/>
      <c r="K791" s="221"/>
      <c r="L791" s="599"/>
      <c r="M791" s="221"/>
      <c r="N791" s="3"/>
      <c r="O791" s="3"/>
      <c r="P791" s="3"/>
      <c r="Q791" s="3"/>
      <c r="R791" s="3"/>
      <c r="S791" s="3"/>
      <c r="T791" s="22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</row>
    <row r="792">
      <c r="A792" s="3"/>
      <c r="B792" s="3"/>
      <c r="C792" s="3"/>
      <c r="D792" s="3"/>
      <c r="E792" s="187"/>
      <c r="F792" s="3"/>
      <c r="G792" s="3"/>
      <c r="H792" s="3"/>
      <c r="I792" s="3"/>
      <c r="J792" s="3"/>
      <c r="K792" s="221"/>
      <c r="L792" s="599"/>
      <c r="M792" s="221"/>
      <c r="N792" s="3"/>
      <c r="O792" s="3"/>
      <c r="P792" s="3"/>
      <c r="Q792" s="3"/>
      <c r="R792" s="3"/>
      <c r="S792" s="3"/>
      <c r="T792" s="22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</row>
    <row r="793">
      <c r="A793" s="3"/>
      <c r="B793" s="3"/>
      <c r="C793" s="3"/>
      <c r="D793" s="3"/>
      <c r="E793" s="187"/>
      <c r="F793" s="3"/>
      <c r="G793" s="3"/>
      <c r="H793" s="3"/>
      <c r="I793" s="3"/>
      <c r="J793" s="3"/>
      <c r="K793" s="221"/>
      <c r="L793" s="599"/>
      <c r="M793" s="221"/>
      <c r="N793" s="3"/>
      <c r="O793" s="3"/>
      <c r="P793" s="3"/>
      <c r="Q793" s="3"/>
      <c r="R793" s="3"/>
      <c r="S793" s="3"/>
      <c r="T793" s="22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</row>
    <row r="794">
      <c r="A794" s="3"/>
      <c r="B794" s="3"/>
      <c r="C794" s="3"/>
      <c r="D794" s="3"/>
      <c r="E794" s="187"/>
      <c r="F794" s="3"/>
      <c r="G794" s="3"/>
      <c r="H794" s="3"/>
      <c r="I794" s="3"/>
      <c r="J794" s="3"/>
      <c r="K794" s="221"/>
      <c r="L794" s="599"/>
      <c r="M794" s="221"/>
      <c r="N794" s="3"/>
      <c r="O794" s="3"/>
      <c r="P794" s="3"/>
      <c r="Q794" s="3"/>
      <c r="R794" s="3"/>
      <c r="S794" s="3"/>
      <c r="T794" s="22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</row>
    <row r="795">
      <c r="A795" s="3"/>
      <c r="B795" s="3"/>
      <c r="C795" s="3"/>
      <c r="D795" s="3"/>
      <c r="E795" s="187"/>
      <c r="F795" s="3"/>
      <c r="G795" s="3"/>
      <c r="H795" s="3"/>
      <c r="I795" s="3"/>
      <c r="J795" s="3"/>
      <c r="K795" s="221"/>
      <c r="L795" s="599"/>
      <c r="M795" s="221"/>
      <c r="N795" s="3"/>
      <c r="O795" s="3"/>
      <c r="P795" s="3"/>
      <c r="Q795" s="3"/>
      <c r="R795" s="3"/>
      <c r="S795" s="3"/>
      <c r="T795" s="22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</row>
    <row r="796">
      <c r="A796" s="3"/>
      <c r="B796" s="3"/>
      <c r="C796" s="3"/>
      <c r="D796" s="3"/>
      <c r="E796" s="187"/>
      <c r="F796" s="3"/>
      <c r="G796" s="3"/>
      <c r="H796" s="3"/>
      <c r="I796" s="3"/>
      <c r="J796" s="3"/>
      <c r="K796" s="221"/>
      <c r="L796" s="599"/>
      <c r="M796" s="221"/>
      <c r="N796" s="3"/>
      <c r="O796" s="3"/>
      <c r="P796" s="3"/>
      <c r="Q796" s="3"/>
      <c r="R796" s="3"/>
      <c r="S796" s="3"/>
      <c r="T796" s="22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</row>
    <row r="797">
      <c r="A797" s="3"/>
      <c r="B797" s="3"/>
      <c r="C797" s="3"/>
      <c r="D797" s="3"/>
      <c r="E797" s="187"/>
      <c r="F797" s="3"/>
      <c r="G797" s="3"/>
      <c r="H797" s="3"/>
      <c r="I797" s="3"/>
      <c r="J797" s="3"/>
      <c r="K797" s="221"/>
      <c r="L797" s="599"/>
      <c r="M797" s="221"/>
      <c r="N797" s="3"/>
      <c r="O797" s="3"/>
      <c r="P797" s="3"/>
      <c r="Q797" s="3"/>
      <c r="R797" s="3"/>
      <c r="S797" s="3"/>
      <c r="T797" s="22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</row>
    <row r="798">
      <c r="A798" s="3"/>
      <c r="B798" s="3"/>
      <c r="C798" s="3"/>
      <c r="D798" s="3"/>
      <c r="E798" s="187"/>
      <c r="F798" s="3"/>
      <c r="G798" s="3"/>
      <c r="H798" s="3"/>
      <c r="I798" s="3"/>
      <c r="J798" s="3"/>
      <c r="K798" s="221"/>
      <c r="L798" s="599"/>
      <c r="M798" s="221"/>
      <c r="N798" s="3"/>
      <c r="O798" s="3"/>
      <c r="P798" s="3"/>
      <c r="Q798" s="3"/>
      <c r="R798" s="3"/>
      <c r="S798" s="3"/>
      <c r="T798" s="22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</row>
    <row r="799">
      <c r="A799" s="3"/>
      <c r="B799" s="3"/>
      <c r="C799" s="3"/>
      <c r="D799" s="3"/>
      <c r="E799" s="187"/>
      <c r="F799" s="3"/>
      <c r="G799" s="3"/>
      <c r="H799" s="3"/>
      <c r="I799" s="3"/>
      <c r="J799" s="3"/>
      <c r="K799" s="221"/>
      <c r="L799" s="599"/>
      <c r="M799" s="221"/>
      <c r="N799" s="3"/>
      <c r="O799" s="3"/>
      <c r="P799" s="3"/>
      <c r="Q799" s="3"/>
      <c r="R799" s="3"/>
      <c r="S799" s="3"/>
      <c r="T799" s="22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</row>
    <row r="800">
      <c r="A800" s="3"/>
      <c r="B800" s="3"/>
      <c r="C800" s="3"/>
      <c r="D800" s="3"/>
      <c r="E800" s="187"/>
      <c r="F800" s="3"/>
      <c r="G800" s="3"/>
      <c r="H800" s="3"/>
      <c r="I800" s="3"/>
      <c r="J800" s="3"/>
      <c r="K800" s="221"/>
      <c r="L800" s="599"/>
      <c r="M800" s="221"/>
      <c r="N800" s="3"/>
      <c r="O800" s="3"/>
      <c r="P800" s="3"/>
      <c r="Q800" s="3"/>
      <c r="R800" s="3"/>
      <c r="S800" s="3"/>
      <c r="T800" s="22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</row>
    <row r="801">
      <c r="A801" s="3"/>
      <c r="B801" s="3"/>
      <c r="C801" s="3"/>
      <c r="D801" s="3"/>
      <c r="E801" s="187"/>
      <c r="F801" s="3"/>
      <c r="G801" s="3"/>
      <c r="H801" s="3"/>
      <c r="I801" s="3"/>
      <c r="J801" s="3"/>
      <c r="K801" s="221"/>
      <c r="L801" s="599"/>
      <c r="M801" s="221"/>
      <c r="N801" s="3"/>
      <c r="O801" s="3"/>
      <c r="P801" s="3"/>
      <c r="Q801" s="3"/>
      <c r="R801" s="3"/>
      <c r="S801" s="3"/>
      <c r="T801" s="22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</row>
    <row r="802">
      <c r="A802" s="3"/>
      <c r="B802" s="3"/>
      <c r="C802" s="3"/>
      <c r="D802" s="3"/>
      <c r="E802" s="187"/>
      <c r="F802" s="3"/>
      <c r="G802" s="3"/>
      <c r="H802" s="3"/>
      <c r="I802" s="3"/>
      <c r="J802" s="3"/>
      <c r="K802" s="221"/>
      <c r="L802" s="599"/>
      <c r="M802" s="221"/>
      <c r="N802" s="3"/>
      <c r="O802" s="3"/>
      <c r="P802" s="3"/>
      <c r="Q802" s="3"/>
      <c r="R802" s="3"/>
      <c r="S802" s="3"/>
      <c r="T802" s="22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</row>
    <row r="803">
      <c r="A803" s="3"/>
      <c r="B803" s="3"/>
      <c r="C803" s="3"/>
      <c r="D803" s="3"/>
      <c r="E803" s="187"/>
      <c r="F803" s="3"/>
      <c r="G803" s="3"/>
      <c r="H803" s="3"/>
      <c r="I803" s="3"/>
      <c r="J803" s="3"/>
      <c r="K803" s="221"/>
      <c r="L803" s="599"/>
      <c r="M803" s="221"/>
      <c r="N803" s="3"/>
      <c r="O803" s="3"/>
      <c r="P803" s="3"/>
      <c r="Q803" s="3"/>
      <c r="R803" s="3"/>
      <c r="S803" s="3"/>
      <c r="T803" s="22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</row>
    <row r="804">
      <c r="A804" s="3"/>
      <c r="B804" s="3"/>
      <c r="C804" s="3"/>
      <c r="D804" s="3"/>
      <c r="E804" s="187"/>
      <c r="F804" s="3"/>
      <c r="G804" s="3"/>
      <c r="H804" s="3"/>
      <c r="I804" s="3"/>
      <c r="J804" s="3"/>
      <c r="K804" s="221"/>
      <c r="L804" s="599"/>
      <c r="M804" s="221"/>
      <c r="N804" s="3"/>
      <c r="O804" s="3"/>
      <c r="P804" s="3"/>
      <c r="Q804" s="3"/>
      <c r="R804" s="3"/>
      <c r="S804" s="3"/>
      <c r="T804" s="22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</row>
    <row r="805">
      <c r="A805" s="3"/>
      <c r="B805" s="3"/>
      <c r="C805" s="3"/>
      <c r="D805" s="3"/>
      <c r="E805" s="187"/>
      <c r="F805" s="3"/>
      <c r="G805" s="3"/>
      <c r="H805" s="3"/>
      <c r="I805" s="3"/>
      <c r="J805" s="3"/>
      <c r="K805" s="221"/>
      <c r="L805" s="599"/>
      <c r="M805" s="221"/>
      <c r="N805" s="3"/>
      <c r="O805" s="3"/>
      <c r="P805" s="3"/>
      <c r="Q805" s="3"/>
      <c r="R805" s="3"/>
      <c r="S805" s="3"/>
      <c r="T805" s="22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</row>
    <row r="806">
      <c r="A806" s="3"/>
      <c r="B806" s="3"/>
      <c r="C806" s="3"/>
      <c r="D806" s="3"/>
      <c r="E806" s="187"/>
      <c r="F806" s="3"/>
      <c r="G806" s="3"/>
      <c r="H806" s="3"/>
      <c r="I806" s="3"/>
      <c r="J806" s="3"/>
      <c r="K806" s="221"/>
      <c r="L806" s="599"/>
      <c r="M806" s="221"/>
      <c r="N806" s="3"/>
      <c r="O806" s="3"/>
      <c r="P806" s="3"/>
      <c r="Q806" s="3"/>
      <c r="R806" s="3"/>
      <c r="S806" s="3"/>
      <c r="T806" s="22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</row>
    <row r="807">
      <c r="A807" s="3"/>
      <c r="B807" s="3"/>
      <c r="C807" s="3"/>
      <c r="D807" s="3"/>
      <c r="E807" s="187"/>
      <c r="F807" s="3"/>
      <c r="G807" s="3"/>
      <c r="H807" s="3"/>
      <c r="I807" s="3"/>
      <c r="J807" s="3"/>
      <c r="K807" s="221"/>
      <c r="L807" s="599"/>
      <c r="M807" s="221"/>
      <c r="N807" s="3"/>
      <c r="O807" s="3"/>
      <c r="P807" s="3"/>
      <c r="Q807" s="3"/>
      <c r="R807" s="3"/>
      <c r="S807" s="3"/>
      <c r="T807" s="22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</row>
    <row r="808">
      <c r="A808" s="3"/>
      <c r="B808" s="3"/>
      <c r="C808" s="3"/>
      <c r="D808" s="3"/>
      <c r="E808" s="187"/>
      <c r="F808" s="3"/>
      <c r="G808" s="3"/>
      <c r="H808" s="3"/>
      <c r="I808" s="3"/>
      <c r="J808" s="3"/>
      <c r="K808" s="221"/>
      <c r="L808" s="599"/>
      <c r="M808" s="221"/>
      <c r="N808" s="3"/>
      <c r="O808" s="3"/>
      <c r="P808" s="3"/>
      <c r="Q808" s="3"/>
      <c r="R808" s="3"/>
      <c r="S808" s="3"/>
      <c r="T808" s="22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</row>
    <row r="809">
      <c r="A809" s="3"/>
      <c r="B809" s="3"/>
      <c r="C809" s="3"/>
      <c r="D809" s="3"/>
      <c r="E809" s="187"/>
      <c r="F809" s="3"/>
      <c r="G809" s="3"/>
      <c r="H809" s="3"/>
      <c r="I809" s="3"/>
      <c r="J809" s="3"/>
      <c r="K809" s="221"/>
      <c r="L809" s="599"/>
      <c r="M809" s="221"/>
      <c r="N809" s="3"/>
      <c r="O809" s="3"/>
      <c r="P809" s="3"/>
      <c r="Q809" s="3"/>
      <c r="R809" s="3"/>
      <c r="S809" s="3"/>
      <c r="T809" s="22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</row>
    <row r="810">
      <c r="A810" s="3"/>
      <c r="B810" s="3"/>
      <c r="C810" s="3"/>
      <c r="D810" s="3"/>
      <c r="E810" s="187"/>
      <c r="F810" s="3"/>
      <c r="G810" s="3"/>
      <c r="H810" s="3"/>
      <c r="I810" s="3"/>
      <c r="J810" s="3"/>
      <c r="K810" s="221"/>
      <c r="L810" s="599"/>
      <c r="M810" s="221"/>
      <c r="N810" s="3"/>
      <c r="O810" s="3"/>
      <c r="P810" s="3"/>
      <c r="Q810" s="3"/>
      <c r="R810" s="3"/>
      <c r="S810" s="3"/>
      <c r="T810" s="22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</row>
    <row r="811">
      <c r="A811" s="3"/>
      <c r="B811" s="3"/>
      <c r="C811" s="3"/>
      <c r="D811" s="3"/>
      <c r="E811" s="187"/>
      <c r="F811" s="3"/>
      <c r="G811" s="3"/>
      <c r="H811" s="3"/>
      <c r="I811" s="3"/>
      <c r="J811" s="3"/>
      <c r="K811" s="221"/>
      <c r="L811" s="599"/>
      <c r="M811" s="221"/>
      <c r="N811" s="3"/>
      <c r="O811" s="3"/>
      <c r="P811" s="3"/>
      <c r="Q811" s="3"/>
      <c r="R811" s="3"/>
      <c r="S811" s="3"/>
      <c r="T811" s="22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</row>
    <row r="812">
      <c r="A812" s="3"/>
      <c r="B812" s="3"/>
      <c r="C812" s="3"/>
      <c r="D812" s="3"/>
      <c r="E812" s="187"/>
      <c r="F812" s="3"/>
      <c r="G812" s="3"/>
      <c r="H812" s="3"/>
      <c r="I812" s="3"/>
      <c r="J812" s="3"/>
      <c r="K812" s="221"/>
      <c r="L812" s="599"/>
      <c r="M812" s="221"/>
      <c r="N812" s="3"/>
      <c r="O812" s="3"/>
      <c r="P812" s="3"/>
      <c r="Q812" s="3"/>
      <c r="R812" s="3"/>
      <c r="S812" s="3"/>
      <c r="T812" s="22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</row>
    <row r="813">
      <c r="A813" s="3"/>
      <c r="B813" s="3"/>
      <c r="C813" s="3"/>
      <c r="D813" s="3"/>
      <c r="E813" s="187"/>
      <c r="F813" s="3"/>
      <c r="G813" s="3"/>
      <c r="H813" s="3"/>
      <c r="I813" s="3"/>
      <c r="J813" s="3"/>
      <c r="K813" s="221"/>
      <c r="L813" s="599"/>
      <c r="M813" s="221"/>
      <c r="N813" s="3"/>
      <c r="O813" s="3"/>
      <c r="P813" s="3"/>
      <c r="Q813" s="3"/>
      <c r="R813" s="3"/>
      <c r="S813" s="3"/>
      <c r="T813" s="22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</row>
    <row r="814">
      <c r="A814" s="3"/>
      <c r="B814" s="3"/>
      <c r="C814" s="3"/>
      <c r="D814" s="3"/>
      <c r="E814" s="187"/>
      <c r="F814" s="3"/>
      <c r="G814" s="3"/>
      <c r="H814" s="3"/>
      <c r="I814" s="3"/>
      <c r="J814" s="3"/>
      <c r="K814" s="221"/>
      <c r="L814" s="599"/>
      <c r="M814" s="221"/>
      <c r="N814" s="3"/>
      <c r="O814" s="3"/>
      <c r="P814" s="3"/>
      <c r="Q814" s="3"/>
      <c r="R814" s="3"/>
      <c r="S814" s="3"/>
      <c r="T814" s="22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</row>
    <row r="815">
      <c r="A815" s="3"/>
      <c r="B815" s="3"/>
      <c r="C815" s="3"/>
      <c r="D815" s="3"/>
      <c r="E815" s="187"/>
      <c r="F815" s="3"/>
      <c r="G815" s="3"/>
      <c r="H815" s="3"/>
      <c r="I815" s="3"/>
      <c r="J815" s="3"/>
      <c r="K815" s="221"/>
      <c r="L815" s="599"/>
      <c r="M815" s="221"/>
      <c r="N815" s="3"/>
      <c r="O815" s="3"/>
      <c r="P815" s="3"/>
      <c r="Q815" s="3"/>
      <c r="R815" s="3"/>
      <c r="S815" s="3"/>
      <c r="T815" s="22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</row>
    <row r="816">
      <c r="A816" s="3"/>
      <c r="B816" s="3"/>
      <c r="C816" s="3"/>
      <c r="D816" s="3"/>
      <c r="E816" s="187"/>
      <c r="F816" s="3"/>
      <c r="G816" s="3"/>
      <c r="H816" s="3"/>
      <c r="I816" s="3"/>
      <c r="J816" s="3"/>
      <c r="K816" s="221"/>
      <c r="L816" s="599"/>
      <c r="M816" s="221"/>
      <c r="N816" s="3"/>
      <c r="O816" s="3"/>
      <c r="P816" s="3"/>
      <c r="Q816" s="3"/>
      <c r="R816" s="3"/>
      <c r="S816" s="3"/>
      <c r="T816" s="22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</row>
    <row r="817">
      <c r="A817" s="3"/>
      <c r="B817" s="3"/>
      <c r="C817" s="3"/>
      <c r="D817" s="3"/>
      <c r="E817" s="187"/>
      <c r="F817" s="3"/>
      <c r="G817" s="3"/>
      <c r="H817" s="3"/>
      <c r="I817" s="3"/>
      <c r="J817" s="3"/>
      <c r="K817" s="221"/>
      <c r="L817" s="599"/>
      <c r="M817" s="221"/>
      <c r="N817" s="3"/>
      <c r="O817" s="3"/>
      <c r="P817" s="3"/>
      <c r="Q817" s="3"/>
      <c r="R817" s="3"/>
      <c r="S817" s="3"/>
      <c r="T817" s="22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</row>
    <row r="818">
      <c r="A818" s="3"/>
      <c r="B818" s="3"/>
      <c r="C818" s="3"/>
      <c r="D818" s="3"/>
      <c r="E818" s="187"/>
      <c r="F818" s="3"/>
      <c r="G818" s="3"/>
      <c r="H818" s="3"/>
      <c r="I818" s="3"/>
      <c r="J818" s="3"/>
      <c r="K818" s="221"/>
      <c r="L818" s="599"/>
      <c r="M818" s="221"/>
      <c r="N818" s="3"/>
      <c r="O818" s="3"/>
      <c r="P818" s="3"/>
      <c r="Q818" s="3"/>
      <c r="R818" s="3"/>
      <c r="S818" s="3"/>
      <c r="T818" s="22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</row>
    <row r="819">
      <c r="A819" s="3"/>
      <c r="B819" s="3"/>
      <c r="C819" s="3"/>
      <c r="D819" s="3"/>
      <c r="E819" s="187"/>
      <c r="F819" s="3"/>
      <c r="G819" s="3"/>
      <c r="H819" s="3"/>
      <c r="I819" s="3"/>
      <c r="J819" s="3"/>
      <c r="K819" s="221"/>
      <c r="L819" s="599"/>
      <c r="M819" s="221"/>
      <c r="N819" s="3"/>
      <c r="O819" s="3"/>
      <c r="P819" s="3"/>
      <c r="Q819" s="3"/>
      <c r="R819" s="3"/>
      <c r="S819" s="3"/>
      <c r="T819" s="22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</row>
    <row r="820">
      <c r="A820" s="3"/>
      <c r="B820" s="3"/>
      <c r="C820" s="3"/>
      <c r="D820" s="3"/>
      <c r="E820" s="187"/>
      <c r="F820" s="3"/>
      <c r="G820" s="3"/>
      <c r="H820" s="3"/>
      <c r="I820" s="3"/>
      <c r="J820" s="3"/>
      <c r="K820" s="221"/>
      <c r="L820" s="599"/>
      <c r="M820" s="221"/>
      <c r="N820" s="3"/>
      <c r="O820" s="3"/>
      <c r="P820" s="3"/>
      <c r="Q820" s="3"/>
      <c r="R820" s="3"/>
      <c r="S820" s="3"/>
      <c r="T820" s="22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</row>
    <row r="821">
      <c r="A821" s="3"/>
      <c r="B821" s="3"/>
      <c r="C821" s="3"/>
      <c r="D821" s="3"/>
      <c r="E821" s="187"/>
      <c r="F821" s="3"/>
      <c r="G821" s="3"/>
      <c r="H821" s="3"/>
      <c r="I821" s="3"/>
      <c r="J821" s="3"/>
      <c r="K821" s="221"/>
      <c r="L821" s="599"/>
      <c r="M821" s="221"/>
      <c r="N821" s="3"/>
      <c r="O821" s="3"/>
      <c r="P821" s="3"/>
      <c r="Q821" s="3"/>
      <c r="R821" s="3"/>
      <c r="S821" s="3"/>
      <c r="T821" s="22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</row>
    <row r="822">
      <c r="A822" s="3"/>
      <c r="B822" s="3"/>
      <c r="C822" s="3"/>
      <c r="D822" s="3"/>
      <c r="E822" s="187"/>
      <c r="F822" s="3"/>
      <c r="G822" s="3"/>
      <c r="H822" s="3"/>
      <c r="I822" s="3"/>
      <c r="J822" s="3"/>
      <c r="K822" s="221"/>
      <c r="L822" s="599"/>
      <c r="M822" s="221"/>
      <c r="N822" s="3"/>
      <c r="O822" s="3"/>
      <c r="P822" s="3"/>
      <c r="Q822" s="3"/>
      <c r="R822" s="3"/>
      <c r="S822" s="3"/>
      <c r="T822" s="22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</row>
    <row r="823">
      <c r="A823" s="3"/>
      <c r="B823" s="3"/>
      <c r="C823" s="3"/>
      <c r="D823" s="3"/>
      <c r="E823" s="187"/>
      <c r="F823" s="3"/>
      <c r="G823" s="3"/>
      <c r="H823" s="3"/>
      <c r="I823" s="3"/>
      <c r="J823" s="3"/>
      <c r="K823" s="221"/>
      <c r="L823" s="599"/>
      <c r="M823" s="221"/>
      <c r="N823" s="3"/>
      <c r="O823" s="3"/>
      <c r="P823" s="3"/>
      <c r="Q823" s="3"/>
      <c r="R823" s="3"/>
      <c r="S823" s="3"/>
      <c r="T823" s="22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</row>
    <row r="824">
      <c r="A824" s="3"/>
      <c r="B824" s="3"/>
      <c r="C824" s="3"/>
      <c r="D824" s="3"/>
      <c r="E824" s="187"/>
      <c r="F824" s="3"/>
      <c r="G824" s="3"/>
      <c r="H824" s="3"/>
      <c r="I824" s="3"/>
      <c r="J824" s="3"/>
      <c r="K824" s="221"/>
      <c r="L824" s="599"/>
      <c r="M824" s="221"/>
      <c r="N824" s="3"/>
      <c r="O824" s="3"/>
      <c r="P824" s="3"/>
      <c r="Q824" s="3"/>
      <c r="R824" s="3"/>
      <c r="S824" s="3"/>
      <c r="T824" s="22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</row>
    <row r="825">
      <c r="A825" s="3"/>
      <c r="B825" s="3"/>
      <c r="C825" s="3"/>
      <c r="D825" s="3"/>
      <c r="E825" s="187"/>
      <c r="F825" s="3"/>
      <c r="G825" s="3"/>
      <c r="H825" s="3"/>
      <c r="I825" s="3"/>
      <c r="J825" s="3"/>
      <c r="K825" s="221"/>
      <c r="L825" s="599"/>
      <c r="M825" s="221"/>
      <c r="N825" s="3"/>
      <c r="O825" s="3"/>
      <c r="P825" s="3"/>
      <c r="Q825" s="3"/>
      <c r="R825" s="3"/>
      <c r="S825" s="3"/>
      <c r="T825" s="22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</row>
    <row r="826">
      <c r="A826" s="3"/>
      <c r="B826" s="3"/>
      <c r="C826" s="3"/>
      <c r="D826" s="3"/>
      <c r="E826" s="187"/>
      <c r="F826" s="3"/>
      <c r="G826" s="3"/>
      <c r="H826" s="3"/>
      <c r="I826" s="3"/>
      <c r="J826" s="3"/>
      <c r="K826" s="221"/>
      <c r="L826" s="599"/>
      <c r="M826" s="221"/>
      <c r="N826" s="3"/>
      <c r="O826" s="3"/>
      <c r="P826" s="3"/>
      <c r="Q826" s="3"/>
      <c r="R826" s="3"/>
      <c r="S826" s="3"/>
      <c r="T826" s="22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</row>
    <row r="827">
      <c r="A827" s="3"/>
      <c r="B827" s="3"/>
      <c r="C827" s="3"/>
      <c r="D827" s="3"/>
      <c r="E827" s="187"/>
      <c r="F827" s="3"/>
      <c r="G827" s="3"/>
      <c r="H827" s="3"/>
      <c r="I827" s="3"/>
      <c r="J827" s="3"/>
      <c r="K827" s="221"/>
      <c r="L827" s="599"/>
      <c r="M827" s="221"/>
      <c r="N827" s="3"/>
      <c r="O827" s="3"/>
      <c r="P827" s="3"/>
      <c r="Q827" s="3"/>
      <c r="R827" s="3"/>
      <c r="S827" s="3"/>
      <c r="T827" s="22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</row>
    <row r="828">
      <c r="A828" s="3"/>
      <c r="B828" s="3"/>
      <c r="C828" s="3"/>
      <c r="D828" s="3"/>
      <c r="E828" s="187"/>
      <c r="F828" s="3"/>
      <c r="G828" s="3"/>
      <c r="H828" s="3"/>
      <c r="I828" s="3"/>
      <c r="J828" s="3"/>
      <c r="K828" s="221"/>
      <c r="L828" s="599"/>
      <c r="M828" s="221"/>
      <c r="N828" s="3"/>
      <c r="O828" s="3"/>
      <c r="P828" s="3"/>
      <c r="Q828" s="3"/>
      <c r="R828" s="3"/>
      <c r="S828" s="3"/>
      <c r="T828" s="22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</row>
    <row r="829">
      <c r="A829" s="3"/>
      <c r="B829" s="3"/>
      <c r="C829" s="3"/>
      <c r="D829" s="3"/>
      <c r="E829" s="187"/>
      <c r="F829" s="3"/>
      <c r="G829" s="3"/>
      <c r="H829" s="3"/>
      <c r="I829" s="3"/>
      <c r="J829" s="3"/>
      <c r="K829" s="221"/>
      <c r="L829" s="599"/>
      <c r="M829" s="221"/>
      <c r="N829" s="3"/>
      <c r="O829" s="3"/>
      <c r="P829" s="3"/>
      <c r="Q829" s="3"/>
      <c r="R829" s="3"/>
      <c r="S829" s="3"/>
      <c r="T829" s="22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</row>
    <row r="830">
      <c r="A830" s="3"/>
      <c r="B830" s="3"/>
      <c r="C830" s="3"/>
      <c r="D830" s="3"/>
      <c r="E830" s="187"/>
      <c r="F830" s="3"/>
      <c r="G830" s="3"/>
      <c r="H830" s="3"/>
      <c r="I830" s="3"/>
      <c r="J830" s="3"/>
      <c r="K830" s="221"/>
      <c r="L830" s="599"/>
      <c r="M830" s="221"/>
      <c r="N830" s="3"/>
      <c r="O830" s="3"/>
      <c r="P830" s="3"/>
      <c r="Q830" s="3"/>
      <c r="R830" s="3"/>
      <c r="S830" s="3"/>
      <c r="T830" s="22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</row>
    <row r="831">
      <c r="A831" s="3"/>
      <c r="B831" s="3"/>
      <c r="C831" s="3"/>
      <c r="D831" s="3"/>
      <c r="E831" s="187"/>
      <c r="F831" s="3"/>
      <c r="G831" s="3"/>
      <c r="H831" s="3"/>
      <c r="I831" s="3"/>
      <c r="J831" s="3"/>
      <c r="K831" s="221"/>
      <c r="L831" s="599"/>
      <c r="M831" s="221"/>
      <c r="N831" s="3"/>
      <c r="O831" s="3"/>
      <c r="P831" s="3"/>
      <c r="Q831" s="3"/>
      <c r="R831" s="3"/>
      <c r="S831" s="3"/>
      <c r="T831" s="22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</row>
    <row r="832">
      <c r="A832" s="3"/>
      <c r="B832" s="3"/>
      <c r="C832" s="3"/>
      <c r="D832" s="3"/>
      <c r="E832" s="187"/>
      <c r="F832" s="3"/>
      <c r="G832" s="3"/>
      <c r="H832" s="3"/>
      <c r="I832" s="3"/>
      <c r="J832" s="3"/>
      <c r="K832" s="221"/>
      <c r="L832" s="599"/>
      <c r="M832" s="221"/>
      <c r="N832" s="3"/>
      <c r="O832" s="3"/>
      <c r="P832" s="3"/>
      <c r="Q832" s="3"/>
      <c r="R832" s="3"/>
      <c r="S832" s="3"/>
      <c r="T832" s="22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</row>
    <row r="833">
      <c r="A833" s="3"/>
      <c r="B833" s="3"/>
      <c r="C833" s="3"/>
      <c r="D833" s="3"/>
      <c r="E833" s="187"/>
      <c r="F833" s="3"/>
      <c r="G833" s="3"/>
      <c r="H833" s="3"/>
      <c r="I833" s="3"/>
      <c r="J833" s="3"/>
      <c r="K833" s="221"/>
      <c r="L833" s="599"/>
      <c r="M833" s="221"/>
      <c r="N833" s="3"/>
      <c r="O833" s="3"/>
      <c r="P833" s="3"/>
      <c r="Q833" s="3"/>
      <c r="R833" s="3"/>
      <c r="S833" s="3"/>
      <c r="T833" s="22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</row>
    <row r="834">
      <c r="A834" s="3"/>
      <c r="B834" s="3"/>
      <c r="C834" s="3"/>
      <c r="D834" s="3"/>
      <c r="E834" s="187"/>
      <c r="F834" s="3"/>
      <c r="G834" s="3"/>
      <c r="H834" s="3"/>
      <c r="I834" s="3"/>
      <c r="J834" s="3"/>
      <c r="K834" s="221"/>
      <c r="L834" s="599"/>
      <c r="M834" s="221"/>
      <c r="N834" s="3"/>
      <c r="O834" s="3"/>
      <c r="P834" s="3"/>
      <c r="Q834" s="3"/>
      <c r="R834" s="3"/>
      <c r="S834" s="3"/>
      <c r="T834" s="22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</row>
    <row r="835">
      <c r="A835" s="3"/>
      <c r="B835" s="3"/>
      <c r="C835" s="3"/>
      <c r="D835" s="3"/>
      <c r="E835" s="187"/>
      <c r="F835" s="3"/>
      <c r="G835" s="3"/>
      <c r="H835" s="3"/>
      <c r="I835" s="3"/>
      <c r="J835" s="3"/>
      <c r="K835" s="221"/>
      <c r="L835" s="599"/>
      <c r="M835" s="221"/>
      <c r="N835" s="3"/>
      <c r="O835" s="3"/>
      <c r="P835" s="3"/>
      <c r="Q835" s="3"/>
      <c r="R835" s="3"/>
      <c r="S835" s="3"/>
      <c r="T835" s="22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</row>
    <row r="836">
      <c r="A836" s="3"/>
      <c r="B836" s="3"/>
      <c r="C836" s="3"/>
      <c r="D836" s="3"/>
      <c r="E836" s="187"/>
      <c r="F836" s="3"/>
      <c r="G836" s="3"/>
      <c r="H836" s="3"/>
      <c r="I836" s="3"/>
      <c r="J836" s="3"/>
      <c r="K836" s="221"/>
      <c r="L836" s="599"/>
      <c r="M836" s="221"/>
      <c r="N836" s="3"/>
      <c r="O836" s="3"/>
      <c r="P836" s="3"/>
      <c r="Q836" s="3"/>
      <c r="R836" s="3"/>
      <c r="S836" s="3"/>
      <c r="T836" s="22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</row>
    <row r="837">
      <c r="A837" s="3"/>
      <c r="B837" s="3"/>
      <c r="C837" s="3"/>
      <c r="D837" s="3"/>
      <c r="E837" s="187"/>
      <c r="F837" s="3"/>
      <c r="G837" s="3"/>
      <c r="H837" s="3"/>
      <c r="I837" s="3"/>
      <c r="J837" s="3"/>
      <c r="K837" s="221"/>
      <c r="L837" s="599"/>
      <c r="M837" s="221"/>
      <c r="N837" s="3"/>
      <c r="O837" s="3"/>
      <c r="P837" s="3"/>
      <c r="Q837" s="3"/>
      <c r="R837" s="3"/>
      <c r="S837" s="3"/>
      <c r="T837" s="22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</row>
    <row r="838">
      <c r="A838" s="3"/>
      <c r="B838" s="3"/>
      <c r="C838" s="3"/>
      <c r="D838" s="3"/>
      <c r="E838" s="187"/>
      <c r="F838" s="3"/>
      <c r="G838" s="3"/>
      <c r="H838" s="3"/>
      <c r="I838" s="3"/>
      <c r="J838" s="3"/>
      <c r="K838" s="221"/>
      <c r="L838" s="599"/>
      <c r="M838" s="221"/>
      <c r="N838" s="3"/>
      <c r="O838" s="3"/>
      <c r="P838" s="3"/>
      <c r="Q838" s="3"/>
      <c r="R838" s="3"/>
      <c r="S838" s="3"/>
      <c r="T838" s="22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</row>
    <row r="839">
      <c r="A839" s="3"/>
      <c r="B839" s="3"/>
      <c r="C839" s="3"/>
      <c r="D839" s="3"/>
      <c r="E839" s="187"/>
      <c r="F839" s="3"/>
      <c r="G839" s="3"/>
      <c r="H839" s="3"/>
      <c r="I839" s="3"/>
      <c r="J839" s="3"/>
      <c r="K839" s="221"/>
      <c r="L839" s="599"/>
      <c r="M839" s="221"/>
      <c r="N839" s="3"/>
      <c r="O839" s="3"/>
      <c r="P839" s="3"/>
      <c r="Q839" s="3"/>
      <c r="R839" s="3"/>
      <c r="S839" s="3"/>
      <c r="T839" s="22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</row>
    <row r="840">
      <c r="A840" s="3"/>
      <c r="B840" s="3"/>
      <c r="C840" s="3"/>
      <c r="D840" s="3"/>
      <c r="E840" s="187"/>
      <c r="F840" s="3"/>
      <c r="G840" s="3"/>
      <c r="H840" s="3"/>
      <c r="I840" s="3"/>
      <c r="J840" s="3"/>
      <c r="K840" s="221"/>
      <c r="L840" s="599"/>
      <c r="M840" s="221"/>
      <c r="N840" s="3"/>
      <c r="O840" s="3"/>
      <c r="P840" s="3"/>
      <c r="Q840" s="3"/>
      <c r="R840" s="3"/>
      <c r="S840" s="3"/>
      <c r="T840" s="22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</row>
    <row r="841">
      <c r="A841" s="3"/>
      <c r="B841" s="3"/>
      <c r="C841" s="3"/>
      <c r="D841" s="3"/>
      <c r="E841" s="187"/>
      <c r="F841" s="3"/>
      <c r="G841" s="3"/>
      <c r="H841" s="3"/>
      <c r="I841" s="3"/>
      <c r="J841" s="3"/>
      <c r="K841" s="221"/>
      <c r="L841" s="599"/>
      <c r="M841" s="221"/>
      <c r="N841" s="3"/>
      <c r="O841" s="3"/>
      <c r="P841" s="3"/>
      <c r="Q841" s="3"/>
      <c r="R841" s="3"/>
      <c r="S841" s="3"/>
      <c r="T841" s="22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</row>
    <row r="842">
      <c r="A842" s="3"/>
      <c r="B842" s="3"/>
      <c r="C842" s="3"/>
      <c r="D842" s="3"/>
      <c r="E842" s="187"/>
      <c r="F842" s="3"/>
      <c r="G842" s="3"/>
      <c r="H842" s="3"/>
      <c r="I842" s="3"/>
      <c r="J842" s="3"/>
      <c r="K842" s="221"/>
      <c r="L842" s="599"/>
      <c r="M842" s="221"/>
      <c r="N842" s="3"/>
      <c r="O842" s="3"/>
      <c r="P842" s="3"/>
      <c r="Q842" s="3"/>
      <c r="R842" s="3"/>
      <c r="S842" s="3"/>
      <c r="T842" s="22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</row>
    <row r="843">
      <c r="A843" s="3"/>
      <c r="B843" s="3"/>
      <c r="C843" s="3"/>
      <c r="D843" s="3"/>
      <c r="E843" s="187"/>
      <c r="F843" s="3"/>
      <c r="G843" s="3"/>
      <c r="H843" s="3"/>
      <c r="I843" s="3"/>
      <c r="J843" s="3"/>
      <c r="K843" s="221"/>
      <c r="L843" s="599"/>
      <c r="M843" s="221"/>
      <c r="N843" s="3"/>
      <c r="O843" s="3"/>
      <c r="P843" s="3"/>
      <c r="Q843" s="3"/>
      <c r="R843" s="3"/>
      <c r="S843" s="3"/>
      <c r="T843" s="22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</row>
    <row r="844">
      <c r="A844" s="3"/>
      <c r="B844" s="3"/>
      <c r="C844" s="3"/>
      <c r="D844" s="3"/>
      <c r="E844" s="187"/>
      <c r="F844" s="3"/>
      <c r="G844" s="3"/>
      <c r="H844" s="3"/>
      <c r="I844" s="3"/>
      <c r="J844" s="3"/>
      <c r="K844" s="221"/>
      <c r="L844" s="599"/>
      <c r="M844" s="221"/>
      <c r="N844" s="3"/>
      <c r="O844" s="3"/>
      <c r="P844" s="3"/>
      <c r="Q844" s="3"/>
      <c r="R844" s="3"/>
      <c r="S844" s="3"/>
      <c r="T844" s="22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</row>
    <row r="845">
      <c r="A845" s="3"/>
      <c r="B845" s="3"/>
      <c r="C845" s="3"/>
      <c r="D845" s="3"/>
      <c r="E845" s="187"/>
      <c r="F845" s="3"/>
      <c r="G845" s="3"/>
      <c r="H845" s="3"/>
      <c r="I845" s="3"/>
      <c r="J845" s="3"/>
      <c r="K845" s="221"/>
      <c r="L845" s="599"/>
      <c r="M845" s="221"/>
      <c r="N845" s="3"/>
      <c r="O845" s="3"/>
      <c r="P845" s="3"/>
      <c r="Q845" s="3"/>
      <c r="R845" s="3"/>
      <c r="S845" s="3"/>
      <c r="T845" s="22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</row>
    <row r="846">
      <c r="A846" s="3"/>
      <c r="B846" s="3"/>
      <c r="C846" s="3"/>
      <c r="D846" s="3"/>
      <c r="E846" s="187"/>
      <c r="F846" s="3"/>
      <c r="G846" s="3"/>
      <c r="H846" s="3"/>
      <c r="I846" s="3"/>
      <c r="J846" s="3"/>
      <c r="K846" s="221"/>
      <c r="L846" s="599"/>
      <c r="M846" s="221"/>
      <c r="N846" s="3"/>
      <c r="O846" s="3"/>
      <c r="P846" s="3"/>
      <c r="Q846" s="3"/>
      <c r="R846" s="3"/>
      <c r="S846" s="3"/>
      <c r="T846" s="22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</row>
    <row r="847">
      <c r="A847" s="3"/>
      <c r="B847" s="3"/>
      <c r="C847" s="3"/>
      <c r="D847" s="3"/>
      <c r="E847" s="187"/>
      <c r="F847" s="3"/>
      <c r="G847" s="3"/>
      <c r="H847" s="3"/>
      <c r="I847" s="3"/>
      <c r="J847" s="3"/>
      <c r="K847" s="221"/>
      <c r="L847" s="599"/>
      <c r="M847" s="221"/>
      <c r="N847" s="3"/>
      <c r="O847" s="3"/>
      <c r="P847" s="3"/>
      <c r="Q847" s="3"/>
      <c r="R847" s="3"/>
      <c r="S847" s="3"/>
      <c r="T847" s="22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</row>
    <row r="848">
      <c r="A848" s="3"/>
      <c r="B848" s="3"/>
      <c r="C848" s="3"/>
      <c r="D848" s="3"/>
      <c r="E848" s="187"/>
      <c r="F848" s="3"/>
      <c r="G848" s="3"/>
      <c r="H848" s="3"/>
      <c r="I848" s="3"/>
      <c r="J848" s="3"/>
      <c r="K848" s="221"/>
      <c r="L848" s="599"/>
      <c r="M848" s="221"/>
      <c r="N848" s="3"/>
      <c r="O848" s="3"/>
      <c r="P848" s="3"/>
      <c r="Q848" s="3"/>
      <c r="R848" s="3"/>
      <c r="S848" s="3"/>
      <c r="T848" s="22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</row>
    <row r="849">
      <c r="A849" s="3"/>
      <c r="B849" s="3"/>
      <c r="C849" s="3"/>
      <c r="D849" s="3"/>
      <c r="E849" s="187"/>
      <c r="F849" s="3"/>
      <c r="G849" s="3"/>
      <c r="H849" s="3"/>
      <c r="I849" s="3"/>
      <c r="J849" s="3"/>
      <c r="K849" s="221"/>
      <c r="L849" s="599"/>
      <c r="M849" s="221"/>
      <c r="N849" s="3"/>
      <c r="O849" s="3"/>
      <c r="P849" s="3"/>
      <c r="Q849" s="3"/>
      <c r="R849" s="3"/>
      <c r="S849" s="3"/>
      <c r="T849" s="22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</row>
    <row r="850">
      <c r="A850" s="3"/>
      <c r="B850" s="3"/>
      <c r="C850" s="3"/>
      <c r="D850" s="3"/>
      <c r="E850" s="187"/>
      <c r="F850" s="3"/>
      <c r="G850" s="3"/>
      <c r="H850" s="3"/>
      <c r="I850" s="3"/>
      <c r="J850" s="3"/>
      <c r="K850" s="221"/>
      <c r="L850" s="599"/>
      <c r="M850" s="221"/>
      <c r="N850" s="3"/>
      <c r="O850" s="3"/>
      <c r="P850" s="3"/>
      <c r="Q850" s="3"/>
      <c r="R850" s="3"/>
      <c r="S850" s="3"/>
      <c r="T850" s="22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</row>
    <row r="851">
      <c r="A851" s="3"/>
      <c r="B851" s="3"/>
      <c r="C851" s="3"/>
      <c r="D851" s="3"/>
      <c r="E851" s="187"/>
      <c r="F851" s="3"/>
      <c r="G851" s="3"/>
      <c r="H851" s="3"/>
      <c r="I851" s="3"/>
      <c r="J851" s="3"/>
      <c r="K851" s="221"/>
      <c r="L851" s="599"/>
      <c r="M851" s="221"/>
      <c r="N851" s="3"/>
      <c r="O851" s="3"/>
      <c r="P851" s="3"/>
      <c r="Q851" s="3"/>
      <c r="R851" s="3"/>
      <c r="S851" s="3"/>
      <c r="T851" s="22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</row>
    <row r="852">
      <c r="A852" s="3"/>
      <c r="B852" s="3"/>
      <c r="C852" s="3"/>
      <c r="D852" s="3"/>
      <c r="E852" s="187"/>
      <c r="F852" s="3"/>
      <c r="G852" s="3"/>
      <c r="H852" s="3"/>
      <c r="I852" s="3"/>
      <c r="J852" s="3"/>
      <c r="K852" s="221"/>
      <c r="L852" s="599"/>
      <c r="M852" s="221"/>
      <c r="N852" s="3"/>
      <c r="O852" s="3"/>
      <c r="P852" s="3"/>
      <c r="Q852" s="3"/>
      <c r="R852" s="3"/>
      <c r="S852" s="3"/>
      <c r="T852" s="22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</row>
    <row r="853">
      <c r="A853" s="3"/>
      <c r="B853" s="3"/>
      <c r="C853" s="3"/>
      <c r="D853" s="3"/>
      <c r="E853" s="187"/>
      <c r="F853" s="3"/>
      <c r="G853" s="3"/>
      <c r="H853" s="3"/>
      <c r="I853" s="3"/>
      <c r="J853" s="3"/>
      <c r="K853" s="221"/>
      <c r="L853" s="599"/>
      <c r="M853" s="221"/>
      <c r="N853" s="3"/>
      <c r="O853" s="3"/>
      <c r="P853" s="3"/>
      <c r="Q853" s="3"/>
      <c r="R853" s="3"/>
      <c r="S853" s="3"/>
      <c r="T853" s="22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</row>
    <row r="854">
      <c r="A854" s="3"/>
      <c r="B854" s="3"/>
      <c r="C854" s="3"/>
      <c r="D854" s="3"/>
      <c r="E854" s="187"/>
      <c r="F854" s="3"/>
      <c r="G854" s="3"/>
      <c r="H854" s="3"/>
      <c r="I854" s="3"/>
      <c r="J854" s="3"/>
      <c r="K854" s="221"/>
      <c r="L854" s="599"/>
      <c r="M854" s="221"/>
      <c r="N854" s="3"/>
      <c r="O854" s="3"/>
      <c r="P854" s="3"/>
      <c r="Q854" s="3"/>
      <c r="R854" s="3"/>
      <c r="S854" s="3"/>
      <c r="T854" s="22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</row>
    <row r="855">
      <c r="A855" s="3"/>
      <c r="B855" s="3"/>
      <c r="C855" s="3"/>
      <c r="D855" s="3"/>
      <c r="E855" s="187"/>
      <c r="F855" s="3"/>
      <c r="G855" s="3"/>
      <c r="H855" s="3"/>
      <c r="I855" s="3"/>
      <c r="J855" s="3"/>
      <c r="K855" s="221"/>
      <c r="L855" s="599"/>
      <c r="M855" s="221"/>
      <c r="N855" s="3"/>
      <c r="O855" s="3"/>
      <c r="P855" s="3"/>
      <c r="Q855" s="3"/>
      <c r="R855" s="3"/>
      <c r="S855" s="3"/>
      <c r="T855" s="22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</row>
    <row r="856">
      <c r="A856" s="3"/>
      <c r="B856" s="3"/>
      <c r="C856" s="3"/>
      <c r="D856" s="3"/>
      <c r="E856" s="187"/>
      <c r="F856" s="3"/>
      <c r="G856" s="3"/>
      <c r="H856" s="3"/>
      <c r="I856" s="3"/>
      <c r="J856" s="3"/>
      <c r="K856" s="221"/>
      <c r="L856" s="599"/>
      <c r="M856" s="221"/>
      <c r="N856" s="3"/>
      <c r="O856" s="3"/>
      <c r="P856" s="3"/>
      <c r="Q856" s="3"/>
      <c r="R856" s="3"/>
      <c r="S856" s="3"/>
      <c r="T856" s="22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</row>
    <row r="857">
      <c r="A857" s="3"/>
      <c r="B857" s="3"/>
      <c r="C857" s="3"/>
      <c r="D857" s="3"/>
      <c r="E857" s="187"/>
      <c r="F857" s="3"/>
      <c r="G857" s="3"/>
      <c r="H857" s="3"/>
      <c r="I857" s="3"/>
      <c r="J857" s="3"/>
      <c r="K857" s="221"/>
      <c r="L857" s="599"/>
      <c r="M857" s="221"/>
      <c r="N857" s="3"/>
      <c r="O857" s="3"/>
      <c r="P857" s="3"/>
      <c r="Q857" s="3"/>
      <c r="R857" s="3"/>
      <c r="S857" s="3"/>
      <c r="T857" s="22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</row>
    <row r="858">
      <c r="A858" s="3"/>
      <c r="B858" s="3"/>
      <c r="C858" s="3"/>
      <c r="D858" s="3"/>
      <c r="E858" s="187"/>
      <c r="F858" s="3"/>
      <c r="G858" s="3"/>
      <c r="H858" s="3"/>
      <c r="I858" s="3"/>
      <c r="J858" s="3"/>
      <c r="K858" s="221"/>
      <c r="L858" s="599"/>
      <c r="M858" s="221"/>
      <c r="N858" s="3"/>
      <c r="O858" s="3"/>
      <c r="P858" s="3"/>
      <c r="Q858" s="3"/>
      <c r="R858" s="3"/>
      <c r="S858" s="3"/>
      <c r="T858" s="22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</row>
    <row r="859">
      <c r="A859" s="3"/>
      <c r="B859" s="3"/>
      <c r="C859" s="3"/>
      <c r="D859" s="3"/>
      <c r="E859" s="187"/>
      <c r="F859" s="3"/>
      <c r="G859" s="3"/>
      <c r="H859" s="3"/>
      <c r="I859" s="3"/>
      <c r="J859" s="3"/>
      <c r="K859" s="221"/>
      <c r="L859" s="599"/>
      <c r="M859" s="221"/>
      <c r="N859" s="3"/>
      <c r="O859" s="3"/>
      <c r="P859" s="3"/>
      <c r="Q859" s="3"/>
      <c r="R859" s="3"/>
      <c r="S859" s="3"/>
      <c r="T859" s="22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</row>
    <row r="860">
      <c r="A860" s="3"/>
      <c r="B860" s="3"/>
      <c r="C860" s="3"/>
      <c r="D860" s="3"/>
      <c r="E860" s="187"/>
      <c r="F860" s="3"/>
      <c r="G860" s="3"/>
      <c r="H860" s="3"/>
      <c r="I860" s="3"/>
      <c r="J860" s="3"/>
      <c r="K860" s="221"/>
      <c r="L860" s="599"/>
      <c r="M860" s="221"/>
      <c r="N860" s="3"/>
      <c r="O860" s="3"/>
      <c r="P860" s="3"/>
      <c r="Q860" s="3"/>
      <c r="R860" s="3"/>
      <c r="S860" s="3"/>
      <c r="T860" s="22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</row>
    <row r="861">
      <c r="A861" s="3"/>
      <c r="B861" s="3"/>
      <c r="C861" s="3"/>
      <c r="D861" s="3"/>
      <c r="E861" s="187"/>
      <c r="F861" s="3"/>
      <c r="G861" s="3"/>
      <c r="H861" s="3"/>
      <c r="I861" s="3"/>
      <c r="J861" s="3"/>
      <c r="K861" s="221"/>
      <c r="L861" s="599"/>
      <c r="M861" s="221"/>
      <c r="N861" s="3"/>
      <c r="O861" s="3"/>
      <c r="P861" s="3"/>
      <c r="Q861" s="3"/>
      <c r="R861" s="3"/>
      <c r="S861" s="3"/>
      <c r="T861" s="22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</row>
    <row r="862">
      <c r="A862" s="3"/>
      <c r="B862" s="3"/>
      <c r="C862" s="3"/>
      <c r="D862" s="3"/>
      <c r="E862" s="187"/>
      <c r="F862" s="3"/>
      <c r="G862" s="3"/>
      <c r="H862" s="3"/>
      <c r="I862" s="3"/>
      <c r="J862" s="3"/>
      <c r="K862" s="221"/>
      <c r="L862" s="599"/>
      <c r="M862" s="221"/>
      <c r="N862" s="3"/>
      <c r="O862" s="3"/>
      <c r="P862" s="3"/>
      <c r="Q862" s="3"/>
      <c r="R862" s="3"/>
      <c r="S862" s="3"/>
      <c r="T862" s="22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</row>
    <row r="863">
      <c r="A863" s="3"/>
      <c r="B863" s="3"/>
      <c r="C863" s="3"/>
      <c r="D863" s="3"/>
      <c r="E863" s="187"/>
      <c r="F863" s="3"/>
      <c r="G863" s="3"/>
      <c r="H863" s="3"/>
      <c r="I863" s="3"/>
      <c r="J863" s="3"/>
      <c r="K863" s="221"/>
      <c r="L863" s="599"/>
      <c r="M863" s="221"/>
      <c r="N863" s="3"/>
      <c r="O863" s="3"/>
      <c r="P863" s="3"/>
      <c r="Q863" s="3"/>
      <c r="R863" s="3"/>
      <c r="S863" s="3"/>
      <c r="T863" s="22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</row>
    <row r="864">
      <c r="A864" s="3"/>
      <c r="B864" s="3"/>
      <c r="C864" s="3"/>
      <c r="D864" s="3"/>
      <c r="E864" s="187"/>
      <c r="F864" s="3"/>
      <c r="G864" s="3"/>
      <c r="H864" s="3"/>
      <c r="I864" s="3"/>
      <c r="J864" s="3"/>
      <c r="K864" s="221"/>
      <c r="L864" s="599"/>
      <c r="M864" s="221"/>
      <c r="N864" s="3"/>
      <c r="O864" s="3"/>
      <c r="P864" s="3"/>
      <c r="Q864" s="3"/>
      <c r="R864" s="3"/>
      <c r="S864" s="3"/>
      <c r="T864" s="22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</row>
    <row r="865">
      <c r="A865" s="3"/>
      <c r="B865" s="3"/>
      <c r="C865" s="3"/>
      <c r="D865" s="3"/>
      <c r="E865" s="187"/>
      <c r="F865" s="3"/>
      <c r="G865" s="3"/>
      <c r="H865" s="3"/>
      <c r="I865" s="3"/>
      <c r="J865" s="3"/>
      <c r="K865" s="221"/>
      <c r="L865" s="599"/>
      <c r="M865" s="221"/>
      <c r="N865" s="3"/>
      <c r="O865" s="3"/>
      <c r="P865" s="3"/>
      <c r="Q865" s="3"/>
      <c r="R865" s="3"/>
      <c r="S865" s="3"/>
      <c r="T865" s="22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</row>
    <row r="866">
      <c r="A866" s="3"/>
      <c r="B866" s="3"/>
      <c r="C866" s="3"/>
      <c r="D866" s="3"/>
      <c r="E866" s="187"/>
      <c r="F866" s="3"/>
      <c r="G866" s="3"/>
      <c r="H866" s="3"/>
      <c r="I866" s="3"/>
      <c r="J866" s="3"/>
      <c r="K866" s="221"/>
      <c r="L866" s="599"/>
      <c r="M866" s="221"/>
      <c r="N866" s="3"/>
      <c r="O866" s="3"/>
      <c r="P866" s="3"/>
      <c r="Q866" s="3"/>
      <c r="R866" s="3"/>
      <c r="S866" s="3"/>
      <c r="T866" s="22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</row>
    <row r="867">
      <c r="A867" s="3"/>
      <c r="B867" s="3"/>
      <c r="C867" s="3"/>
      <c r="D867" s="3"/>
      <c r="E867" s="187"/>
      <c r="F867" s="3"/>
      <c r="G867" s="3"/>
      <c r="H867" s="3"/>
      <c r="I867" s="3"/>
      <c r="J867" s="3"/>
      <c r="K867" s="221"/>
      <c r="L867" s="599"/>
      <c r="M867" s="221"/>
      <c r="N867" s="3"/>
      <c r="O867" s="3"/>
      <c r="P867" s="3"/>
      <c r="Q867" s="3"/>
      <c r="R867" s="3"/>
      <c r="S867" s="3"/>
      <c r="T867" s="22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</row>
    <row r="868">
      <c r="A868" s="3"/>
      <c r="B868" s="3"/>
      <c r="C868" s="3"/>
      <c r="D868" s="3"/>
      <c r="E868" s="187"/>
      <c r="F868" s="3"/>
      <c r="G868" s="3"/>
      <c r="H868" s="3"/>
      <c r="I868" s="3"/>
      <c r="J868" s="3"/>
      <c r="K868" s="221"/>
      <c r="L868" s="599"/>
      <c r="M868" s="221"/>
      <c r="N868" s="3"/>
      <c r="O868" s="3"/>
      <c r="P868" s="3"/>
      <c r="Q868" s="3"/>
      <c r="R868" s="3"/>
      <c r="S868" s="3"/>
      <c r="T868" s="22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</row>
    <row r="869">
      <c r="A869" s="3"/>
      <c r="B869" s="3"/>
      <c r="C869" s="3"/>
      <c r="D869" s="3"/>
      <c r="E869" s="187"/>
      <c r="F869" s="3"/>
      <c r="G869" s="3"/>
      <c r="H869" s="3"/>
      <c r="I869" s="3"/>
      <c r="J869" s="3"/>
      <c r="K869" s="221"/>
      <c r="L869" s="599"/>
      <c r="M869" s="221"/>
      <c r="N869" s="3"/>
      <c r="O869" s="3"/>
      <c r="P869" s="3"/>
      <c r="Q869" s="3"/>
      <c r="R869" s="3"/>
      <c r="S869" s="3"/>
      <c r="T869" s="22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</row>
    <row r="870">
      <c r="A870" s="3"/>
      <c r="B870" s="3"/>
      <c r="C870" s="3"/>
      <c r="D870" s="3"/>
      <c r="E870" s="187"/>
      <c r="F870" s="3"/>
      <c r="G870" s="3"/>
      <c r="H870" s="3"/>
      <c r="I870" s="3"/>
      <c r="J870" s="3"/>
      <c r="K870" s="221"/>
      <c r="L870" s="599"/>
      <c r="M870" s="221"/>
      <c r="N870" s="3"/>
      <c r="O870" s="3"/>
      <c r="P870" s="3"/>
      <c r="Q870" s="3"/>
      <c r="R870" s="3"/>
      <c r="S870" s="3"/>
      <c r="T870" s="22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</row>
    <row r="871">
      <c r="A871" s="3"/>
      <c r="B871" s="3"/>
      <c r="C871" s="3"/>
      <c r="D871" s="3"/>
      <c r="E871" s="187"/>
      <c r="F871" s="3"/>
      <c r="G871" s="3"/>
      <c r="H871" s="3"/>
      <c r="I871" s="3"/>
      <c r="J871" s="3"/>
      <c r="K871" s="221"/>
      <c r="L871" s="599"/>
      <c r="M871" s="221"/>
      <c r="N871" s="3"/>
      <c r="O871" s="3"/>
      <c r="P871" s="3"/>
      <c r="Q871" s="3"/>
      <c r="R871" s="3"/>
      <c r="S871" s="3"/>
      <c r="T871" s="22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</row>
    <row r="872">
      <c r="A872" s="3"/>
      <c r="B872" s="3"/>
      <c r="C872" s="3"/>
      <c r="D872" s="3"/>
      <c r="E872" s="187"/>
      <c r="F872" s="3"/>
      <c r="G872" s="3"/>
      <c r="H872" s="3"/>
      <c r="I872" s="3"/>
      <c r="J872" s="3"/>
      <c r="K872" s="221"/>
      <c r="L872" s="599"/>
      <c r="M872" s="221"/>
      <c r="N872" s="3"/>
      <c r="O872" s="3"/>
      <c r="P872" s="3"/>
      <c r="Q872" s="3"/>
      <c r="R872" s="3"/>
      <c r="S872" s="3"/>
      <c r="T872" s="22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</row>
    <row r="873">
      <c r="A873" s="3"/>
      <c r="B873" s="3"/>
      <c r="C873" s="3"/>
      <c r="D873" s="3"/>
      <c r="E873" s="187"/>
      <c r="F873" s="3"/>
      <c r="G873" s="3"/>
      <c r="H873" s="3"/>
      <c r="I873" s="3"/>
      <c r="J873" s="3"/>
      <c r="K873" s="221"/>
      <c r="L873" s="599"/>
      <c r="M873" s="221"/>
      <c r="N873" s="3"/>
      <c r="O873" s="3"/>
      <c r="P873" s="3"/>
      <c r="Q873" s="3"/>
      <c r="R873" s="3"/>
      <c r="S873" s="3"/>
      <c r="T873" s="22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</row>
    <row r="874">
      <c r="A874" s="3"/>
      <c r="B874" s="3"/>
      <c r="C874" s="3"/>
      <c r="D874" s="3"/>
      <c r="E874" s="187"/>
      <c r="F874" s="3"/>
      <c r="G874" s="3"/>
      <c r="H874" s="3"/>
      <c r="I874" s="3"/>
      <c r="J874" s="3"/>
      <c r="K874" s="221"/>
      <c r="L874" s="599"/>
      <c r="M874" s="221"/>
      <c r="N874" s="3"/>
      <c r="O874" s="3"/>
      <c r="P874" s="3"/>
      <c r="Q874" s="3"/>
      <c r="R874" s="3"/>
      <c r="S874" s="3"/>
      <c r="T874" s="22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</row>
    <row r="875">
      <c r="A875" s="3"/>
      <c r="B875" s="3"/>
      <c r="C875" s="3"/>
      <c r="D875" s="3"/>
      <c r="E875" s="187"/>
      <c r="F875" s="3"/>
      <c r="G875" s="3"/>
      <c r="H875" s="3"/>
      <c r="I875" s="3"/>
      <c r="J875" s="3"/>
      <c r="K875" s="221"/>
      <c r="L875" s="599"/>
      <c r="M875" s="221"/>
      <c r="N875" s="3"/>
      <c r="O875" s="3"/>
      <c r="P875" s="3"/>
      <c r="Q875" s="3"/>
      <c r="R875" s="3"/>
      <c r="S875" s="3"/>
      <c r="T875" s="22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</row>
    <row r="876">
      <c r="A876" s="3"/>
      <c r="B876" s="3"/>
      <c r="C876" s="3"/>
      <c r="D876" s="3"/>
      <c r="E876" s="187"/>
      <c r="F876" s="3"/>
      <c r="G876" s="3"/>
      <c r="H876" s="3"/>
      <c r="I876" s="3"/>
      <c r="J876" s="3"/>
      <c r="K876" s="221"/>
      <c r="L876" s="599"/>
      <c r="M876" s="221"/>
      <c r="N876" s="3"/>
      <c r="O876" s="3"/>
      <c r="P876" s="3"/>
      <c r="Q876" s="3"/>
      <c r="R876" s="3"/>
      <c r="S876" s="3"/>
      <c r="T876" s="22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</row>
    <row r="877">
      <c r="A877" s="3"/>
      <c r="B877" s="3"/>
      <c r="C877" s="3"/>
      <c r="D877" s="3"/>
      <c r="E877" s="187"/>
      <c r="F877" s="3"/>
      <c r="G877" s="3"/>
      <c r="H877" s="3"/>
      <c r="I877" s="3"/>
      <c r="J877" s="3"/>
      <c r="K877" s="221"/>
      <c r="L877" s="599"/>
      <c r="M877" s="221"/>
      <c r="N877" s="3"/>
      <c r="O877" s="3"/>
      <c r="P877" s="3"/>
      <c r="Q877" s="3"/>
      <c r="R877" s="3"/>
      <c r="S877" s="3"/>
      <c r="T877" s="22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</row>
    <row r="878">
      <c r="A878" s="3"/>
      <c r="B878" s="3"/>
      <c r="C878" s="3"/>
      <c r="D878" s="3"/>
      <c r="E878" s="187"/>
      <c r="F878" s="3"/>
      <c r="G878" s="3"/>
      <c r="H878" s="3"/>
      <c r="I878" s="3"/>
      <c r="J878" s="3"/>
      <c r="K878" s="221"/>
      <c r="L878" s="599"/>
      <c r="M878" s="221"/>
      <c r="N878" s="3"/>
      <c r="O878" s="3"/>
      <c r="P878" s="3"/>
      <c r="Q878" s="3"/>
      <c r="R878" s="3"/>
      <c r="S878" s="3"/>
      <c r="T878" s="22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</row>
    <row r="879">
      <c r="A879" s="3"/>
      <c r="B879" s="3"/>
      <c r="C879" s="3"/>
      <c r="D879" s="3"/>
      <c r="E879" s="187"/>
      <c r="F879" s="3"/>
      <c r="G879" s="3"/>
      <c r="H879" s="3"/>
      <c r="I879" s="3"/>
      <c r="J879" s="3"/>
      <c r="K879" s="221"/>
      <c r="L879" s="599"/>
      <c r="M879" s="221"/>
      <c r="N879" s="3"/>
      <c r="O879" s="3"/>
      <c r="P879" s="3"/>
      <c r="Q879" s="3"/>
      <c r="R879" s="3"/>
      <c r="S879" s="3"/>
      <c r="T879" s="22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</row>
    <row r="880">
      <c r="A880" s="3"/>
      <c r="B880" s="3"/>
      <c r="C880" s="3"/>
      <c r="D880" s="3"/>
      <c r="E880" s="187"/>
      <c r="F880" s="3"/>
      <c r="G880" s="3"/>
      <c r="H880" s="3"/>
      <c r="I880" s="3"/>
      <c r="J880" s="3"/>
      <c r="K880" s="221"/>
      <c r="L880" s="599"/>
      <c r="M880" s="221"/>
      <c r="N880" s="3"/>
      <c r="O880" s="3"/>
      <c r="P880" s="3"/>
      <c r="Q880" s="3"/>
      <c r="R880" s="3"/>
      <c r="S880" s="3"/>
      <c r="T880" s="22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</row>
    <row r="881">
      <c r="A881" s="3"/>
      <c r="B881" s="3"/>
      <c r="C881" s="3"/>
      <c r="D881" s="3"/>
      <c r="E881" s="187"/>
      <c r="F881" s="3"/>
      <c r="G881" s="3"/>
      <c r="H881" s="3"/>
      <c r="I881" s="3"/>
      <c r="J881" s="3"/>
      <c r="K881" s="221"/>
      <c r="L881" s="599"/>
      <c r="M881" s="221"/>
      <c r="N881" s="3"/>
      <c r="O881" s="3"/>
      <c r="P881" s="3"/>
      <c r="Q881" s="3"/>
      <c r="R881" s="3"/>
      <c r="S881" s="3"/>
      <c r="T881" s="22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</row>
    <row r="882">
      <c r="A882" s="3"/>
      <c r="B882" s="3"/>
      <c r="C882" s="3"/>
      <c r="D882" s="3"/>
      <c r="E882" s="187"/>
      <c r="F882" s="3"/>
      <c r="G882" s="3"/>
      <c r="H882" s="3"/>
      <c r="I882" s="3"/>
      <c r="J882" s="3"/>
      <c r="K882" s="221"/>
      <c r="L882" s="599"/>
      <c r="M882" s="221"/>
      <c r="N882" s="3"/>
      <c r="O882" s="3"/>
      <c r="P882" s="3"/>
      <c r="Q882" s="3"/>
      <c r="R882" s="3"/>
      <c r="S882" s="3"/>
      <c r="T882" s="22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</row>
    <row r="883">
      <c r="A883" s="3"/>
      <c r="B883" s="3"/>
      <c r="C883" s="3"/>
      <c r="D883" s="3"/>
      <c r="E883" s="187"/>
      <c r="F883" s="3"/>
      <c r="G883" s="3"/>
      <c r="H883" s="3"/>
      <c r="I883" s="3"/>
      <c r="J883" s="3"/>
      <c r="K883" s="221"/>
      <c r="L883" s="599"/>
      <c r="M883" s="221"/>
      <c r="N883" s="3"/>
      <c r="O883" s="3"/>
      <c r="P883" s="3"/>
      <c r="Q883" s="3"/>
      <c r="R883" s="3"/>
      <c r="S883" s="3"/>
      <c r="T883" s="22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</row>
    <row r="884">
      <c r="A884" s="3"/>
      <c r="B884" s="3"/>
      <c r="C884" s="3"/>
      <c r="D884" s="3"/>
      <c r="E884" s="187"/>
      <c r="F884" s="3"/>
      <c r="G884" s="3"/>
      <c r="H884" s="3"/>
      <c r="I884" s="3"/>
      <c r="J884" s="3"/>
      <c r="K884" s="221"/>
      <c r="L884" s="599"/>
      <c r="M884" s="221"/>
      <c r="N884" s="3"/>
      <c r="O884" s="3"/>
      <c r="P884" s="3"/>
      <c r="Q884" s="3"/>
      <c r="R884" s="3"/>
      <c r="S884" s="3"/>
      <c r="T884" s="22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</row>
    <row r="885">
      <c r="A885" s="3"/>
      <c r="B885" s="3"/>
      <c r="C885" s="3"/>
      <c r="D885" s="3"/>
      <c r="E885" s="187"/>
      <c r="F885" s="3"/>
      <c r="G885" s="3"/>
      <c r="H885" s="3"/>
      <c r="I885" s="3"/>
      <c r="J885" s="3"/>
      <c r="K885" s="221"/>
      <c r="L885" s="599"/>
      <c r="M885" s="221"/>
      <c r="N885" s="3"/>
      <c r="O885" s="3"/>
      <c r="P885" s="3"/>
      <c r="Q885" s="3"/>
      <c r="R885" s="3"/>
      <c r="S885" s="3"/>
      <c r="T885" s="22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</row>
    <row r="886">
      <c r="A886" s="3"/>
      <c r="B886" s="3"/>
      <c r="C886" s="3"/>
      <c r="D886" s="3"/>
      <c r="E886" s="187"/>
      <c r="F886" s="3"/>
      <c r="G886" s="3"/>
      <c r="H886" s="3"/>
      <c r="I886" s="3"/>
      <c r="J886" s="3"/>
      <c r="K886" s="221"/>
      <c r="L886" s="599"/>
      <c r="M886" s="221"/>
      <c r="N886" s="3"/>
      <c r="O886" s="3"/>
      <c r="P886" s="3"/>
      <c r="Q886" s="3"/>
      <c r="R886" s="3"/>
      <c r="S886" s="3"/>
      <c r="T886" s="22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</row>
    <row r="887">
      <c r="A887" s="3"/>
      <c r="B887" s="3"/>
      <c r="C887" s="3"/>
      <c r="D887" s="3"/>
      <c r="E887" s="187"/>
      <c r="F887" s="3"/>
      <c r="G887" s="3"/>
      <c r="H887" s="3"/>
      <c r="I887" s="3"/>
      <c r="J887" s="3"/>
      <c r="K887" s="221"/>
      <c r="L887" s="599"/>
      <c r="M887" s="221"/>
      <c r="N887" s="3"/>
      <c r="O887" s="3"/>
      <c r="P887" s="3"/>
      <c r="Q887" s="3"/>
      <c r="R887" s="3"/>
      <c r="S887" s="3"/>
      <c r="T887" s="22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</row>
    <row r="888">
      <c r="A888" s="3"/>
      <c r="B888" s="3"/>
      <c r="C888" s="3"/>
      <c r="D888" s="3"/>
      <c r="E888" s="187"/>
      <c r="F888" s="3"/>
      <c r="G888" s="3"/>
      <c r="H888" s="3"/>
      <c r="I888" s="3"/>
      <c r="J888" s="3"/>
      <c r="K888" s="221"/>
      <c r="L888" s="599"/>
      <c r="M888" s="221"/>
      <c r="N888" s="3"/>
      <c r="O888" s="3"/>
      <c r="P888" s="3"/>
      <c r="Q888" s="3"/>
      <c r="R888" s="3"/>
      <c r="S888" s="3"/>
      <c r="T888" s="22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</row>
    <row r="889">
      <c r="A889" s="3"/>
      <c r="B889" s="3"/>
      <c r="C889" s="3"/>
      <c r="D889" s="3"/>
      <c r="E889" s="187"/>
      <c r="F889" s="3"/>
      <c r="G889" s="3"/>
      <c r="H889" s="3"/>
      <c r="I889" s="3"/>
      <c r="J889" s="3"/>
      <c r="K889" s="221"/>
      <c r="L889" s="599"/>
      <c r="M889" s="221"/>
      <c r="N889" s="3"/>
      <c r="O889" s="3"/>
      <c r="P889" s="3"/>
      <c r="Q889" s="3"/>
      <c r="R889" s="3"/>
      <c r="S889" s="3"/>
      <c r="T889" s="22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</row>
    <row r="890">
      <c r="A890" s="3"/>
      <c r="B890" s="3"/>
      <c r="C890" s="3"/>
      <c r="D890" s="3"/>
      <c r="E890" s="187"/>
      <c r="F890" s="3"/>
      <c r="G890" s="3"/>
      <c r="H890" s="3"/>
      <c r="I890" s="3"/>
      <c r="J890" s="3"/>
      <c r="K890" s="221"/>
      <c r="L890" s="599"/>
      <c r="M890" s="221"/>
      <c r="N890" s="3"/>
      <c r="O890" s="3"/>
      <c r="P890" s="3"/>
      <c r="Q890" s="3"/>
      <c r="R890" s="3"/>
      <c r="S890" s="3"/>
      <c r="T890" s="22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</row>
    <row r="891">
      <c r="A891" s="3"/>
      <c r="B891" s="3"/>
      <c r="C891" s="3"/>
      <c r="D891" s="3"/>
      <c r="E891" s="187"/>
      <c r="F891" s="3"/>
      <c r="G891" s="3"/>
      <c r="H891" s="3"/>
      <c r="I891" s="3"/>
      <c r="J891" s="3"/>
      <c r="K891" s="221"/>
      <c r="L891" s="599"/>
      <c r="M891" s="221"/>
      <c r="N891" s="3"/>
      <c r="O891" s="3"/>
      <c r="P891" s="3"/>
      <c r="Q891" s="3"/>
      <c r="R891" s="3"/>
      <c r="S891" s="3"/>
      <c r="T891" s="22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</row>
    <row r="892">
      <c r="A892" s="3"/>
      <c r="B892" s="3"/>
      <c r="C892" s="3"/>
      <c r="D892" s="3"/>
      <c r="E892" s="187"/>
      <c r="F892" s="3"/>
      <c r="G892" s="3"/>
      <c r="H892" s="3"/>
      <c r="I892" s="3"/>
      <c r="J892" s="3"/>
      <c r="K892" s="221"/>
      <c r="L892" s="599"/>
      <c r="M892" s="221"/>
      <c r="N892" s="3"/>
      <c r="O892" s="3"/>
      <c r="P892" s="3"/>
      <c r="Q892" s="3"/>
      <c r="R892" s="3"/>
      <c r="S892" s="3"/>
      <c r="T892" s="22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</row>
    <row r="893">
      <c r="A893" s="3"/>
      <c r="B893" s="3"/>
      <c r="C893" s="3"/>
      <c r="D893" s="3"/>
      <c r="E893" s="187"/>
      <c r="F893" s="3"/>
      <c r="G893" s="3"/>
      <c r="H893" s="3"/>
      <c r="I893" s="3"/>
      <c r="J893" s="3"/>
      <c r="K893" s="221"/>
      <c r="L893" s="599"/>
      <c r="M893" s="221"/>
      <c r="N893" s="3"/>
      <c r="O893" s="3"/>
      <c r="P893" s="3"/>
      <c r="Q893" s="3"/>
      <c r="R893" s="3"/>
      <c r="S893" s="3"/>
      <c r="T893" s="22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</row>
    <row r="894">
      <c r="A894" s="3"/>
      <c r="B894" s="3"/>
      <c r="C894" s="3"/>
      <c r="D894" s="3"/>
      <c r="E894" s="187"/>
      <c r="F894" s="3"/>
      <c r="G894" s="3"/>
      <c r="H894" s="3"/>
      <c r="I894" s="3"/>
      <c r="J894" s="3"/>
      <c r="K894" s="221"/>
      <c r="L894" s="599"/>
      <c r="M894" s="221"/>
      <c r="N894" s="3"/>
      <c r="O894" s="3"/>
      <c r="P894" s="3"/>
      <c r="Q894" s="3"/>
      <c r="R894" s="3"/>
      <c r="S894" s="3"/>
      <c r="T894" s="22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</row>
    <row r="895">
      <c r="A895" s="3"/>
      <c r="B895" s="3"/>
      <c r="C895" s="3"/>
      <c r="D895" s="3"/>
      <c r="E895" s="187"/>
      <c r="F895" s="3"/>
      <c r="G895" s="3"/>
      <c r="H895" s="3"/>
      <c r="I895" s="3"/>
      <c r="J895" s="3"/>
      <c r="K895" s="221"/>
      <c r="L895" s="599"/>
      <c r="M895" s="221"/>
      <c r="N895" s="3"/>
      <c r="O895" s="3"/>
      <c r="P895" s="3"/>
      <c r="Q895" s="3"/>
      <c r="R895" s="3"/>
      <c r="S895" s="3"/>
      <c r="T895" s="22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</row>
    <row r="896">
      <c r="A896" s="3"/>
      <c r="B896" s="3"/>
      <c r="C896" s="3"/>
      <c r="D896" s="3"/>
      <c r="E896" s="187"/>
      <c r="F896" s="3"/>
      <c r="G896" s="3"/>
      <c r="H896" s="3"/>
      <c r="I896" s="3"/>
      <c r="J896" s="3"/>
      <c r="K896" s="221"/>
      <c r="L896" s="599"/>
      <c r="M896" s="221"/>
      <c r="N896" s="3"/>
      <c r="O896" s="3"/>
      <c r="P896" s="3"/>
      <c r="Q896" s="3"/>
      <c r="R896" s="3"/>
      <c r="S896" s="3"/>
      <c r="T896" s="22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</row>
    <row r="897">
      <c r="A897" s="3"/>
      <c r="B897" s="3"/>
      <c r="C897" s="3"/>
      <c r="D897" s="3"/>
      <c r="E897" s="187"/>
      <c r="F897" s="3"/>
      <c r="G897" s="3"/>
      <c r="H897" s="3"/>
      <c r="I897" s="3"/>
      <c r="J897" s="3"/>
      <c r="K897" s="221"/>
      <c r="L897" s="599"/>
      <c r="M897" s="221"/>
      <c r="N897" s="3"/>
      <c r="O897" s="3"/>
      <c r="P897" s="3"/>
      <c r="Q897" s="3"/>
      <c r="R897" s="3"/>
      <c r="S897" s="3"/>
      <c r="T897" s="22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</row>
    <row r="898">
      <c r="A898" s="3"/>
      <c r="B898" s="3"/>
      <c r="C898" s="3"/>
      <c r="D898" s="3"/>
      <c r="E898" s="187"/>
      <c r="F898" s="3"/>
      <c r="G898" s="3"/>
      <c r="H898" s="3"/>
      <c r="I898" s="3"/>
      <c r="J898" s="3"/>
      <c r="K898" s="221"/>
      <c r="L898" s="599"/>
      <c r="M898" s="221"/>
      <c r="N898" s="3"/>
      <c r="O898" s="3"/>
      <c r="P898" s="3"/>
      <c r="Q898" s="3"/>
      <c r="R898" s="3"/>
      <c r="S898" s="3"/>
      <c r="T898" s="22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</row>
    <row r="899">
      <c r="A899" s="3"/>
      <c r="B899" s="3"/>
      <c r="C899" s="3"/>
      <c r="D899" s="3"/>
      <c r="E899" s="187"/>
      <c r="F899" s="3"/>
      <c r="G899" s="3"/>
      <c r="H899" s="3"/>
      <c r="I899" s="3"/>
      <c r="J899" s="3"/>
      <c r="K899" s="221"/>
      <c r="L899" s="599"/>
      <c r="M899" s="221"/>
      <c r="N899" s="3"/>
      <c r="O899" s="3"/>
      <c r="P899" s="3"/>
      <c r="Q899" s="3"/>
      <c r="R899" s="3"/>
      <c r="S899" s="3"/>
      <c r="T899" s="22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</row>
    <row r="900">
      <c r="A900" s="3"/>
      <c r="B900" s="3"/>
      <c r="C900" s="3"/>
      <c r="D900" s="3"/>
      <c r="E900" s="187"/>
      <c r="F900" s="3"/>
      <c r="G900" s="3"/>
      <c r="H900" s="3"/>
      <c r="I900" s="3"/>
      <c r="J900" s="3"/>
      <c r="K900" s="221"/>
      <c r="L900" s="599"/>
      <c r="M900" s="221"/>
      <c r="N900" s="3"/>
      <c r="O900" s="3"/>
      <c r="P900" s="3"/>
      <c r="Q900" s="3"/>
      <c r="R900" s="3"/>
      <c r="S900" s="3"/>
      <c r="T900" s="22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</row>
    <row r="901">
      <c r="A901" s="3"/>
      <c r="B901" s="3"/>
      <c r="C901" s="3"/>
      <c r="D901" s="3"/>
      <c r="E901" s="187"/>
      <c r="F901" s="3"/>
      <c r="G901" s="3"/>
      <c r="H901" s="3"/>
      <c r="I901" s="3"/>
      <c r="J901" s="3"/>
      <c r="K901" s="221"/>
      <c r="L901" s="599"/>
      <c r="M901" s="221"/>
      <c r="N901" s="3"/>
      <c r="O901" s="3"/>
      <c r="P901" s="3"/>
      <c r="Q901" s="3"/>
      <c r="R901" s="3"/>
      <c r="S901" s="3"/>
      <c r="T901" s="22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</row>
    <row r="902">
      <c r="A902" s="3"/>
      <c r="B902" s="3"/>
      <c r="C902" s="3"/>
      <c r="D902" s="3"/>
      <c r="E902" s="187"/>
      <c r="F902" s="3"/>
      <c r="G902" s="3"/>
      <c r="H902" s="3"/>
      <c r="I902" s="3"/>
      <c r="J902" s="3"/>
      <c r="K902" s="221"/>
      <c r="L902" s="599"/>
      <c r="M902" s="221"/>
      <c r="N902" s="3"/>
      <c r="O902" s="3"/>
      <c r="P902" s="3"/>
      <c r="Q902" s="3"/>
      <c r="R902" s="3"/>
      <c r="S902" s="3"/>
      <c r="T902" s="22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</row>
    <row r="903">
      <c r="A903" s="3"/>
      <c r="B903" s="3"/>
      <c r="C903" s="3"/>
      <c r="D903" s="3"/>
      <c r="E903" s="187"/>
      <c r="F903" s="3"/>
      <c r="G903" s="3"/>
      <c r="H903" s="3"/>
      <c r="I903" s="3"/>
      <c r="J903" s="3"/>
      <c r="K903" s="221"/>
      <c r="L903" s="599"/>
      <c r="M903" s="221"/>
      <c r="N903" s="3"/>
      <c r="O903" s="3"/>
      <c r="P903" s="3"/>
      <c r="Q903" s="3"/>
      <c r="R903" s="3"/>
      <c r="S903" s="3"/>
      <c r="T903" s="22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</row>
    <row r="904">
      <c r="A904" s="3"/>
      <c r="B904" s="3"/>
      <c r="C904" s="3"/>
      <c r="D904" s="3"/>
      <c r="E904" s="187"/>
      <c r="F904" s="3"/>
      <c r="G904" s="3"/>
      <c r="H904" s="3"/>
      <c r="I904" s="3"/>
      <c r="J904" s="3"/>
      <c r="K904" s="221"/>
      <c r="L904" s="599"/>
      <c r="M904" s="221"/>
      <c r="N904" s="3"/>
      <c r="O904" s="3"/>
      <c r="P904" s="3"/>
      <c r="Q904" s="3"/>
      <c r="R904" s="3"/>
      <c r="S904" s="3"/>
      <c r="T904" s="22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</row>
    <row r="905">
      <c r="A905" s="3"/>
      <c r="B905" s="3"/>
      <c r="C905" s="3"/>
      <c r="D905" s="3"/>
      <c r="E905" s="187"/>
      <c r="F905" s="3"/>
      <c r="G905" s="3"/>
      <c r="H905" s="3"/>
      <c r="I905" s="3"/>
      <c r="J905" s="3"/>
      <c r="K905" s="221"/>
      <c r="L905" s="599"/>
      <c r="M905" s="221"/>
      <c r="N905" s="3"/>
      <c r="O905" s="3"/>
      <c r="P905" s="3"/>
      <c r="Q905" s="3"/>
      <c r="R905" s="3"/>
      <c r="S905" s="3"/>
      <c r="T905" s="22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</row>
    <row r="906">
      <c r="A906" s="3"/>
      <c r="B906" s="3"/>
      <c r="C906" s="3"/>
      <c r="D906" s="3"/>
      <c r="E906" s="187"/>
      <c r="F906" s="3"/>
      <c r="G906" s="3"/>
      <c r="H906" s="3"/>
      <c r="I906" s="3"/>
      <c r="J906" s="3"/>
      <c r="K906" s="221"/>
      <c r="L906" s="599"/>
      <c r="M906" s="221"/>
      <c r="N906" s="3"/>
      <c r="O906" s="3"/>
      <c r="P906" s="3"/>
      <c r="Q906" s="3"/>
      <c r="R906" s="3"/>
      <c r="S906" s="3"/>
      <c r="T906" s="22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</row>
    <row r="907">
      <c r="A907" s="3"/>
      <c r="B907" s="3"/>
      <c r="C907" s="3"/>
      <c r="D907" s="3"/>
      <c r="E907" s="187"/>
      <c r="F907" s="3"/>
      <c r="G907" s="3"/>
      <c r="H907" s="3"/>
      <c r="I907" s="3"/>
      <c r="J907" s="3"/>
      <c r="K907" s="221"/>
      <c r="L907" s="599"/>
      <c r="M907" s="221"/>
      <c r="N907" s="3"/>
      <c r="O907" s="3"/>
      <c r="P907" s="3"/>
      <c r="Q907" s="3"/>
      <c r="R907" s="3"/>
      <c r="S907" s="3"/>
      <c r="T907" s="22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</row>
    <row r="908">
      <c r="A908" s="3"/>
      <c r="B908" s="3"/>
      <c r="C908" s="3"/>
      <c r="D908" s="3"/>
      <c r="E908" s="187"/>
      <c r="F908" s="3"/>
      <c r="G908" s="3"/>
      <c r="H908" s="3"/>
      <c r="I908" s="3"/>
      <c r="J908" s="3"/>
      <c r="K908" s="221"/>
      <c r="L908" s="599"/>
      <c r="M908" s="221"/>
      <c r="N908" s="3"/>
      <c r="O908" s="3"/>
      <c r="P908" s="3"/>
      <c r="Q908" s="3"/>
      <c r="R908" s="3"/>
      <c r="S908" s="3"/>
      <c r="T908" s="22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</row>
    <row r="909">
      <c r="A909" s="3"/>
      <c r="B909" s="3"/>
      <c r="C909" s="3"/>
      <c r="D909" s="3"/>
      <c r="E909" s="187"/>
      <c r="F909" s="3"/>
      <c r="G909" s="3"/>
      <c r="H909" s="3"/>
      <c r="I909" s="3"/>
      <c r="J909" s="3"/>
      <c r="K909" s="221"/>
      <c r="L909" s="599"/>
      <c r="M909" s="221"/>
      <c r="N909" s="3"/>
      <c r="O909" s="3"/>
      <c r="P909" s="3"/>
      <c r="Q909" s="3"/>
      <c r="R909" s="3"/>
      <c r="S909" s="3"/>
      <c r="T909" s="22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</row>
    <row r="910">
      <c r="A910" s="3"/>
      <c r="B910" s="3"/>
      <c r="C910" s="3"/>
      <c r="D910" s="3"/>
      <c r="E910" s="187"/>
      <c r="F910" s="3"/>
      <c r="G910" s="3"/>
      <c r="H910" s="3"/>
      <c r="I910" s="3"/>
      <c r="J910" s="3"/>
      <c r="K910" s="221"/>
      <c r="L910" s="599"/>
      <c r="M910" s="221"/>
      <c r="N910" s="3"/>
      <c r="O910" s="3"/>
      <c r="P910" s="3"/>
      <c r="Q910" s="3"/>
      <c r="R910" s="3"/>
      <c r="S910" s="3"/>
      <c r="T910" s="22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</row>
    <row r="911">
      <c r="A911" s="3"/>
      <c r="B911" s="3"/>
      <c r="C911" s="3"/>
      <c r="D911" s="3"/>
      <c r="E911" s="187"/>
      <c r="F911" s="3"/>
      <c r="G911" s="3"/>
      <c r="H911" s="3"/>
      <c r="I911" s="3"/>
      <c r="J911" s="3"/>
      <c r="K911" s="221"/>
      <c r="L911" s="599"/>
      <c r="M911" s="221"/>
      <c r="N911" s="3"/>
      <c r="O911" s="3"/>
      <c r="P911" s="3"/>
      <c r="Q911" s="3"/>
      <c r="R911" s="3"/>
      <c r="S911" s="3"/>
      <c r="T911" s="22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</row>
    <row r="912">
      <c r="A912" s="3"/>
      <c r="B912" s="3"/>
      <c r="C912" s="3"/>
      <c r="D912" s="3"/>
      <c r="E912" s="187"/>
      <c r="F912" s="3"/>
      <c r="G912" s="3"/>
      <c r="H912" s="3"/>
      <c r="I912" s="3"/>
      <c r="J912" s="3"/>
      <c r="K912" s="221"/>
      <c r="L912" s="599"/>
      <c r="M912" s="221"/>
      <c r="N912" s="3"/>
      <c r="O912" s="3"/>
      <c r="P912" s="3"/>
      <c r="Q912" s="3"/>
      <c r="R912" s="3"/>
      <c r="S912" s="3"/>
      <c r="T912" s="22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</row>
    <row r="913">
      <c r="A913" s="3"/>
      <c r="B913" s="3"/>
      <c r="C913" s="3"/>
      <c r="D913" s="3"/>
      <c r="E913" s="187"/>
      <c r="F913" s="3"/>
      <c r="G913" s="3"/>
      <c r="H913" s="3"/>
      <c r="I913" s="3"/>
      <c r="J913" s="3"/>
      <c r="K913" s="221"/>
      <c r="L913" s="599"/>
      <c r="M913" s="221"/>
      <c r="N913" s="3"/>
      <c r="O913" s="3"/>
      <c r="P913" s="3"/>
      <c r="Q913" s="3"/>
      <c r="R913" s="3"/>
      <c r="S913" s="3"/>
      <c r="T913" s="22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</row>
    <row r="914">
      <c r="A914" s="3"/>
      <c r="B914" s="3"/>
      <c r="C914" s="3"/>
      <c r="D914" s="3"/>
      <c r="E914" s="187"/>
      <c r="F914" s="3"/>
      <c r="G914" s="3"/>
      <c r="H914" s="3"/>
      <c r="I914" s="3"/>
      <c r="J914" s="3"/>
      <c r="K914" s="221"/>
      <c r="L914" s="599"/>
      <c r="M914" s="221"/>
      <c r="N914" s="3"/>
      <c r="O914" s="3"/>
      <c r="P914" s="3"/>
      <c r="Q914" s="3"/>
      <c r="R914" s="3"/>
      <c r="S914" s="3"/>
      <c r="T914" s="22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</row>
    <row r="915">
      <c r="A915" s="3"/>
      <c r="B915" s="3"/>
      <c r="C915" s="3"/>
      <c r="D915" s="3"/>
      <c r="E915" s="187"/>
      <c r="F915" s="3"/>
      <c r="G915" s="3"/>
      <c r="H915" s="3"/>
      <c r="I915" s="3"/>
      <c r="J915" s="3"/>
      <c r="K915" s="221"/>
      <c r="L915" s="599"/>
      <c r="M915" s="221"/>
      <c r="N915" s="3"/>
      <c r="O915" s="3"/>
      <c r="P915" s="3"/>
      <c r="Q915" s="3"/>
      <c r="R915" s="3"/>
      <c r="S915" s="3"/>
      <c r="T915" s="22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</row>
    <row r="916">
      <c r="A916" s="3"/>
      <c r="B916" s="3"/>
      <c r="C916" s="3"/>
      <c r="D916" s="3"/>
      <c r="E916" s="187"/>
      <c r="F916" s="3"/>
      <c r="G916" s="3"/>
      <c r="H916" s="3"/>
      <c r="I916" s="3"/>
      <c r="J916" s="3"/>
      <c r="K916" s="221"/>
      <c r="L916" s="599"/>
      <c r="M916" s="221"/>
      <c r="N916" s="3"/>
      <c r="O916" s="3"/>
      <c r="P916" s="3"/>
      <c r="Q916" s="3"/>
      <c r="R916" s="3"/>
      <c r="S916" s="3"/>
      <c r="T916" s="22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</row>
    <row r="917">
      <c r="A917" s="3"/>
      <c r="B917" s="3"/>
      <c r="C917" s="3"/>
      <c r="D917" s="3"/>
      <c r="E917" s="187"/>
      <c r="F917" s="3"/>
      <c r="G917" s="3"/>
      <c r="H917" s="3"/>
      <c r="I917" s="3"/>
      <c r="J917" s="3"/>
      <c r="K917" s="221"/>
      <c r="L917" s="599"/>
      <c r="M917" s="221"/>
      <c r="N917" s="3"/>
      <c r="O917" s="3"/>
      <c r="P917" s="3"/>
      <c r="Q917" s="3"/>
      <c r="R917" s="3"/>
      <c r="S917" s="3"/>
      <c r="T917" s="22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</row>
    <row r="918">
      <c r="A918" s="3"/>
      <c r="B918" s="3"/>
      <c r="C918" s="3"/>
      <c r="D918" s="3"/>
      <c r="E918" s="187"/>
      <c r="F918" s="3"/>
      <c r="G918" s="3"/>
      <c r="H918" s="3"/>
      <c r="I918" s="3"/>
      <c r="J918" s="3"/>
      <c r="K918" s="221"/>
      <c r="L918" s="599"/>
      <c r="M918" s="221"/>
      <c r="N918" s="3"/>
      <c r="O918" s="3"/>
      <c r="P918" s="3"/>
      <c r="Q918" s="3"/>
      <c r="R918" s="3"/>
      <c r="S918" s="3"/>
      <c r="T918" s="22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</row>
    <row r="919">
      <c r="A919" s="3"/>
      <c r="B919" s="3"/>
      <c r="C919" s="3"/>
      <c r="D919" s="3"/>
      <c r="E919" s="187"/>
      <c r="F919" s="3"/>
      <c r="G919" s="3"/>
      <c r="H919" s="3"/>
      <c r="I919" s="3"/>
      <c r="J919" s="3"/>
      <c r="K919" s="221"/>
      <c r="L919" s="599"/>
      <c r="M919" s="221"/>
      <c r="N919" s="3"/>
      <c r="O919" s="3"/>
      <c r="P919" s="3"/>
      <c r="Q919" s="3"/>
      <c r="R919" s="3"/>
      <c r="S919" s="3"/>
      <c r="T919" s="22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</row>
    <row r="920">
      <c r="A920" s="3"/>
      <c r="B920" s="3"/>
      <c r="C920" s="3"/>
      <c r="D920" s="3"/>
      <c r="E920" s="187"/>
      <c r="F920" s="3"/>
      <c r="G920" s="3"/>
      <c r="H920" s="3"/>
      <c r="I920" s="3"/>
      <c r="J920" s="3"/>
      <c r="K920" s="221"/>
      <c r="L920" s="599"/>
      <c r="M920" s="221"/>
      <c r="N920" s="3"/>
      <c r="O920" s="3"/>
      <c r="P920" s="3"/>
      <c r="Q920" s="3"/>
      <c r="R920" s="3"/>
      <c r="S920" s="3"/>
      <c r="T920" s="22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</row>
    <row r="921">
      <c r="A921" s="3"/>
      <c r="B921" s="3"/>
      <c r="C921" s="3"/>
      <c r="D921" s="3"/>
      <c r="E921" s="187"/>
      <c r="F921" s="3"/>
      <c r="G921" s="3"/>
      <c r="H921" s="3"/>
      <c r="I921" s="3"/>
      <c r="J921" s="3"/>
      <c r="K921" s="221"/>
      <c r="L921" s="599"/>
      <c r="M921" s="221"/>
      <c r="N921" s="3"/>
      <c r="O921" s="3"/>
      <c r="P921" s="3"/>
      <c r="Q921" s="3"/>
      <c r="R921" s="3"/>
      <c r="S921" s="3"/>
      <c r="T921" s="22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</row>
    <row r="922">
      <c r="A922" s="3"/>
      <c r="B922" s="3"/>
      <c r="C922" s="3"/>
      <c r="D922" s="3"/>
      <c r="E922" s="187"/>
      <c r="F922" s="3"/>
      <c r="G922" s="3"/>
      <c r="H922" s="3"/>
      <c r="I922" s="3"/>
      <c r="J922" s="3"/>
      <c r="K922" s="221"/>
      <c r="L922" s="599"/>
      <c r="M922" s="221"/>
      <c r="N922" s="3"/>
      <c r="O922" s="3"/>
      <c r="P922" s="3"/>
      <c r="Q922" s="3"/>
      <c r="R922" s="3"/>
      <c r="S922" s="3"/>
      <c r="T922" s="22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</row>
    <row r="923">
      <c r="A923" s="3"/>
      <c r="B923" s="3"/>
      <c r="C923" s="3"/>
      <c r="D923" s="3"/>
      <c r="E923" s="187"/>
      <c r="F923" s="3"/>
      <c r="G923" s="3"/>
      <c r="H923" s="3"/>
      <c r="I923" s="3"/>
      <c r="J923" s="3"/>
      <c r="K923" s="221"/>
      <c r="L923" s="599"/>
      <c r="M923" s="221"/>
      <c r="N923" s="3"/>
      <c r="O923" s="3"/>
      <c r="P923" s="3"/>
      <c r="Q923" s="3"/>
      <c r="R923" s="3"/>
      <c r="S923" s="3"/>
      <c r="T923" s="22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</row>
    <row r="924">
      <c r="A924" s="3"/>
      <c r="B924" s="3"/>
      <c r="C924" s="3"/>
      <c r="D924" s="3"/>
      <c r="E924" s="187"/>
      <c r="F924" s="3"/>
      <c r="G924" s="3"/>
      <c r="H924" s="3"/>
      <c r="I924" s="3"/>
      <c r="J924" s="3"/>
      <c r="K924" s="221"/>
      <c r="L924" s="599"/>
      <c r="M924" s="221"/>
      <c r="N924" s="3"/>
      <c r="O924" s="3"/>
      <c r="P924" s="3"/>
      <c r="Q924" s="3"/>
      <c r="R924" s="3"/>
      <c r="S924" s="3"/>
      <c r="T924" s="22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</row>
    <row r="925">
      <c r="A925" s="3"/>
      <c r="B925" s="3"/>
      <c r="C925" s="3"/>
      <c r="D925" s="3"/>
      <c r="E925" s="187"/>
      <c r="F925" s="3"/>
      <c r="G925" s="3"/>
      <c r="H925" s="3"/>
      <c r="I925" s="3"/>
      <c r="J925" s="3"/>
      <c r="K925" s="221"/>
      <c r="L925" s="599"/>
      <c r="M925" s="221"/>
      <c r="N925" s="3"/>
      <c r="O925" s="3"/>
      <c r="P925" s="3"/>
      <c r="Q925" s="3"/>
      <c r="R925" s="3"/>
      <c r="S925" s="3"/>
      <c r="T925" s="22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</row>
    <row r="926">
      <c r="A926" s="3"/>
      <c r="B926" s="3"/>
      <c r="C926" s="3"/>
      <c r="D926" s="3"/>
      <c r="E926" s="187"/>
      <c r="F926" s="3"/>
      <c r="G926" s="3"/>
      <c r="H926" s="3"/>
      <c r="I926" s="3"/>
      <c r="J926" s="3"/>
      <c r="K926" s="221"/>
      <c r="L926" s="599"/>
      <c r="M926" s="221"/>
      <c r="N926" s="3"/>
      <c r="O926" s="3"/>
      <c r="P926" s="3"/>
      <c r="Q926" s="3"/>
      <c r="R926" s="3"/>
      <c r="S926" s="3"/>
      <c r="T926" s="22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</row>
    <row r="927">
      <c r="A927" s="3"/>
      <c r="B927" s="3"/>
      <c r="C927" s="3"/>
      <c r="D927" s="3"/>
      <c r="E927" s="187"/>
      <c r="F927" s="3"/>
      <c r="G927" s="3"/>
      <c r="H927" s="3"/>
      <c r="I927" s="3"/>
      <c r="J927" s="3"/>
      <c r="K927" s="221"/>
      <c r="L927" s="599"/>
      <c r="M927" s="221"/>
      <c r="N927" s="3"/>
      <c r="O927" s="3"/>
      <c r="P927" s="3"/>
      <c r="Q927" s="3"/>
      <c r="R927" s="3"/>
      <c r="S927" s="3"/>
      <c r="T927" s="22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</row>
    <row r="928">
      <c r="A928" s="3"/>
      <c r="B928" s="3"/>
      <c r="C928" s="3"/>
      <c r="D928" s="3"/>
      <c r="E928" s="187"/>
      <c r="F928" s="3"/>
      <c r="G928" s="3"/>
      <c r="H928" s="3"/>
      <c r="I928" s="3"/>
      <c r="J928" s="3"/>
      <c r="K928" s="221"/>
      <c r="L928" s="599"/>
      <c r="M928" s="221"/>
      <c r="N928" s="3"/>
      <c r="O928" s="3"/>
      <c r="P928" s="3"/>
      <c r="Q928" s="3"/>
      <c r="R928" s="3"/>
      <c r="S928" s="3"/>
      <c r="T928" s="22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</row>
    <row r="929">
      <c r="A929" s="3"/>
      <c r="B929" s="3"/>
      <c r="C929" s="3"/>
      <c r="D929" s="3"/>
      <c r="E929" s="187"/>
      <c r="F929" s="3"/>
      <c r="G929" s="3"/>
      <c r="H929" s="3"/>
      <c r="I929" s="3"/>
      <c r="J929" s="3"/>
      <c r="K929" s="221"/>
      <c r="L929" s="599"/>
      <c r="M929" s="221"/>
      <c r="N929" s="3"/>
      <c r="O929" s="3"/>
      <c r="P929" s="3"/>
      <c r="Q929" s="3"/>
      <c r="R929" s="3"/>
      <c r="S929" s="3"/>
      <c r="T929" s="22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</row>
    <row r="930">
      <c r="A930" s="3"/>
      <c r="B930" s="3"/>
      <c r="C930" s="3"/>
      <c r="D930" s="3"/>
      <c r="E930" s="187"/>
      <c r="F930" s="3"/>
      <c r="G930" s="3"/>
      <c r="H930" s="3"/>
      <c r="I930" s="3"/>
      <c r="J930" s="3"/>
      <c r="K930" s="221"/>
      <c r="L930" s="599"/>
      <c r="M930" s="221"/>
      <c r="N930" s="3"/>
      <c r="O930" s="3"/>
      <c r="P930" s="3"/>
      <c r="Q930" s="3"/>
      <c r="R930" s="3"/>
      <c r="S930" s="3"/>
      <c r="T930" s="22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</row>
    <row r="931">
      <c r="A931" s="3"/>
      <c r="B931" s="3"/>
      <c r="C931" s="3"/>
      <c r="D931" s="3"/>
      <c r="E931" s="187"/>
      <c r="F931" s="3"/>
      <c r="G931" s="3"/>
      <c r="H931" s="3"/>
      <c r="I931" s="3"/>
      <c r="J931" s="3"/>
      <c r="K931" s="221"/>
      <c r="L931" s="599"/>
      <c r="M931" s="221"/>
      <c r="N931" s="3"/>
      <c r="O931" s="3"/>
      <c r="P931" s="3"/>
      <c r="Q931" s="3"/>
      <c r="R931" s="3"/>
      <c r="S931" s="3"/>
      <c r="T931" s="22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</row>
    <row r="932">
      <c r="A932" s="3"/>
      <c r="B932" s="3"/>
      <c r="C932" s="3"/>
      <c r="D932" s="3"/>
      <c r="E932" s="187"/>
      <c r="F932" s="3"/>
      <c r="G932" s="3"/>
      <c r="H932" s="3"/>
      <c r="I932" s="3"/>
      <c r="J932" s="3"/>
      <c r="K932" s="221"/>
      <c r="L932" s="599"/>
      <c r="M932" s="221"/>
      <c r="N932" s="3"/>
      <c r="O932" s="3"/>
      <c r="P932" s="3"/>
      <c r="Q932" s="3"/>
      <c r="R932" s="3"/>
      <c r="S932" s="3"/>
      <c r="T932" s="22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</row>
    <row r="933">
      <c r="A933" s="3"/>
      <c r="B933" s="3"/>
      <c r="C933" s="3"/>
      <c r="D933" s="3"/>
      <c r="E933" s="187"/>
      <c r="F933" s="3"/>
      <c r="G933" s="3"/>
      <c r="H933" s="3"/>
      <c r="I933" s="3"/>
      <c r="J933" s="3"/>
      <c r="K933" s="221"/>
      <c r="L933" s="599"/>
      <c r="M933" s="221"/>
      <c r="N933" s="3"/>
      <c r="O933" s="3"/>
      <c r="P933" s="3"/>
      <c r="Q933" s="3"/>
      <c r="R933" s="3"/>
      <c r="S933" s="3"/>
      <c r="T933" s="22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</row>
    <row r="934">
      <c r="A934" s="3"/>
      <c r="B934" s="3"/>
      <c r="C934" s="3"/>
      <c r="D934" s="3"/>
      <c r="E934" s="187"/>
      <c r="F934" s="3"/>
      <c r="G934" s="3"/>
      <c r="H934" s="3"/>
      <c r="I934" s="3"/>
      <c r="J934" s="3"/>
      <c r="K934" s="221"/>
      <c r="L934" s="599"/>
      <c r="M934" s="221"/>
      <c r="N934" s="3"/>
      <c r="O934" s="3"/>
      <c r="P934" s="3"/>
      <c r="Q934" s="3"/>
      <c r="R934" s="3"/>
      <c r="S934" s="3"/>
      <c r="T934" s="22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</row>
    <row r="935">
      <c r="A935" s="3"/>
      <c r="B935" s="3"/>
      <c r="C935" s="3"/>
      <c r="D935" s="3"/>
      <c r="E935" s="187"/>
      <c r="F935" s="3"/>
      <c r="G935" s="3"/>
      <c r="H935" s="3"/>
      <c r="I935" s="3"/>
      <c r="J935" s="3"/>
      <c r="K935" s="221"/>
      <c r="L935" s="599"/>
      <c r="M935" s="221"/>
      <c r="N935" s="3"/>
      <c r="O935" s="3"/>
      <c r="P935" s="3"/>
      <c r="Q935" s="3"/>
      <c r="R935" s="3"/>
      <c r="S935" s="3"/>
      <c r="T935" s="22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</row>
  </sheetData>
  <mergeCells count="3">
    <mergeCell ref="A1:G3"/>
    <mergeCell ref="H1:P3"/>
    <mergeCell ref="Q1:T3"/>
  </mergeCells>
  <dataValidations>
    <dataValidation type="list" allowBlank="1" showErrorMessage="1" sqref="P5:P7 P11 P14:P27 P31:P34 P36:P44 P47 P51:P72 P74:P79 P81:P93 P101:P104 P109:P113 P140:P147 P150:P155 P160:P162 P164:P165 P167:P171 P174:P179 P186:P200 P204 P209:P211 P217:P232">
      <formula1>"MINUTA ENVIADA,MINUTA ASSINADA,PEDIDO DE VENDA"</formula1>
    </dataValidation>
    <dataValidation type="list" allowBlank="1" showErrorMessage="1" sqref="R5 R8:R10 R12:R13 R28:R30 R35 R39 R45:R50 R73 R80 R107:R108 R114 R116:R139 R156:R159 R172:R173 R185 R206:R208 R234:R245 R256:R258 R266:R268">
      <formula1>"E-MAIL,KOMMO,TELEFONE FIXO,WHATSAPP,INDICAÇÃO,CONARH,SSOMED/SITE"</formula1>
    </dataValidation>
    <dataValidation type="list" allowBlank="1" showErrorMessage="1" sqref="N5 N8:N10 N12:N13 N28:N30 N35 N39 N45:N50 N73 N80 N107:N108 N114 N116:N139 N156:N159 N172:N173 N185 N206:N208 N233:N258 N260:N263 N266:N269">
      <formula1>"PROPOSTA ENVIADA,CONTRATO FECHADO,RECUSADO,FECHADO CRISTIANO"</formula1>
    </dataValidation>
    <dataValidation type="list" allowBlank="1" showErrorMessage="1" sqref="S5:S7 S11 S14:S21 S23:S27 S31:S34 S36:S44 S47 S51:S72 S74:S79 S81:S104 S109:S113 S140:S155 S160:S171 S174:S184 S186:S205 S209:S232 S259 S264:S265">
      <formula1>"LUCAS,VITÓRIA,VINICIOS,VINICIUS,ALEXANDRE,MIKAELLE,CRISTIANO,GUSTAVO,CAILLANE,WENDY"</formula1>
    </dataValidation>
    <dataValidation type="list" allowBlank="1" showErrorMessage="1" sqref="S269">
      <formula1>"LUCAS,VITÓRIA,VINICIOS,VINICIUS,ALEXANDRE,MIKAELLE,CRISTIANO,GUSTAVO"</formula1>
    </dataValidation>
    <dataValidation type="list" allowBlank="1" showErrorMessage="1" sqref="R6:R7 R11 R14:R27 R31:R34 R36:R38 R40:R44 R51:R72 R74:R79 R81:R106 R109:R113 R115 R140:R155 R160:R171 R174:R184 R186:R205 R209:R232 R259 R264:R265">
      <formula1>"E-MAIL,KOMMO,TELEFONE FIXO,WHATSAPP,INDICAÇÃO,CONARH,PLANILHA LEAD,SSOMED / SITE"</formula1>
    </dataValidation>
    <dataValidation type="list" allowBlank="1" showErrorMessage="1" sqref="R233 R246:R255 R260:R263 R269">
      <formula1>"E-MAIL,KOMMO,TELEFONE FIXO,WHATSAPP,INDICAÇÃO,CONARH"</formula1>
    </dataValidation>
    <dataValidation type="list" allowBlank="1" showErrorMessage="1" sqref="O5:O269">
      <formula1>"NOVO,ANTIGO"</formula1>
    </dataValidation>
    <dataValidation type="list" allowBlank="1" showErrorMessage="1" sqref="S8:S10 S12:S13 S22 S28:S30 S35 S45:S46 S48:S50 S73 S80 S105:S108 S114:S139 S156:S159 S172:S173 S185 S206:S208 S233:S258 S260:S263 S266:S268">
      <formula1>"LUCAS,VITÓRIA,VINICIOS,VINICIUS,ALEXANDRE,MIKAELLE,CRISTIANO,GUSTAVO,CAILLANE"</formula1>
    </dataValidation>
    <dataValidation type="list" allowBlank="1" showErrorMessage="1" sqref="N6:N7 N11 N14:N27 N31:N34 N36:N38 N40:N44 N51:N72 N74:N79 N81:N106 N109:N113 N115 N140:N155 N160:N171 N174:N184 N186:N205 N209:N232 N259 N264:N265">
      <formula1>"PROPOSTA ENVIADA,CONTRATO FECHADO,RECUSADO"</formula1>
    </dataValidation>
    <dataValidation type="list" allowBlank="1" showErrorMessage="1" sqref="P8:P10 P12:P13 P28:P30 P35 P45:P46 P48:P50 P73 P80 P94:P100 P105:P108 P114:P139 P148:P149 P156:P159 P163 P166 P172:P173 P180:P185 P201:P203 P205:P208 P212:P216 P233:P269">
      <formula1>"MINUTA ENVIADA,MINUTA ASSINADA"</formula1>
    </dataValidation>
  </dataValidations>
  <hyperlinks>
    <hyperlink r:id="rId2" ref="F7"/>
    <hyperlink r:id="rId3" ref="F13"/>
    <hyperlink r:id="rId4" ref="F15"/>
    <hyperlink r:id="rId5" ref="F19"/>
    <hyperlink r:id="rId6" ref="F20"/>
    <hyperlink r:id="rId7" ref="F21"/>
    <hyperlink r:id="rId8" ref="F22"/>
    <hyperlink r:id="rId9" ref="F24"/>
    <hyperlink r:id="rId10" ref="F25"/>
    <hyperlink r:id="rId11" ref="F26"/>
    <hyperlink r:id="rId12" ref="F35"/>
    <hyperlink r:id="rId13" ref="F38"/>
    <hyperlink r:id="rId14" ref="F39"/>
    <hyperlink r:id="rId15" ref="F40"/>
    <hyperlink r:id="rId16" ref="F45"/>
    <hyperlink r:id="rId17" ref="F46"/>
    <hyperlink r:id="rId18" ref="F48"/>
    <hyperlink r:id="rId19" ref="F53"/>
    <hyperlink r:id="rId20" ref="F54"/>
    <hyperlink r:id="rId21" ref="F55"/>
    <hyperlink r:id="rId22" ref="F57"/>
    <hyperlink r:id="rId23" ref="F58"/>
    <hyperlink r:id="rId24" ref="F59"/>
    <hyperlink r:id="rId25" ref="F60"/>
    <hyperlink r:id="rId26" ref="F67"/>
    <hyperlink r:id="rId27" ref="F70"/>
    <hyperlink r:id="rId28" ref="F114"/>
    <hyperlink r:id="rId29" ref="F116"/>
    <hyperlink r:id="rId30" ref="F118"/>
    <hyperlink r:id="rId31" ref="F127"/>
    <hyperlink r:id="rId32" ref="F131"/>
    <hyperlink r:id="rId33" ref="F132"/>
    <hyperlink r:id="rId34" ref="F139"/>
    <hyperlink r:id="rId35" ref="F152"/>
    <hyperlink r:id="rId36" ref="F153"/>
    <hyperlink r:id="rId37" ref="F154"/>
    <hyperlink r:id="rId38" ref="F163"/>
    <hyperlink r:id="rId39" ref="F164"/>
    <hyperlink r:id="rId40" ref="F174"/>
    <hyperlink r:id="rId41" ref="F175"/>
    <hyperlink r:id="rId42" ref="F176"/>
    <hyperlink r:id="rId43" ref="F177"/>
    <hyperlink r:id="rId44" ref="F178"/>
    <hyperlink r:id="rId45" ref="F179"/>
    <hyperlink r:id="rId46" ref="F180"/>
    <hyperlink r:id="rId47" ref="F182"/>
    <hyperlink r:id="rId48" ref="F184"/>
    <hyperlink r:id="rId49" ref="F188"/>
    <hyperlink r:id="rId50" ref="F189"/>
    <hyperlink r:id="rId51" ref="F200"/>
    <hyperlink r:id="rId52" ref="F202"/>
    <hyperlink r:id="rId53" ref="F203"/>
    <hyperlink r:id="rId54" ref="E204"/>
    <hyperlink r:id="rId55" ref="F204"/>
    <hyperlink r:id="rId56" ref="F206"/>
    <hyperlink r:id="rId57" ref="F209"/>
    <hyperlink r:id="rId58" ref="F210"/>
    <hyperlink r:id="rId59" ref="F211"/>
    <hyperlink r:id="rId60" ref="F219"/>
    <hyperlink r:id="rId61" ref="F220"/>
    <hyperlink r:id="rId62" ref="F221"/>
    <hyperlink r:id="rId63" ref="F222"/>
    <hyperlink r:id="rId64" ref="F226"/>
    <hyperlink r:id="rId65" ref="F233"/>
    <hyperlink r:id="rId66" ref="F235"/>
    <hyperlink r:id="rId67" ref="F236"/>
    <hyperlink r:id="rId68" ref="F237"/>
    <hyperlink r:id="rId69" ref="F238"/>
    <hyperlink r:id="rId70" ref="F239"/>
    <hyperlink r:id="rId71" ref="F252"/>
    <hyperlink r:id="rId72" ref="F259"/>
    <hyperlink r:id="rId73" ref="F265"/>
    <hyperlink r:id="rId74" ref="F266"/>
    <hyperlink r:id="rId75" ref="F267"/>
    <hyperlink r:id="rId76" ref="F268"/>
  </hyperlinks>
  <drawing r:id="rId77"/>
  <legacyDrawing r:id="rId7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80.25"/>
    <col customWidth="1" min="3" max="3" width="17.88"/>
    <col customWidth="1" min="4" max="4" width="59.5"/>
    <col customWidth="1" min="5" max="5" width="23.88"/>
    <col customWidth="1" min="6" max="6" width="42.75"/>
    <col customWidth="1" min="7" max="7" width="16.88"/>
    <col customWidth="1" min="8" max="8" width="32.5"/>
    <col customWidth="1" min="9" max="9" width="10.13"/>
    <col customWidth="1" min="10" max="10" width="15.25"/>
    <col customWidth="1" min="11" max="11" width="16.75"/>
    <col customWidth="1" min="12" max="12" width="17.38"/>
    <col customWidth="1" min="13" max="13" width="15.13"/>
    <col customWidth="1" min="14" max="14" width="23.75"/>
    <col customWidth="1" min="15" max="15" width="20.38"/>
    <col customWidth="1" min="16" max="16" width="22.38"/>
    <col customWidth="1" min="17" max="17" width="12.5"/>
    <col customWidth="1" min="18" max="18" width="20.5"/>
    <col customWidth="1" min="19" max="19" width="19.0"/>
    <col customWidth="1" min="20" max="20" width="74.5"/>
  </cols>
  <sheetData>
    <row r="1" ht="25.5" customHeight="1">
      <c r="A1" s="1"/>
      <c r="H1" s="1" t="s">
        <v>1</v>
      </c>
      <c r="Q1" s="1" t="s">
        <v>2</v>
      </c>
      <c r="U1" s="600"/>
      <c r="V1" s="600"/>
      <c r="W1" s="600"/>
      <c r="X1" s="600"/>
      <c r="Y1" s="600"/>
      <c r="Z1" s="600"/>
      <c r="AA1" s="600"/>
      <c r="AB1" s="600"/>
      <c r="AC1" s="600"/>
      <c r="AD1" s="600"/>
      <c r="AE1" s="600"/>
      <c r="AF1" s="600"/>
      <c r="AG1" s="600"/>
      <c r="AH1" s="600"/>
      <c r="AI1" s="600"/>
      <c r="AJ1" s="600"/>
      <c r="AK1" s="600"/>
    </row>
    <row r="2" ht="15.0" customHeight="1">
      <c r="U2" s="600"/>
      <c r="V2" s="600"/>
      <c r="W2" s="600"/>
      <c r="X2" s="600"/>
      <c r="Y2" s="600"/>
      <c r="Z2" s="600"/>
      <c r="AA2" s="600"/>
      <c r="AB2" s="600"/>
      <c r="AC2" s="600"/>
      <c r="AD2" s="600"/>
      <c r="AE2" s="600"/>
      <c r="AF2" s="600"/>
      <c r="AG2" s="600"/>
      <c r="AH2" s="600"/>
      <c r="AI2" s="600"/>
      <c r="AJ2" s="600"/>
      <c r="AK2" s="600"/>
    </row>
    <row r="3" ht="15.0" customHeight="1">
      <c r="U3" s="600"/>
      <c r="V3" s="600"/>
      <c r="W3" s="600"/>
      <c r="X3" s="600"/>
      <c r="Y3" s="600"/>
      <c r="Z3" s="600"/>
      <c r="AA3" s="600"/>
      <c r="AB3" s="600"/>
      <c r="AC3" s="600"/>
      <c r="AD3" s="600"/>
      <c r="AE3" s="600"/>
      <c r="AF3" s="600"/>
      <c r="AG3" s="600"/>
      <c r="AH3" s="600"/>
      <c r="AI3" s="600"/>
      <c r="AJ3" s="600"/>
      <c r="AK3" s="600"/>
    </row>
    <row r="4" ht="24.75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01" t="s">
        <v>10</v>
      </c>
      <c r="I4" s="602" t="s">
        <v>11</v>
      </c>
      <c r="J4" s="602" t="s">
        <v>12</v>
      </c>
      <c r="K4" s="603" t="s">
        <v>13</v>
      </c>
      <c r="L4" s="602" t="s">
        <v>533</v>
      </c>
      <c r="M4" s="603" t="s">
        <v>14</v>
      </c>
      <c r="N4" s="602" t="s">
        <v>15</v>
      </c>
      <c r="O4" s="602" t="s">
        <v>10</v>
      </c>
      <c r="P4" s="602" t="s">
        <v>16</v>
      </c>
      <c r="Q4" s="602" t="s">
        <v>17</v>
      </c>
      <c r="R4" s="602" t="s">
        <v>18</v>
      </c>
      <c r="S4" s="604" t="s">
        <v>19</v>
      </c>
      <c r="T4" s="604" t="s">
        <v>20</v>
      </c>
      <c r="U4" s="605"/>
      <c r="V4" s="605"/>
      <c r="W4" s="600"/>
      <c r="X4" s="600"/>
      <c r="Y4" s="600"/>
      <c r="Z4" s="600"/>
      <c r="AA4" s="600"/>
      <c r="AB4" s="600"/>
      <c r="AC4" s="600"/>
      <c r="AD4" s="600"/>
      <c r="AE4" s="600"/>
      <c r="AF4" s="600"/>
      <c r="AG4" s="600"/>
      <c r="AH4" s="600"/>
      <c r="AI4" s="600"/>
      <c r="AJ4" s="600"/>
      <c r="AK4" s="606"/>
    </row>
    <row r="5">
      <c r="A5" s="12">
        <v>1.0</v>
      </c>
      <c r="B5" s="103" t="s">
        <v>1445</v>
      </c>
      <c r="C5" s="103" t="s">
        <v>1446</v>
      </c>
      <c r="D5" s="103" t="s">
        <v>1715</v>
      </c>
      <c r="E5" s="103" t="s">
        <v>1448</v>
      </c>
      <c r="F5" s="103" t="s">
        <v>1449</v>
      </c>
      <c r="G5" s="103">
        <v>21.0</v>
      </c>
      <c r="H5" s="103" t="s">
        <v>65</v>
      </c>
      <c r="I5" s="174">
        <v>46097.0</v>
      </c>
      <c r="J5" s="104"/>
      <c r="K5" s="197">
        <v>314.0</v>
      </c>
      <c r="L5" s="480">
        <v>12.0</v>
      </c>
      <c r="M5" s="175">
        <f t="shared" ref="M5:M8" si="1">K5*12</f>
        <v>3768</v>
      </c>
      <c r="N5" s="137" t="s">
        <v>28</v>
      </c>
      <c r="O5" s="172" t="s">
        <v>29</v>
      </c>
      <c r="P5" s="137" t="s">
        <v>40</v>
      </c>
      <c r="Q5" s="104"/>
      <c r="R5" s="137" t="s">
        <v>41</v>
      </c>
      <c r="S5" s="137" t="s">
        <v>148</v>
      </c>
      <c r="T5" s="607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</row>
    <row r="6">
      <c r="A6" s="12">
        <v>2.0</v>
      </c>
      <c r="B6" s="103" t="s">
        <v>1924</v>
      </c>
      <c r="C6" s="103" t="s">
        <v>1925</v>
      </c>
      <c r="D6" s="137" t="s">
        <v>1926</v>
      </c>
      <c r="E6" s="136" t="s">
        <v>1927</v>
      </c>
      <c r="F6" s="137" t="s">
        <v>1928</v>
      </c>
      <c r="G6" s="137">
        <v>4.0</v>
      </c>
      <c r="H6" s="137" t="s">
        <v>65</v>
      </c>
      <c r="I6" s="174">
        <v>46112.0</v>
      </c>
      <c r="J6" s="104"/>
      <c r="K6" s="197">
        <v>157.0</v>
      </c>
      <c r="L6" s="480">
        <v>12.0</v>
      </c>
      <c r="M6" s="175">
        <f t="shared" si="1"/>
        <v>1884</v>
      </c>
      <c r="N6" s="137" t="s">
        <v>28</v>
      </c>
      <c r="O6" s="137" t="s">
        <v>29</v>
      </c>
      <c r="P6" s="137" t="s">
        <v>40</v>
      </c>
      <c r="Q6" s="104"/>
      <c r="R6" s="137" t="s">
        <v>73</v>
      </c>
      <c r="S6" s="137" t="s">
        <v>148</v>
      </c>
      <c r="T6" s="607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</row>
    <row r="7">
      <c r="A7" s="12">
        <v>3.0</v>
      </c>
      <c r="B7" s="103" t="s">
        <v>1931</v>
      </c>
      <c r="C7" s="103" t="s">
        <v>1932</v>
      </c>
      <c r="D7" s="103" t="s">
        <v>1926</v>
      </c>
      <c r="E7" s="136" t="s">
        <v>1927</v>
      </c>
      <c r="F7" s="137" t="s">
        <v>1928</v>
      </c>
      <c r="G7" s="103">
        <v>23.0</v>
      </c>
      <c r="H7" s="103" t="s">
        <v>65</v>
      </c>
      <c r="I7" s="174">
        <v>46112.0</v>
      </c>
      <c r="J7" s="104"/>
      <c r="K7" s="197">
        <v>322.0</v>
      </c>
      <c r="L7" s="480">
        <v>12.0</v>
      </c>
      <c r="M7" s="175">
        <f t="shared" si="1"/>
        <v>3864</v>
      </c>
      <c r="N7" s="137" t="s">
        <v>28</v>
      </c>
      <c r="O7" s="137" t="s">
        <v>29</v>
      </c>
      <c r="P7" s="137" t="s">
        <v>40</v>
      </c>
      <c r="Q7" s="104"/>
      <c r="R7" s="137" t="s">
        <v>73</v>
      </c>
      <c r="S7" s="137" t="s">
        <v>148</v>
      </c>
      <c r="T7" s="607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</row>
    <row r="8">
      <c r="A8" s="12">
        <v>4.0</v>
      </c>
      <c r="B8" s="103" t="s">
        <v>1933</v>
      </c>
      <c r="C8" s="103" t="s">
        <v>1934</v>
      </c>
      <c r="D8" s="103" t="s">
        <v>1926</v>
      </c>
      <c r="E8" s="136" t="s">
        <v>1927</v>
      </c>
      <c r="F8" s="137" t="s">
        <v>1928</v>
      </c>
      <c r="G8" s="103">
        <v>9.0</v>
      </c>
      <c r="H8" s="103" t="s">
        <v>65</v>
      </c>
      <c r="I8" s="174">
        <v>46112.0</v>
      </c>
      <c r="J8" s="104"/>
      <c r="K8" s="197">
        <v>187.0</v>
      </c>
      <c r="L8" s="480">
        <v>12.0</v>
      </c>
      <c r="M8" s="175">
        <f t="shared" si="1"/>
        <v>2244</v>
      </c>
      <c r="N8" s="137" t="s">
        <v>28</v>
      </c>
      <c r="O8" s="137" t="s">
        <v>29</v>
      </c>
      <c r="P8" s="137" t="s">
        <v>40</v>
      </c>
      <c r="Q8" s="104"/>
      <c r="R8" s="137" t="s">
        <v>73</v>
      </c>
      <c r="S8" s="137" t="s">
        <v>148</v>
      </c>
      <c r="T8" s="607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</row>
    <row r="9">
      <c r="A9" s="12">
        <v>5.0</v>
      </c>
      <c r="B9" s="103" t="s">
        <v>1935</v>
      </c>
      <c r="C9" s="103" t="s">
        <v>1936</v>
      </c>
      <c r="D9" s="103" t="s">
        <v>502</v>
      </c>
      <c r="E9" s="103" t="s">
        <v>1937</v>
      </c>
      <c r="F9" s="500" t="s">
        <v>1938</v>
      </c>
      <c r="G9" s="103" t="s">
        <v>26</v>
      </c>
      <c r="H9" s="103" t="s">
        <v>711</v>
      </c>
      <c r="I9" s="174">
        <v>46112.0</v>
      </c>
      <c r="J9" s="174">
        <v>46174.0</v>
      </c>
      <c r="K9" s="197" t="s">
        <v>57</v>
      </c>
      <c r="L9" s="480">
        <v>1.0</v>
      </c>
      <c r="M9" s="197">
        <v>800.0</v>
      </c>
      <c r="N9" s="137" t="s">
        <v>71</v>
      </c>
      <c r="O9" s="137" t="s">
        <v>29</v>
      </c>
      <c r="P9" s="137" t="s">
        <v>72</v>
      </c>
      <c r="Q9" s="103">
        <v>3175.0</v>
      </c>
      <c r="R9" s="137" t="s">
        <v>73</v>
      </c>
      <c r="S9" s="137" t="s">
        <v>148</v>
      </c>
      <c r="T9" s="607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</row>
    <row r="10">
      <c r="A10" s="12">
        <v>6.0</v>
      </c>
      <c r="B10" s="136" t="s">
        <v>1968</v>
      </c>
      <c r="C10" s="136" t="s">
        <v>1969</v>
      </c>
      <c r="D10" s="137" t="s">
        <v>1970</v>
      </c>
      <c r="E10" s="136" t="s">
        <v>1971</v>
      </c>
      <c r="F10" s="196" t="s">
        <v>3766</v>
      </c>
      <c r="G10" s="137">
        <v>50.0</v>
      </c>
      <c r="H10" s="137" t="s">
        <v>65</v>
      </c>
      <c r="I10" s="174">
        <v>46114.0</v>
      </c>
      <c r="J10" s="104"/>
      <c r="K10" s="197">
        <v>665.0</v>
      </c>
      <c r="L10" s="480">
        <v>12.0</v>
      </c>
      <c r="M10" s="175">
        <f>K10*12</f>
        <v>7980</v>
      </c>
      <c r="N10" s="137" t="s">
        <v>28</v>
      </c>
      <c r="O10" s="137" t="s">
        <v>29</v>
      </c>
      <c r="P10" s="137" t="s">
        <v>40</v>
      </c>
      <c r="Q10" s="104"/>
      <c r="R10" s="137" t="s">
        <v>73</v>
      </c>
      <c r="S10" s="137" t="s">
        <v>148</v>
      </c>
      <c r="T10" s="607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</row>
    <row r="11">
      <c r="A11" s="12">
        <v>7.0</v>
      </c>
      <c r="B11" s="171" t="s">
        <v>2651</v>
      </c>
      <c r="C11" s="171" t="s">
        <v>2652</v>
      </c>
      <c r="D11" s="171" t="s">
        <v>2653</v>
      </c>
      <c r="E11" s="171" t="s">
        <v>2654</v>
      </c>
      <c r="F11" s="608" t="s">
        <v>2655</v>
      </c>
      <c r="G11" s="171">
        <v>1.0</v>
      </c>
      <c r="H11" s="103" t="s">
        <v>711</v>
      </c>
      <c r="I11" s="609">
        <v>46118.0</v>
      </c>
      <c r="J11" s="609"/>
      <c r="K11" s="170" t="s">
        <v>57</v>
      </c>
      <c r="L11" s="610">
        <v>1.0</v>
      </c>
      <c r="M11" s="170">
        <v>800.0</v>
      </c>
      <c r="N11" s="137" t="s">
        <v>28</v>
      </c>
      <c r="O11" s="171" t="s">
        <v>29</v>
      </c>
      <c r="P11" s="171" t="s">
        <v>40</v>
      </c>
      <c r="Q11" s="172"/>
      <c r="R11" s="171" t="s">
        <v>73</v>
      </c>
      <c r="S11" s="137" t="s">
        <v>148</v>
      </c>
      <c r="T11" s="611" t="s">
        <v>3767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</row>
    <row r="12">
      <c r="A12" s="12">
        <v>8.0</v>
      </c>
      <c r="B12" s="103" t="s">
        <v>2012</v>
      </c>
      <c r="C12" s="103" t="s">
        <v>2013</v>
      </c>
      <c r="D12" s="103" t="s">
        <v>2014</v>
      </c>
      <c r="E12" s="103" t="s">
        <v>2015</v>
      </c>
      <c r="F12" s="103" t="s">
        <v>2016</v>
      </c>
      <c r="G12" s="103">
        <v>1.0</v>
      </c>
      <c r="H12" s="103" t="s">
        <v>65</v>
      </c>
      <c r="I12" s="174">
        <v>46118.0</v>
      </c>
      <c r="J12" s="104"/>
      <c r="K12" s="197">
        <v>139.0</v>
      </c>
      <c r="L12" s="480">
        <v>12.0</v>
      </c>
      <c r="M12" s="175">
        <f t="shared" ref="M12:M18" si="2">K12*12</f>
        <v>1668</v>
      </c>
      <c r="N12" s="137" t="s">
        <v>28</v>
      </c>
      <c r="O12" s="137" t="s">
        <v>29</v>
      </c>
      <c r="P12" s="137" t="s">
        <v>40</v>
      </c>
      <c r="Q12" s="104"/>
      <c r="R12" s="137" t="s">
        <v>1979</v>
      </c>
      <c r="S12" s="137" t="s">
        <v>148</v>
      </c>
      <c r="T12" s="607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</row>
    <row r="13">
      <c r="A13" s="12">
        <v>9.0</v>
      </c>
      <c r="B13" s="103" t="s">
        <v>2113</v>
      </c>
      <c r="C13" s="103" t="s">
        <v>2114</v>
      </c>
      <c r="D13" s="103" t="s">
        <v>2115</v>
      </c>
      <c r="E13" s="103" t="s">
        <v>2116</v>
      </c>
      <c r="F13" s="500" t="s">
        <v>2117</v>
      </c>
      <c r="G13" s="103">
        <v>10.0</v>
      </c>
      <c r="H13" s="103" t="s">
        <v>65</v>
      </c>
      <c r="I13" s="174">
        <v>46120.0</v>
      </c>
      <c r="J13" s="104"/>
      <c r="K13" s="197">
        <v>193.0</v>
      </c>
      <c r="L13" s="480">
        <v>12.0</v>
      </c>
      <c r="M13" s="175">
        <f t="shared" si="2"/>
        <v>2316</v>
      </c>
      <c r="N13" s="137" t="s">
        <v>28</v>
      </c>
      <c r="O13" s="137" t="s">
        <v>29</v>
      </c>
      <c r="P13" s="137" t="s">
        <v>40</v>
      </c>
      <c r="Q13" s="104"/>
      <c r="R13" s="137" t="s">
        <v>1979</v>
      </c>
      <c r="S13" s="137" t="s">
        <v>148</v>
      </c>
      <c r="T13" s="607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</row>
    <row r="14">
      <c r="A14" s="12">
        <v>10.0</v>
      </c>
      <c r="B14" s="103" t="s">
        <v>2119</v>
      </c>
      <c r="C14" s="103" t="s">
        <v>2120</v>
      </c>
      <c r="D14" s="103" t="s">
        <v>2121</v>
      </c>
      <c r="E14" s="103" t="s">
        <v>2122</v>
      </c>
      <c r="F14" s="500" t="s">
        <v>2123</v>
      </c>
      <c r="G14" s="103">
        <v>50.0</v>
      </c>
      <c r="H14" s="103" t="s">
        <v>65</v>
      </c>
      <c r="I14" s="174">
        <v>46120.0</v>
      </c>
      <c r="J14" s="104"/>
      <c r="K14" s="197">
        <v>750.0</v>
      </c>
      <c r="L14" s="480">
        <v>12.0</v>
      </c>
      <c r="M14" s="175">
        <f t="shared" si="2"/>
        <v>9000</v>
      </c>
      <c r="N14" s="137" t="s">
        <v>28</v>
      </c>
      <c r="O14" s="137" t="s">
        <v>29</v>
      </c>
      <c r="P14" s="137" t="s">
        <v>40</v>
      </c>
      <c r="Q14" s="104"/>
      <c r="R14" s="137" t="s">
        <v>1979</v>
      </c>
      <c r="S14" s="137" t="s">
        <v>148</v>
      </c>
      <c r="T14" s="607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</row>
    <row r="15">
      <c r="A15" s="12">
        <v>11.0</v>
      </c>
      <c r="B15" s="103" t="s">
        <v>2138</v>
      </c>
      <c r="C15" s="414" t="s">
        <v>2139</v>
      </c>
      <c r="D15" s="103" t="s">
        <v>2140</v>
      </c>
      <c r="E15" s="103" t="s">
        <v>2141</v>
      </c>
      <c r="F15" s="103" t="s">
        <v>2142</v>
      </c>
      <c r="G15" s="103">
        <v>74.0</v>
      </c>
      <c r="H15" s="103" t="s">
        <v>65</v>
      </c>
      <c r="I15" s="174">
        <v>46120.0</v>
      </c>
      <c r="J15" s="104"/>
      <c r="K15" s="197">
        <v>917.39</v>
      </c>
      <c r="L15" s="480">
        <v>12.0</v>
      </c>
      <c r="M15" s="175">
        <f t="shared" si="2"/>
        <v>11008.68</v>
      </c>
      <c r="N15" s="137" t="s">
        <v>28</v>
      </c>
      <c r="O15" s="137" t="s">
        <v>29</v>
      </c>
      <c r="P15" s="137" t="s">
        <v>40</v>
      </c>
      <c r="Q15" s="104"/>
      <c r="R15" s="137" t="s">
        <v>73</v>
      </c>
      <c r="S15" s="137" t="s">
        <v>31</v>
      </c>
      <c r="T15" s="612" t="s">
        <v>3768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</row>
    <row r="16">
      <c r="A16" s="12">
        <v>12.0</v>
      </c>
      <c r="B16" s="613" t="s">
        <v>2074</v>
      </c>
      <c r="C16" s="172" t="s">
        <v>2075</v>
      </c>
      <c r="D16" s="172" t="s">
        <v>2819</v>
      </c>
      <c r="E16" s="172" t="s">
        <v>2077</v>
      </c>
      <c r="F16" s="172" t="s">
        <v>2078</v>
      </c>
      <c r="G16" s="172">
        <v>2.0</v>
      </c>
      <c r="H16" s="613" t="s">
        <v>123</v>
      </c>
      <c r="I16" s="609">
        <v>46121.0</v>
      </c>
      <c r="J16" s="609"/>
      <c r="K16" s="170">
        <v>145.0</v>
      </c>
      <c r="L16" s="610">
        <v>12.0</v>
      </c>
      <c r="M16" s="170">
        <f t="shared" si="2"/>
        <v>1740</v>
      </c>
      <c r="N16" s="137" t="s">
        <v>28</v>
      </c>
      <c r="O16" s="172" t="s">
        <v>29</v>
      </c>
      <c r="P16" s="172" t="s">
        <v>40</v>
      </c>
      <c r="Q16" s="172"/>
      <c r="R16" s="172" t="s">
        <v>233</v>
      </c>
      <c r="S16" s="137" t="s">
        <v>110</v>
      </c>
      <c r="T16" s="614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</row>
    <row r="17">
      <c r="A17" s="12">
        <v>13.0</v>
      </c>
      <c r="B17" s="613" t="s">
        <v>2080</v>
      </c>
      <c r="C17" s="172" t="s">
        <v>2081</v>
      </c>
      <c r="D17" s="172" t="s">
        <v>2819</v>
      </c>
      <c r="E17" s="172" t="s">
        <v>2077</v>
      </c>
      <c r="F17" s="172" t="s">
        <v>2078</v>
      </c>
      <c r="G17" s="172">
        <v>1.0</v>
      </c>
      <c r="H17" s="613" t="s">
        <v>123</v>
      </c>
      <c r="I17" s="609">
        <v>46121.0</v>
      </c>
      <c r="J17" s="609"/>
      <c r="K17" s="170">
        <v>139.0</v>
      </c>
      <c r="L17" s="610">
        <v>12.0</v>
      </c>
      <c r="M17" s="170">
        <f t="shared" si="2"/>
        <v>1668</v>
      </c>
      <c r="N17" s="137" t="s">
        <v>28</v>
      </c>
      <c r="O17" s="172" t="s">
        <v>29</v>
      </c>
      <c r="P17" s="172" t="s">
        <v>40</v>
      </c>
      <c r="Q17" s="172"/>
      <c r="R17" s="172" t="s">
        <v>233</v>
      </c>
      <c r="S17" s="172" t="s">
        <v>110</v>
      </c>
      <c r="T17" s="614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</row>
    <row r="18">
      <c r="A18" s="12">
        <v>14.0</v>
      </c>
      <c r="B18" s="613" t="s">
        <v>2082</v>
      </c>
      <c r="C18" s="172" t="s">
        <v>2083</v>
      </c>
      <c r="D18" s="172" t="s">
        <v>2819</v>
      </c>
      <c r="E18" s="172" t="s">
        <v>2077</v>
      </c>
      <c r="F18" s="172" t="s">
        <v>2078</v>
      </c>
      <c r="G18" s="172">
        <v>10.0</v>
      </c>
      <c r="H18" s="613" t="s">
        <v>123</v>
      </c>
      <c r="I18" s="609">
        <v>46121.0</v>
      </c>
      <c r="J18" s="609"/>
      <c r="K18" s="170">
        <v>193.0</v>
      </c>
      <c r="L18" s="610">
        <v>12.0</v>
      </c>
      <c r="M18" s="170">
        <f t="shared" si="2"/>
        <v>2316</v>
      </c>
      <c r="N18" s="137" t="s">
        <v>28</v>
      </c>
      <c r="O18" s="172" t="s">
        <v>29</v>
      </c>
      <c r="P18" s="172" t="s">
        <v>40</v>
      </c>
      <c r="Q18" s="172"/>
      <c r="R18" s="172" t="s">
        <v>233</v>
      </c>
      <c r="S18" s="172" t="s">
        <v>110</v>
      </c>
      <c r="T18" s="614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</row>
    <row r="19">
      <c r="A19" s="12">
        <v>15.0</v>
      </c>
      <c r="B19" s="97" t="s">
        <v>3769</v>
      </c>
      <c r="C19" s="97">
        <v>5.433516000143E12</v>
      </c>
      <c r="D19" s="97" t="s">
        <v>3770</v>
      </c>
      <c r="E19" s="181" t="s">
        <v>1503</v>
      </c>
      <c r="F19" s="97" t="s">
        <v>726</v>
      </c>
      <c r="G19" s="161">
        <v>2.0</v>
      </c>
      <c r="H19" s="545" t="s">
        <v>3771</v>
      </c>
      <c r="I19" s="298">
        <v>46188.0</v>
      </c>
      <c r="J19" s="81"/>
      <c r="K19" s="102" t="s">
        <v>57</v>
      </c>
      <c r="L19" s="479">
        <v>1.0</v>
      </c>
      <c r="M19" s="102">
        <v>500.0</v>
      </c>
      <c r="N19" s="161" t="s">
        <v>28</v>
      </c>
      <c r="O19" s="161" t="s">
        <v>91</v>
      </c>
      <c r="P19" s="161" t="s">
        <v>40</v>
      </c>
      <c r="Q19" s="166"/>
      <c r="R19" s="161" t="s">
        <v>233</v>
      </c>
      <c r="S19" s="161" t="s">
        <v>129</v>
      </c>
      <c r="T19" s="607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</row>
    <row r="20">
      <c r="A20" s="12">
        <v>16.0</v>
      </c>
      <c r="B20" s="103" t="s">
        <v>2240</v>
      </c>
      <c r="C20" s="103" t="s">
        <v>2241</v>
      </c>
      <c r="D20" s="103" t="s">
        <v>2242</v>
      </c>
      <c r="E20" s="103" t="s">
        <v>2243</v>
      </c>
      <c r="F20" s="103" t="s">
        <v>2244</v>
      </c>
      <c r="G20" s="103" t="s">
        <v>26</v>
      </c>
      <c r="H20" s="103" t="s">
        <v>711</v>
      </c>
      <c r="I20" s="174">
        <v>46125.0</v>
      </c>
      <c r="J20" s="104"/>
      <c r="K20" s="138">
        <v>1000.0</v>
      </c>
      <c r="L20" s="610">
        <v>1.0</v>
      </c>
      <c r="M20" s="170">
        <f>K20*1</f>
        <v>1000</v>
      </c>
      <c r="N20" s="137" t="s">
        <v>28</v>
      </c>
      <c r="O20" s="137" t="s">
        <v>29</v>
      </c>
      <c r="P20" s="137" t="s">
        <v>40</v>
      </c>
      <c r="Q20" s="104"/>
      <c r="R20" s="137" t="s">
        <v>73</v>
      </c>
      <c r="S20" s="137" t="s">
        <v>31</v>
      </c>
      <c r="T20" s="612" t="s">
        <v>3772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</row>
    <row r="21">
      <c r="A21" s="12">
        <v>17.0</v>
      </c>
      <c r="B21" s="136" t="s">
        <v>2340</v>
      </c>
      <c r="C21" s="414" t="s">
        <v>2341</v>
      </c>
      <c r="D21" s="103" t="s">
        <v>2342</v>
      </c>
      <c r="E21" s="414" t="s">
        <v>2343</v>
      </c>
      <c r="F21" s="196" t="s">
        <v>3773</v>
      </c>
      <c r="G21" s="103" t="s">
        <v>26</v>
      </c>
      <c r="H21" s="103" t="s">
        <v>711</v>
      </c>
      <c r="I21" s="174">
        <v>46127.0</v>
      </c>
      <c r="J21" s="104"/>
      <c r="K21" s="197" t="s">
        <v>57</v>
      </c>
      <c r="L21" s="480">
        <v>1.0</v>
      </c>
      <c r="M21" s="197">
        <v>1000.0</v>
      </c>
      <c r="N21" s="137" t="s">
        <v>28</v>
      </c>
      <c r="O21" s="137" t="s">
        <v>91</v>
      </c>
      <c r="P21" s="137" t="s">
        <v>40</v>
      </c>
      <c r="Q21" s="104"/>
      <c r="R21" s="137" t="s">
        <v>1979</v>
      </c>
      <c r="S21" s="137" t="s">
        <v>148</v>
      </c>
      <c r="T21" s="607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</row>
    <row r="22">
      <c r="A22" s="12">
        <v>18.0</v>
      </c>
      <c r="B22" s="136" t="s">
        <v>2435</v>
      </c>
      <c r="C22" s="136" t="s">
        <v>640</v>
      </c>
      <c r="D22" s="103" t="s">
        <v>2436</v>
      </c>
      <c r="E22" s="136" t="s">
        <v>2437</v>
      </c>
      <c r="F22" s="500" t="s">
        <v>2438</v>
      </c>
      <c r="G22" s="103" t="s">
        <v>26</v>
      </c>
      <c r="H22" s="103" t="s">
        <v>2439</v>
      </c>
      <c r="I22" s="174">
        <v>46132.0</v>
      </c>
      <c r="J22" s="104"/>
      <c r="K22" s="197" t="s">
        <v>57</v>
      </c>
      <c r="L22" s="480">
        <v>1.0</v>
      </c>
      <c r="M22" s="197">
        <v>2500.0</v>
      </c>
      <c r="N22" s="137" t="s">
        <v>28</v>
      </c>
      <c r="O22" s="137" t="s">
        <v>91</v>
      </c>
      <c r="P22" s="137" t="s">
        <v>40</v>
      </c>
      <c r="Q22" s="104"/>
      <c r="R22" s="137" t="s">
        <v>73</v>
      </c>
      <c r="S22" s="137" t="s">
        <v>148</v>
      </c>
      <c r="T22" s="615" t="s">
        <v>3774</v>
      </c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</row>
    <row r="23">
      <c r="A23" s="12">
        <v>19.0</v>
      </c>
      <c r="B23" s="136" t="s">
        <v>2448</v>
      </c>
      <c r="C23" s="136" t="s">
        <v>2449</v>
      </c>
      <c r="D23" s="103" t="s">
        <v>2450</v>
      </c>
      <c r="E23" s="103" t="s">
        <v>2451</v>
      </c>
      <c r="F23" s="500" t="s">
        <v>2452</v>
      </c>
      <c r="G23" s="103">
        <v>9.0</v>
      </c>
      <c r="H23" s="103" t="s">
        <v>39</v>
      </c>
      <c r="I23" s="174">
        <v>46132.0</v>
      </c>
      <c r="J23" s="104"/>
      <c r="K23" s="197">
        <v>187.0</v>
      </c>
      <c r="L23" s="480">
        <v>12.0</v>
      </c>
      <c r="M23" s="175">
        <f t="shared" ref="M23:M26" si="3">K23*12</f>
        <v>2244</v>
      </c>
      <c r="N23" s="137" t="s">
        <v>28</v>
      </c>
      <c r="O23" s="137" t="s">
        <v>29</v>
      </c>
      <c r="P23" s="137" t="s">
        <v>40</v>
      </c>
      <c r="Q23" s="104"/>
      <c r="R23" s="137" t="s">
        <v>73</v>
      </c>
      <c r="S23" s="137" t="s">
        <v>148</v>
      </c>
      <c r="T23" s="607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</row>
    <row r="24">
      <c r="A24" s="12">
        <v>20.0</v>
      </c>
      <c r="B24" s="103" t="s">
        <v>2453</v>
      </c>
      <c r="C24" s="103" t="s">
        <v>2454</v>
      </c>
      <c r="D24" s="103" t="s">
        <v>2455</v>
      </c>
      <c r="E24" s="103" t="s">
        <v>2456</v>
      </c>
      <c r="F24" s="616" t="s">
        <v>2457</v>
      </c>
      <c r="G24" s="103">
        <v>15.0</v>
      </c>
      <c r="H24" s="103" t="s">
        <v>65</v>
      </c>
      <c r="I24" s="174">
        <v>46132.0</v>
      </c>
      <c r="J24" s="104"/>
      <c r="K24" s="197">
        <v>252.0</v>
      </c>
      <c r="L24" s="480">
        <v>12.0</v>
      </c>
      <c r="M24" s="175">
        <f t="shared" si="3"/>
        <v>3024</v>
      </c>
      <c r="N24" s="137" t="s">
        <v>28</v>
      </c>
      <c r="O24" s="137" t="s">
        <v>29</v>
      </c>
      <c r="P24" s="137" t="s">
        <v>40</v>
      </c>
      <c r="Q24" s="104"/>
      <c r="R24" s="137" t="s">
        <v>73</v>
      </c>
      <c r="S24" s="137" t="s">
        <v>31</v>
      </c>
      <c r="T24" s="612" t="s">
        <v>3775</v>
      </c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</row>
    <row r="25">
      <c r="A25" s="12">
        <v>21.0</v>
      </c>
      <c r="B25" s="136" t="s">
        <v>2458</v>
      </c>
      <c r="C25" s="136" t="s">
        <v>2459</v>
      </c>
      <c r="D25" s="103" t="s">
        <v>2460</v>
      </c>
      <c r="E25" s="103" t="s">
        <v>2461</v>
      </c>
      <c r="F25" s="103" t="s">
        <v>2462</v>
      </c>
      <c r="G25" s="103">
        <v>5.0</v>
      </c>
      <c r="H25" s="103" t="s">
        <v>39</v>
      </c>
      <c r="I25" s="174">
        <v>46132.0</v>
      </c>
      <c r="J25" s="104"/>
      <c r="K25" s="197">
        <v>163.0</v>
      </c>
      <c r="L25" s="480">
        <v>12.0</v>
      </c>
      <c r="M25" s="175">
        <f t="shared" si="3"/>
        <v>1956</v>
      </c>
      <c r="N25" s="137" t="s">
        <v>28</v>
      </c>
      <c r="O25" s="137" t="s">
        <v>29</v>
      </c>
      <c r="P25" s="137" t="s">
        <v>40</v>
      </c>
      <c r="Q25" s="104"/>
      <c r="R25" s="137" t="s">
        <v>98</v>
      </c>
      <c r="S25" s="137" t="s">
        <v>148</v>
      </c>
      <c r="T25" s="607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</row>
    <row r="26">
      <c r="A26" s="12">
        <v>22.0</v>
      </c>
      <c r="B26" s="103" t="s">
        <v>2547</v>
      </c>
      <c r="C26" s="103" t="s">
        <v>2548</v>
      </c>
      <c r="D26" s="103" t="s">
        <v>2549</v>
      </c>
      <c r="E26" s="103" t="s">
        <v>2550</v>
      </c>
      <c r="F26" s="103" t="s">
        <v>2551</v>
      </c>
      <c r="G26" s="103">
        <v>2.0</v>
      </c>
      <c r="H26" s="103" t="s">
        <v>65</v>
      </c>
      <c r="I26" s="174">
        <v>46136.0</v>
      </c>
      <c r="J26" s="104"/>
      <c r="K26" s="197">
        <v>145.0</v>
      </c>
      <c r="L26" s="480">
        <v>12.0</v>
      </c>
      <c r="M26" s="617">
        <f t="shared" si="3"/>
        <v>1740</v>
      </c>
      <c r="N26" s="406" t="s">
        <v>28</v>
      </c>
      <c r="O26" s="137" t="s">
        <v>29</v>
      </c>
      <c r="P26" s="137" t="s">
        <v>40</v>
      </c>
      <c r="Q26" s="104"/>
      <c r="R26" s="137" t="s">
        <v>73</v>
      </c>
      <c r="S26" s="172" t="s">
        <v>31</v>
      </c>
      <c r="T26" s="612" t="s">
        <v>3776</v>
      </c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</row>
    <row r="27">
      <c r="A27" s="12">
        <v>23.0</v>
      </c>
      <c r="B27" s="172" t="s">
        <v>3628</v>
      </c>
      <c r="C27" s="137" t="s">
        <v>3629</v>
      </c>
      <c r="D27" s="172" t="s">
        <v>3630</v>
      </c>
      <c r="E27" s="172">
        <v>1.1925103476E10</v>
      </c>
      <c r="F27" s="618" t="s">
        <v>3777</v>
      </c>
      <c r="G27" s="137">
        <v>1.0</v>
      </c>
      <c r="H27" s="103" t="s">
        <v>711</v>
      </c>
      <c r="I27" s="619">
        <v>46168.0</v>
      </c>
      <c r="J27" s="609"/>
      <c r="K27" s="138" t="s">
        <v>1268</v>
      </c>
      <c r="L27" s="620">
        <v>1.0</v>
      </c>
      <c r="M27" s="138">
        <v>700.0</v>
      </c>
      <c r="N27" s="137" t="s">
        <v>28</v>
      </c>
      <c r="O27" s="137" t="s">
        <v>29</v>
      </c>
      <c r="P27" s="137" t="s">
        <v>40</v>
      </c>
      <c r="Q27" s="172"/>
      <c r="R27" s="137" t="s">
        <v>233</v>
      </c>
      <c r="S27" s="137" t="s">
        <v>129</v>
      </c>
      <c r="T27" s="62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</row>
    <row r="28">
      <c r="A28" s="12">
        <v>24.0</v>
      </c>
      <c r="B28" s="481" t="s">
        <v>3778</v>
      </c>
      <c r="C28" s="481" t="s">
        <v>3779</v>
      </c>
      <c r="D28" s="481" t="s">
        <v>3780</v>
      </c>
      <c r="E28" s="481">
        <v>1.1984239257E10</v>
      </c>
      <c r="F28" s="622" t="s">
        <v>3781</v>
      </c>
      <c r="G28" s="481">
        <v>4.0</v>
      </c>
      <c r="H28" s="97" t="s">
        <v>2816</v>
      </c>
      <c r="I28" s="623">
        <v>46171.0</v>
      </c>
      <c r="J28" s="623">
        <v>46174.0</v>
      </c>
      <c r="K28" s="164">
        <v>166.67</v>
      </c>
      <c r="L28" s="624">
        <v>12.0</v>
      </c>
      <c r="M28" s="165">
        <f t="shared" ref="M28:M31" si="4">K28*12</f>
        <v>2000.04</v>
      </c>
      <c r="N28" s="481" t="s">
        <v>71</v>
      </c>
      <c r="O28" s="481" t="s">
        <v>91</v>
      </c>
      <c r="P28" s="481" t="s">
        <v>72</v>
      </c>
      <c r="Q28" s="481">
        <v>3185.0</v>
      </c>
      <c r="R28" s="481" t="s">
        <v>233</v>
      </c>
      <c r="S28" s="481" t="s">
        <v>110</v>
      </c>
      <c r="T28" s="625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</row>
    <row r="29">
      <c r="A29" s="12">
        <v>25.0</v>
      </c>
      <c r="B29" s="103" t="s">
        <v>2552</v>
      </c>
      <c r="C29" s="103" t="s">
        <v>2553</v>
      </c>
      <c r="D29" s="103" t="s">
        <v>2554</v>
      </c>
      <c r="E29" s="103" t="s">
        <v>2555</v>
      </c>
      <c r="F29" s="103" t="s">
        <v>2556</v>
      </c>
      <c r="G29" s="103">
        <v>6.0</v>
      </c>
      <c r="H29" s="103" t="s">
        <v>65</v>
      </c>
      <c r="I29" s="174">
        <v>46142.0</v>
      </c>
      <c r="J29" s="104"/>
      <c r="K29" s="197">
        <v>154.8</v>
      </c>
      <c r="L29" s="480">
        <v>12.0</v>
      </c>
      <c r="M29" s="617">
        <f t="shared" si="4"/>
        <v>1857.6</v>
      </c>
      <c r="N29" s="406" t="s">
        <v>28</v>
      </c>
      <c r="O29" s="137" t="s">
        <v>29</v>
      </c>
      <c r="P29" s="137" t="s">
        <v>40</v>
      </c>
      <c r="Q29" s="104"/>
      <c r="R29" s="137" t="s">
        <v>233</v>
      </c>
      <c r="S29" s="172" t="s">
        <v>31</v>
      </c>
      <c r="T29" s="612" t="s">
        <v>3782</v>
      </c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</row>
    <row r="30">
      <c r="A30" s="12">
        <v>26.0</v>
      </c>
      <c r="B30" s="136" t="s">
        <v>2838</v>
      </c>
      <c r="C30" s="136" t="s">
        <v>2839</v>
      </c>
      <c r="D30" s="103" t="s">
        <v>2840</v>
      </c>
      <c r="E30" s="414" t="s">
        <v>2841</v>
      </c>
      <c r="F30" s="196" t="s">
        <v>3783</v>
      </c>
      <c r="G30" s="103">
        <v>20.0</v>
      </c>
      <c r="H30" s="103" t="s">
        <v>2816</v>
      </c>
      <c r="I30" s="174">
        <v>46146.0</v>
      </c>
      <c r="J30" s="104"/>
      <c r="K30" s="197">
        <v>283.81</v>
      </c>
      <c r="L30" s="480">
        <v>12.0</v>
      </c>
      <c r="M30" s="175">
        <f t="shared" si="4"/>
        <v>3405.72</v>
      </c>
      <c r="N30" s="406" t="s">
        <v>28</v>
      </c>
      <c r="O30" s="406" t="s">
        <v>29</v>
      </c>
      <c r="P30" s="406" t="s">
        <v>40</v>
      </c>
      <c r="Q30" s="104"/>
      <c r="R30" s="406" t="s">
        <v>73</v>
      </c>
      <c r="S30" s="406" t="s">
        <v>148</v>
      </c>
      <c r="T30" s="626" t="s">
        <v>2843</v>
      </c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</row>
    <row r="31">
      <c r="A31" s="12">
        <v>27.0</v>
      </c>
      <c r="B31" s="103" t="s">
        <v>2881</v>
      </c>
      <c r="C31" s="136" t="s">
        <v>2882</v>
      </c>
      <c r="D31" s="103" t="s">
        <v>2883</v>
      </c>
      <c r="E31" s="103" t="s">
        <v>2884</v>
      </c>
      <c r="F31" s="103" t="s">
        <v>2885</v>
      </c>
      <c r="G31" s="103">
        <v>20.0</v>
      </c>
      <c r="H31" s="103" t="s">
        <v>2816</v>
      </c>
      <c r="I31" s="174">
        <v>46147.0</v>
      </c>
      <c r="J31" s="104"/>
      <c r="K31" s="197">
        <v>253.0</v>
      </c>
      <c r="L31" s="103">
        <v>12.0</v>
      </c>
      <c r="M31" s="175">
        <f t="shared" si="4"/>
        <v>3036</v>
      </c>
      <c r="N31" s="406" t="s">
        <v>28</v>
      </c>
      <c r="O31" s="406" t="s">
        <v>29</v>
      </c>
      <c r="P31" s="406" t="s">
        <v>40</v>
      </c>
      <c r="Q31" s="104"/>
      <c r="R31" s="406" t="s">
        <v>41</v>
      </c>
      <c r="S31" s="406" t="s">
        <v>148</v>
      </c>
      <c r="T31" s="607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</row>
    <row r="32">
      <c r="A32" s="12">
        <v>28.0</v>
      </c>
      <c r="B32" s="103" t="s">
        <v>3418</v>
      </c>
      <c r="C32" s="172" t="s">
        <v>3419</v>
      </c>
      <c r="D32" s="172" t="s">
        <v>3420</v>
      </c>
      <c r="E32" s="172" t="s">
        <v>3421</v>
      </c>
      <c r="F32" s="103" t="s">
        <v>3422</v>
      </c>
      <c r="G32" s="103">
        <v>6.0</v>
      </c>
      <c r="H32" s="103" t="s">
        <v>711</v>
      </c>
      <c r="I32" s="174">
        <v>46163.0</v>
      </c>
      <c r="J32" s="104"/>
      <c r="K32" s="197" t="s">
        <v>1268</v>
      </c>
      <c r="L32" s="480">
        <v>1.0</v>
      </c>
      <c r="M32" s="197">
        <v>800.0</v>
      </c>
      <c r="N32" s="406" t="s">
        <v>28</v>
      </c>
      <c r="O32" s="137" t="s">
        <v>91</v>
      </c>
      <c r="P32" s="406" t="s">
        <v>40</v>
      </c>
      <c r="Q32" s="103"/>
      <c r="R32" s="406" t="s">
        <v>73</v>
      </c>
      <c r="S32" s="406" t="s">
        <v>129</v>
      </c>
      <c r="T32" s="607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</row>
    <row r="33">
      <c r="A33" s="12">
        <v>29.0</v>
      </c>
      <c r="B33" s="103" t="s">
        <v>3433</v>
      </c>
      <c r="C33" s="136">
        <v>2.4670533000149E13</v>
      </c>
      <c r="D33" s="103" t="s">
        <v>3434</v>
      </c>
      <c r="E33" s="103">
        <v>1.1913655461E10</v>
      </c>
      <c r="F33" s="103" t="s">
        <v>3435</v>
      </c>
      <c r="G33" s="103">
        <v>5.0</v>
      </c>
      <c r="H33" s="103" t="s">
        <v>711</v>
      </c>
      <c r="I33" s="174">
        <v>46163.0</v>
      </c>
      <c r="J33" s="104"/>
      <c r="K33" s="197" t="s">
        <v>57</v>
      </c>
      <c r="L33" s="480">
        <v>1.0</v>
      </c>
      <c r="M33" s="197">
        <v>900.0</v>
      </c>
      <c r="N33" s="406" t="s">
        <v>28</v>
      </c>
      <c r="O33" s="137" t="s">
        <v>91</v>
      </c>
      <c r="P33" s="406" t="s">
        <v>40</v>
      </c>
      <c r="Q33" s="103"/>
      <c r="R33" s="406" t="s">
        <v>233</v>
      </c>
      <c r="S33" s="406" t="s">
        <v>129</v>
      </c>
      <c r="T33" s="607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</row>
    <row r="34">
      <c r="A34" s="12">
        <v>30.0</v>
      </c>
      <c r="B34" s="172" t="s">
        <v>2574</v>
      </c>
      <c r="C34" s="172" t="s">
        <v>2575</v>
      </c>
      <c r="D34" s="172" t="s">
        <v>2576</v>
      </c>
      <c r="E34" s="172" t="s">
        <v>2920</v>
      </c>
      <c r="F34" s="172" t="s">
        <v>2577</v>
      </c>
      <c r="G34" s="172">
        <v>15.0</v>
      </c>
      <c r="H34" s="613" t="s">
        <v>2578</v>
      </c>
      <c r="I34" s="609">
        <v>46139.0</v>
      </c>
      <c r="J34" s="609"/>
      <c r="K34" s="170">
        <v>560.55</v>
      </c>
      <c r="L34" s="610">
        <v>12.0</v>
      </c>
      <c r="M34" s="170">
        <f>K34*12</f>
        <v>6726.6</v>
      </c>
      <c r="N34" s="137" t="s">
        <v>28</v>
      </c>
      <c r="O34" s="171" t="s">
        <v>29</v>
      </c>
      <c r="P34" s="171" t="s">
        <v>40</v>
      </c>
      <c r="Q34" s="171"/>
      <c r="R34" s="171" t="s">
        <v>233</v>
      </c>
      <c r="S34" s="171" t="s">
        <v>110</v>
      </c>
      <c r="T34" s="627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</row>
    <row r="35">
      <c r="A35" s="12">
        <v>31.0</v>
      </c>
      <c r="B35" s="103" t="s">
        <v>224</v>
      </c>
      <c r="C35" s="103" t="s">
        <v>225</v>
      </c>
      <c r="D35" s="103" t="s">
        <v>2932</v>
      </c>
      <c r="E35" s="103" t="s">
        <v>2933</v>
      </c>
      <c r="F35" s="103" t="s">
        <v>2934</v>
      </c>
      <c r="G35" s="103">
        <v>3.0</v>
      </c>
      <c r="H35" s="103" t="s">
        <v>2935</v>
      </c>
      <c r="I35" s="609">
        <v>46147.0</v>
      </c>
      <c r="J35" s="104"/>
      <c r="K35" s="138">
        <v>1800.0</v>
      </c>
      <c r="L35" s="480">
        <v>1.0</v>
      </c>
      <c r="M35" s="170">
        <f>K35*1</f>
        <v>1800</v>
      </c>
      <c r="N35" s="406" t="s">
        <v>28</v>
      </c>
      <c r="O35" s="406" t="s">
        <v>91</v>
      </c>
      <c r="P35" s="406" t="s">
        <v>40</v>
      </c>
      <c r="Q35" s="104"/>
      <c r="R35" s="406" t="s">
        <v>233</v>
      </c>
      <c r="S35" s="406" t="s">
        <v>31</v>
      </c>
      <c r="T35" s="612" t="s">
        <v>3784</v>
      </c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</row>
    <row r="36">
      <c r="A36" s="12">
        <v>32.0</v>
      </c>
      <c r="B36" s="136" t="s">
        <v>2937</v>
      </c>
      <c r="C36" s="136" t="s">
        <v>2938</v>
      </c>
      <c r="D36" s="136" t="s">
        <v>2939</v>
      </c>
      <c r="E36" s="136" t="s">
        <v>2940</v>
      </c>
      <c r="F36" s="136" t="s">
        <v>2941</v>
      </c>
      <c r="G36" s="136">
        <v>4.0</v>
      </c>
      <c r="H36" s="406" t="s">
        <v>65</v>
      </c>
      <c r="I36" s="408">
        <v>46149.0</v>
      </c>
      <c r="J36" s="628"/>
      <c r="K36" s="629">
        <v>160.0</v>
      </c>
      <c r="L36" s="630">
        <v>12.0</v>
      </c>
      <c r="M36" s="631">
        <f>K36*12</f>
        <v>1920</v>
      </c>
      <c r="N36" s="406" t="s">
        <v>28</v>
      </c>
      <c r="O36" s="406" t="s">
        <v>29</v>
      </c>
      <c r="P36" s="406" t="s">
        <v>40</v>
      </c>
      <c r="Q36" s="628"/>
      <c r="R36" s="406" t="s">
        <v>73</v>
      </c>
      <c r="S36" s="406" t="s">
        <v>31</v>
      </c>
      <c r="T36" s="632" t="s">
        <v>3785</v>
      </c>
      <c r="U36" s="633"/>
      <c r="V36" s="633"/>
      <c r="W36" s="633"/>
      <c r="X36" s="633"/>
      <c r="Y36" s="633"/>
      <c r="Z36" s="633"/>
      <c r="AA36" s="633"/>
      <c r="AB36" s="633"/>
      <c r="AC36" s="633"/>
      <c r="AD36" s="633"/>
      <c r="AE36" s="633"/>
      <c r="AF36" s="633"/>
      <c r="AG36" s="633"/>
      <c r="AH36" s="633"/>
      <c r="AI36" s="633"/>
      <c r="AJ36" s="633"/>
      <c r="AK36" s="633"/>
    </row>
    <row r="37">
      <c r="A37" s="12">
        <v>33.0</v>
      </c>
      <c r="B37" s="103" t="s">
        <v>2950</v>
      </c>
      <c r="C37" s="103" t="s">
        <v>2951</v>
      </c>
      <c r="D37" s="103" t="s">
        <v>2952</v>
      </c>
      <c r="E37" s="103" t="s">
        <v>2953</v>
      </c>
      <c r="F37" s="616" t="s">
        <v>2954</v>
      </c>
      <c r="G37" s="103">
        <v>1.0</v>
      </c>
      <c r="H37" s="103" t="s">
        <v>2955</v>
      </c>
      <c r="I37" s="174">
        <v>46149.0</v>
      </c>
      <c r="J37" s="104"/>
      <c r="K37" s="138">
        <v>1800.0</v>
      </c>
      <c r="L37" s="480">
        <v>1.0</v>
      </c>
      <c r="M37" s="170">
        <f>K37*1</f>
        <v>1800</v>
      </c>
      <c r="N37" s="406" t="s">
        <v>28</v>
      </c>
      <c r="O37" s="406" t="s">
        <v>91</v>
      </c>
      <c r="P37" s="406" t="s">
        <v>40</v>
      </c>
      <c r="Q37" s="104"/>
      <c r="R37" s="406" t="s">
        <v>73</v>
      </c>
      <c r="S37" s="406" t="s">
        <v>31</v>
      </c>
      <c r="T37" s="611" t="s">
        <v>3786</v>
      </c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</row>
    <row r="38">
      <c r="A38" s="12">
        <v>34.0</v>
      </c>
      <c r="B38" s="172" t="s">
        <v>3015</v>
      </c>
      <c r="C38" s="172" t="s">
        <v>3016</v>
      </c>
      <c r="D38" s="172" t="s">
        <v>3017</v>
      </c>
      <c r="E38" s="172" t="s">
        <v>3018</v>
      </c>
      <c r="F38" s="172" t="s">
        <v>3019</v>
      </c>
      <c r="G38" s="172">
        <v>2.0</v>
      </c>
      <c r="H38" s="172" t="s">
        <v>65</v>
      </c>
      <c r="I38" s="609">
        <v>46140.0</v>
      </c>
      <c r="J38" s="169"/>
      <c r="K38" s="170">
        <v>167.0</v>
      </c>
      <c r="L38" s="634">
        <v>12.0</v>
      </c>
      <c r="M38" s="631">
        <f t="shared" ref="M38:M39" si="5">K38*12</f>
        <v>2004</v>
      </c>
      <c r="N38" s="137" t="s">
        <v>28</v>
      </c>
      <c r="O38" s="171" t="s">
        <v>29</v>
      </c>
      <c r="P38" s="171" t="s">
        <v>40</v>
      </c>
      <c r="Q38" s="171"/>
      <c r="R38" s="171" t="s">
        <v>73</v>
      </c>
      <c r="S38" s="171" t="s">
        <v>31</v>
      </c>
      <c r="T38" s="635" t="s">
        <v>3787</v>
      </c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>
      <c r="A39" s="12">
        <v>35.0</v>
      </c>
      <c r="B39" s="481" t="s">
        <v>3788</v>
      </c>
      <c r="C39" s="481" t="s">
        <v>3789</v>
      </c>
      <c r="D39" s="481" t="s">
        <v>3780</v>
      </c>
      <c r="E39" s="481">
        <v>1.1984239257E10</v>
      </c>
      <c r="F39" s="622" t="s">
        <v>3781</v>
      </c>
      <c r="G39" s="166">
        <v>20.0</v>
      </c>
      <c r="H39" s="97" t="s">
        <v>2816</v>
      </c>
      <c r="I39" s="623" t="s">
        <v>3790</v>
      </c>
      <c r="J39" s="623">
        <v>46174.0</v>
      </c>
      <c r="K39" s="164">
        <v>833.338</v>
      </c>
      <c r="L39" s="624">
        <v>12.0</v>
      </c>
      <c r="M39" s="164">
        <f t="shared" si="5"/>
        <v>10000.056</v>
      </c>
      <c r="N39" s="481" t="s">
        <v>71</v>
      </c>
      <c r="O39" s="481" t="s">
        <v>91</v>
      </c>
      <c r="P39" s="481" t="s">
        <v>72</v>
      </c>
      <c r="Q39" s="166">
        <v>3187.0</v>
      </c>
      <c r="R39" s="481" t="s">
        <v>233</v>
      </c>
      <c r="S39" s="481" t="s">
        <v>110</v>
      </c>
      <c r="T39" s="625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</row>
    <row r="40">
      <c r="A40" s="12">
        <v>36.0</v>
      </c>
      <c r="B40" s="481" t="s">
        <v>3791</v>
      </c>
      <c r="C40" s="481" t="s">
        <v>3792</v>
      </c>
      <c r="D40" s="481" t="s">
        <v>3793</v>
      </c>
      <c r="E40" s="481">
        <v>1.128796767E9</v>
      </c>
      <c r="F40" s="636" t="s">
        <v>3794</v>
      </c>
      <c r="G40" s="481">
        <v>41.0</v>
      </c>
      <c r="H40" s="97" t="s">
        <v>2816</v>
      </c>
      <c r="I40" s="623">
        <v>46176.0</v>
      </c>
      <c r="J40" s="623">
        <v>46176.0</v>
      </c>
      <c r="K40" s="165">
        <v>2375.0</v>
      </c>
      <c r="L40" s="624">
        <v>4.0</v>
      </c>
      <c r="M40" s="165">
        <f>K40*4</f>
        <v>9500</v>
      </c>
      <c r="N40" s="481" t="s">
        <v>71</v>
      </c>
      <c r="O40" s="481" t="s">
        <v>91</v>
      </c>
      <c r="P40" s="481" t="s">
        <v>72</v>
      </c>
      <c r="Q40" s="545">
        <v>3197.0</v>
      </c>
      <c r="R40" s="481" t="s">
        <v>233</v>
      </c>
      <c r="S40" s="481" t="s">
        <v>110</v>
      </c>
      <c r="T40" s="637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</row>
    <row r="41">
      <c r="A41" s="12">
        <v>37.0</v>
      </c>
      <c r="B41" s="103" t="s">
        <v>3081</v>
      </c>
      <c r="C41" s="103" t="s">
        <v>3082</v>
      </c>
      <c r="D41" s="103" t="s">
        <v>3083</v>
      </c>
      <c r="E41" s="103" t="s">
        <v>3084</v>
      </c>
      <c r="F41" s="103" t="s">
        <v>3085</v>
      </c>
      <c r="G41" s="103">
        <v>7.0</v>
      </c>
      <c r="H41" s="172" t="s">
        <v>65</v>
      </c>
      <c r="I41" s="174">
        <v>46156.0</v>
      </c>
      <c r="J41" s="104"/>
      <c r="K41" s="138">
        <v>180.0</v>
      </c>
      <c r="L41" s="634">
        <v>12.0</v>
      </c>
      <c r="M41" s="631">
        <f t="shared" ref="M41:M42" si="6">K41*12</f>
        <v>2160</v>
      </c>
      <c r="N41" s="406" t="s">
        <v>58</v>
      </c>
      <c r="O41" s="137" t="s">
        <v>29</v>
      </c>
      <c r="P41" s="406" t="s">
        <v>40</v>
      </c>
      <c r="Q41" s="103"/>
      <c r="R41" s="406" t="s">
        <v>73</v>
      </c>
      <c r="S41" s="406" t="s">
        <v>31</v>
      </c>
      <c r="T41" s="626" t="s">
        <v>3795</v>
      </c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</row>
    <row r="42">
      <c r="A42" s="12">
        <v>38.0</v>
      </c>
      <c r="B42" s="342" t="s">
        <v>3796</v>
      </c>
      <c r="C42" s="342" t="s">
        <v>3797</v>
      </c>
      <c r="D42" s="103" t="s">
        <v>3798</v>
      </c>
      <c r="E42" s="638" t="s">
        <v>3799</v>
      </c>
      <c r="F42" s="639" t="s">
        <v>3800</v>
      </c>
      <c r="G42" s="103">
        <v>1.0</v>
      </c>
      <c r="H42" s="103" t="s">
        <v>3744</v>
      </c>
      <c r="I42" s="174">
        <v>46182.0</v>
      </c>
      <c r="J42" s="174">
        <v>46182.0</v>
      </c>
      <c r="K42" s="197">
        <v>139.0</v>
      </c>
      <c r="L42" s="480">
        <v>12.0</v>
      </c>
      <c r="M42" s="197">
        <f t="shared" si="6"/>
        <v>1668</v>
      </c>
      <c r="N42" s="185" t="s">
        <v>71</v>
      </c>
      <c r="O42" s="185" t="s">
        <v>29</v>
      </c>
      <c r="P42" s="185" t="s">
        <v>72</v>
      </c>
      <c r="Q42" s="136">
        <v>3217.0</v>
      </c>
      <c r="R42" s="185" t="s">
        <v>73</v>
      </c>
      <c r="S42" s="185" t="s">
        <v>110</v>
      </c>
      <c r="T42" s="640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</row>
    <row r="43">
      <c r="A43" s="12">
        <v>39.0</v>
      </c>
      <c r="B43" s="641" t="s">
        <v>3801</v>
      </c>
      <c r="C43" s="544" t="s">
        <v>3802</v>
      </c>
      <c r="D43" s="641" t="s">
        <v>3803</v>
      </c>
      <c r="E43" s="544">
        <v>1.19868181E10</v>
      </c>
      <c r="F43" s="565" t="s">
        <v>3804</v>
      </c>
      <c r="G43" s="641">
        <v>7.0</v>
      </c>
      <c r="H43" s="641" t="s">
        <v>3805</v>
      </c>
      <c r="I43" s="642">
        <v>46183.0</v>
      </c>
      <c r="J43" s="642">
        <v>46183.0</v>
      </c>
      <c r="K43" s="643">
        <v>250.0</v>
      </c>
      <c r="L43" s="644">
        <v>4.0</v>
      </c>
      <c r="M43" s="643">
        <f t="shared" ref="M43:M44" si="7">K43*4</f>
        <v>1000</v>
      </c>
      <c r="N43" s="641" t="s">
        <v>71</v>
      </c>
      <c r="O43" s="641" t="s">
        <v>29</v>
      </c>
      <c r="P43" s="641" t="s">
        <v>72</v>
      </c>
      <c r="Q43" s="641">
        <v>3220.0</v>
      </c>
      <c r="R43" s="641" t="s">
        <v>233</v>
      </c>
      <c r="S43" s="641" t="s">
        <v>110</v>
      </c>
      <c r="T43" s="645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6"/>
    </row>
    <row r="44">
      <c r="A44" s="12">
        <v>40.0</v>
      </c>
      <c r="B44" s="342" t="s">
        <v>3806</v>
      </c>
      <c r="C44" s="342" t="s">
        <v>3807</v>
      </c>
      <c r="D44" s="136" t="s">
        <v>3808</v>
      </c>
      <c r="E44" s="359" t="s">
        <v>3809</v>
      </c>
      <c r="F44" s="136" t="s">
        <v>3810</v>
      </c>
      <c r="G44" s="136">
        <v>35.0</v>
      </c>
      <c r="H44" s="136" t="s">
        <v>711</v>
      </c>
      <c r="I44" s="408">
        <v>46171.0</v>
      </c>
      <c r="J44" s="408">
        <v>46181.0</v>
      </c>
      <c r="K44" s="409">
        <v>250.0</v>
      </c>
      <c r="L44" s="630">
        <v>4.0</v>
      </c>
      <c r="M44" s="410">
        <f t="shared" si="7"/>
        <v>1000</v>
      </c>
      <c r="N44" s="353" t="s">
        <v>71</v>
      </c>
      <c r="O44" s="353" t="s">
        <v>91</v>
      </c>
      <c r="P44" s="353" t="s">
        <v>72</v>
      </c>
      <c r="Q44" s="136">
        <v>3221.0</v>
      </c>
      <c r="R44" s="353" t="s">
        <v>233</v>
      </c>
      <c r="S44" s="406" t="s">
        <v>110</v>
      </c>
      <c r="T44" s="646"/>
      <c r="U44" s="356"/>
      <c r="V44" s="356"/>
      <c r="W44" s="356"/>
      <c r="X44" s="356"/>
      <c r="Y44" s="356"/>
      <c r="Z44" s="356"/>
      <c r="AA44" s="356"/>
      <c r="AB44" s="356"/>
      <c r="AC44" s="356"/>
      <c r="AD44" s="356"/>
      <c r="AE44" s="356"/>
      <c r="AF44" s="356"/>
      <c r="AG44" s="356"/>
      <c r="AH44" s="356"/>
      <c r="AI44" s="356"/>
      <c r="AJ44" s="356"/>
      <c r="AK44" s="356"/>
    </row>
    <row r="45">
      <c r="A45" s="12">
        <v>41.0</v>
      </c>
      <c r="B45" s="161" t="s">
        <v>3811</v>
      </c>
      <c r="C45" s="166" t="s">
        <v>3812</v>
      </c>
      <c r="D45" s="481" t="s">
        <v>3813</v>
      </c>
      <c r="E45" s="166">
        <v>1.1980646962E10</v>
      </c>
      <c r="F45" s="475" t="s">
        <v>3814</v>
      </c>
      <c r="G45" s="481">
        <v>5.0</v>
      </c>
      <c r="H45" s="481" t="s">
        <v>3744</v>
      </c>
      <c r="I45" s="623">
        <v>46183.0</v>
      </c>
      <c r="J45" s="623">
        <v>46183.0</v>
      </c>
      <c r="K45" s="165">
        <v>150.0</v>
      </c>
      <c r="L45" s="624">
        <v>12.0</v>
      </c>
      <c r="M45" s="165">
        <f t="shared" ref="M45:M47" si="8">K45*12</f>
        <v>1800</v>
      </c>
      <c r="N45" s="481" t="s">
        <v>71</v>
      </c>
      <c r="O45" s="481" t="s">
        <v>29</v>
      </c>
      <c r="P45" s="481" t="s">
        <v>72</v>
      </c>
      <c r="Q45" s="641">
        <v>3225.0</v>
      </c>
      <c r="R45" s="481" t="s">
        <v>233</v>
      </c>
      <c r="S45" s="481" t="s">
        <v>110</v>
      </c>
      <c r="T45" s="647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</row>
    <row r="46" ht="13.5" customHeight="1">
      <c r="A46" s="12">
        <v>42.0</v>
      </c>
      <c r="B46" s="481" t="s">
        <v>3815</v>
      </c>
      <c r="C46" s="166" t="s">
        <v>3816</v>
      </c>
      <c r="D46" s="481" t="s">
        <v>3817</v>
      </c>
      <c r="E46" s="166">
        <v>1.1981866222E10</v>
      </c>
      <c r="F46" s="551" t="s">
        <v>3818</v>
      </c>
      <c r="G46" s="481">
        <v>10.0</v>
      </c>
      <c r="H46" s="481" t="s">
        <v>3744</v>
      </c>
      <c r="I46" s="623">
        <v>46183.0</v>
      </c>
      <c r="J46" s="623">
        <v>46183.0</v>
      </c>
      <c r="K46" s="165">
        <v>193.0</v>
      </c>
      <c r="L46" s="624">
        <v>12.0</v>
      </c>
      <c r="M46" s="165">
        <f t="shared" si="8"/>
        <v>2316</v>
      </c>
      <c r="N46" s="481" t="s">
        <v>71</v>
      </c>
      <c r="O46" s="481" t="s">
        <v>29</v>
      </c>
      <c r="P46" s="481" t="s">
        <v>72</v>
      </c>
      <c r="Q46" s="641">
        <v>3226.0</v>
      </c>
      <c r="R46" s="481" t="s">
        <v>233</v>
      </c>
      <c r="S46" s="481" t="s">
        <v>110</v>
      </c>
      <c r="T46" s="647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</row>
    <row r="47">
      <c r="A47" s="12">
        <v>43.0</v>
      </c>
      <c r="B47" s="641" t="s">
        <v>3819</v>
      </c>
      <c r="C47" s="641" t="s">
        <v>3820</v>
      </c>
      <c r="D47" s="544" t="s">
        <v>3821</v>
      </c>
      <c r="E47" s="544" t="s">
        <v>3822</v>
      </c>
      <c r="F47" s="565" t="s">
        <v>3823</v>
      </c>
      <c r="G47" s="544">
        <v>7.0</v>
      </c>
      <c r="H47" s="544" t="s">
        <v>123</v>
      </c>
      <c r="I47" s="642">
        <v>46183.0</v>
      </c>
      <c r="J47" s="642">
        <v>46185.0</v>
      </c>
      <c r="K47" s="643">
        <v>175.0</v>
      </c>
      <c r="L47" s="644">
        <v>12.0</v>
      </c>
      <c r="M47" s="643">
        <f t="shared" si="8"/>
        <v>2100</v>
      </c>
      <c r="N47" s="544" t="s">
        <v>71</v>
      </c>
      <c r="O47" s="544" t="s">
        <v>29</v>
      </c>
      <c r="P47" s="544" t="s">
        <v>72</v>
      </c>
      <c r="Q47" s="545">
        <v>3247.0</v>
      </c>
      <c r="R47" s="544" t="s">
        <v>233</v>
      </c>
      <c r="S47" s="544" t="s">
        <v>110</v>
      </c>
      <c r="T47" s="645"/>
      <c r="U47" s="412"/>
      <c r="V47" s="412"/>
      <c r="W47" s="412"/>
      <c r="X47" s="412"/>
      <c r="Y47" s="412"/>
      <c r="Z47" s="412"/>
      <c r="AA47" s="412"/>
      <c r="AB47" s="412"/>
      <c r="AC47" s="412"/>
      <c r="AD47" s="412"/>
      <c r="AE47" s="412"/>
      <c r="AF47" s="412"/>
      <c r="AG47" s="412"/>
      <c r="AH47" s="412"/>
      <c r="AI47" s="412"/>
      <c r="AJ47" s="412"/>
      <c r="AK47" s="412"/>
    </row>
    <row r="48">
      <c r="A48" s="12">
        <v>44.0</v>
      </c>
      <c r="B48" s="106" t="s">
        <v>3824</v>
      </c>
      <c r="C48" s="106" t="s">
        <v>3825</v>
      </c>
      <c r="D48" s="106" t="s">
        <v>3458</v>
      </c>
      <c r="E48" s="106">
        <v>1.1954546384E10</v>
      </c>
      <c r="F48" s="364" t="s">
        <v>3826</v>
      </c>
      <c r="G48" s="106">
        <v>10.0</v>
      </c>
      <c r="H48" s="106" t="s">
        <v>711</v>
      </c>
      <c r="I48" s="108">
        <v>46183.0</v>
      </c>
      <c r="J48" s="108">
        <v>46191.0</v>
      </c>
      <c r="K48" s="89">
        <v>200.0</v>
      </c>
      <c r="L48" s="467">
        <v>4.0</v>
      </c>
      <c r="M48" s="89">
        <f t="shared" ref="M48:M49" si="9">K48*4</f>
        <v>800</v>
      </c>
      <c r="N48" s="86" t="s">
        <v>71</v>
      </c>
      <c r="O48" s="86" t="s">
        <v>91</v>
      </c>
      <c r="P48" s="86" t="s">
        <v>72</v>
      </c>
      <c r="Q48" s="106">
        <v>3291.0</v>
      </c>
      <c r="R48" s="86" t="s">
        <v>233</v>
      </c>
      <c r="S48" s="86" t="s">
        <v>110</v>
      </c>
      <c r="T48" s="250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>
      <c r="A49" s="12">
        <v>45.0</v>
      </c>
      <c r="B49" s="106" t="s">
        <v>3827</v>
      </c>
      <c r="C49" s="263" t="s">
        <v>3828</v>
      </c>
      <c r="D49" s="106" t="s">
        <v>3458</v>
      </c>
      <c r="E49" s="106">
        <v>1.1954546384E10</v>
      </c>
      <c r="F49" s="364" t="s">
        <v>3829</v>
      </c>
      <c r="G49" s="106">
        <v>1.0</v>
      </c>
      <c r="H49" s="106" t="s">
        <v>711</v>
      </c>
      <c r="I49" s="108">
        <v>46183.0</v>
      </c>
      <c r="J49" s="108">
        <v>46191.0</v>
      </c>
      <c r="K49" s="89">
        <v>200.0</v>
      </c>
      <c r="L49" s="467">
        <v>4.0</v>
      </c>
      <c r="M49" s="89">
        <f t="shared" si="9"/>
        <v>800</v>
      </c>
      <c r="N49" s="86" t="s">
        <v>71</v>
      </c>
      <c r="O49" s="86" t="s">
        <v>91</v>
      </c>
      <c r="P49" s="86" t="s">
        <v>72</v>
      </c>
      <c r="Q49" s="106">
        <v>3293.0</v>
      </c>
      <c r="R49" s="86" t="s">
        <v>233</v>
      </c>
      <c r="S49" s="86" t="s">
        <v>110</v>
      </c>
      <c r="T49" s="250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</row>
    <row r="50">
      <c r="A50" s="12">
        <v>46.0</v>
      </c>
      <c r="B50" s="172" t="s">
        <v>3187</v>
      </c>
      <c r="C50" s="172" t="s">
        <v>3188</v>
      </c>
      <c r="D50" s="613" t="s">
        <v>3189</v>
      </c>
      <c r="E50" s="172" t="s">
        <v>3190</v>
      </c>
      <c r="F50" s="648" t="s">
        <v>3191</v>
      </c>
      <c r="G50" s="172">
        <v>15.0</v>
      </c>
      <c r="H50" s="613" t="s">
        <v>123</v>
      </c>
      <c r="I50" s="609">
        <v>46155.0</v>
      </c>
      <c r="J50" s="619">
        <v>46191.0</v>
      </c>
      <c r="K50" s="170">
        <v>223.0</v>
      </c>
      <c r="L50" s="610">
        <v>12.0</v>
      </c>
      <c r="M50" s="170">
        <f>K50*12</f>
        <v>2676</v>
      </c>
      <c r="N50" s="137" t="s">
        <v>71</v>
      </c>
      <c r="O50" s="171" t="s">
        <v>29</v>
      </c>
      <c r="P50" s="137" t="s">
        <v>72</v>
      </c>
      <c r="Q50" s="86">
        <v>3295.0</v>
      </c>
      <c r="R50" s="171" t="s">
        <v>233</v>
      </c>
      <c r="S50" s="171" t="s">
        <v>110</v>
      </c>
      <c r="T50" s="614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</row>
    <row r="51">
      <c r="A51" s="12">
        <v>47.0</v>
      </c>
      <c r="B51" s="649" t="s">
        <v>3830</v>
      </c>
      <c r="C51" s="106" t="s">
        <v>3831</v>
      </c>
      <c r="D51" s="106" t="s">
        <v>3832</v>
      </c>
      <c r="E51" s="107" t="s">
        <v>3833</v>
      </c>
      <c r="F51" s="303" t="s">
        <v>3834</v>
      </c>
      <c r="G51" s="106">
        <v>4.0</v>
      </c>
      <c r="H51" s="106" t="s">
        <v>3835</v>
      </c>
      <c r="I51" s="108">
        <v>46195.0</v>
      </c>
      <c r="J51" s="108">
        <v>46196.0</v>
      </c>
      <c r="K51" s="89" t="s">
        <v>211</v>
      </c>
      <c r="L51" s="254" t="s">
        <v>1218</v>
      </c>
      <c r="M51" s="89">
        <v>3000.0</v>
      </c>
      <c r="N51" s="86" t="s">
        <v>71</v>
      </c>
      <c r="O51" s="86" t="s">
        <v>29</v>
      </c>
      <c r="P51" s="86" t="s">
        <v>72</v>
      </c>
      <c r="Q51" s="106">
        <v>3325.0</v>
      </c>
      <c r="R51" s="86" t="s">
        <v>233</v>
      </c>
      <c r="S51" s="86" t="s">
        <v>110</v>
      </c>
      <c r="T51" s="650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</row>
    <row r="52">
      <c r="A52" s="12">
        <v>48.0</v>
      </c>
      <c r="B52" s="106" t="s">
        <v>3836</v>
      </c>
      <c r="C52" s="106" t="s">
        <v>3837</v>
      </c>
      <c r="D52" s="106" t="s">
        <v>257</v>
      </c>
      <c r="E52" s="106">
        <v>1.1983740437E10</v>
      </c>
      <c r="F52" s="303" t="s">
        <v>3838</v>
      </c>
      <c r="G52" s="106">
        <v>3.0</v>
      </c>
      <c r="H52" s="106" t="s">
        <v>3839</v>
      </c>
      <c r="I52" s="108">
        <v>46196.0</v>
      </c>
      <c r="J52" s="108">
        <v>46197.0</v>
      </c>
      <c r="K52" s="89">
        <v>200.0</v>
      </c>
      <c r="L52" s="254" t="s">
        <v>1278</v>
      </c>
      <c r="M52" s="89">
        <f>K52*4</f>
        <v>800</v>
      </c>
      <c r="N52" s="86" t="s">
        <v>71</v>
      </c>
      <c r="O52" s="86" t="s">
        <v>91</v>
      </c>
      <c r="P52" s="86" t="s">
        <v>72</v>
      </c>
      <c r="Q52" s="120">
        <v>3336.0</v>
      </c>
      <c r="R52" s="86" t="s">
        <v>73</v>
      </c>
      <c r="S52" s="86" t="s">
        <v>110</v>
      </c>
      <c r="T52" s="650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</row>
    <row r="53">
      <c r="A53" s="12">
        <v>49.0</v>
      </c>
      <c r="B53" s="106" t="s">
        <v>3840</v>
      </c>
      <c r="C53" s="106" t="s">
        <v>3841</v>
      </c>
      <c r="D53" s="106" t="s">
        <v>3842</v>
      </c>
      <c r="E53" s="106">
        <v>1.4981430255E10</v>
      </c>
      <c r="F53" s="303" t="s">
        <v>3843</v>
      </c>
      <c r="G53" s="106">
        <v>200.0</v>
      </c>
      <c r="H53" s="106" t="s">
        <v>3844</v>
      </c>
      <c r="I53" s="108">
        <v>46188.0</v>
      </c>
      <c r="J53" s="108">
        <v>46197.0</v>
      </c>
      <c r="K53" s="89">
        <f>M53/5</f>
        <v>740</v>
      </c>
      <c r="L53" s="254" t="s">
        <v>1791</v>
      </c>
      <c r="M53" s="89">
        <v>3700.0</v>
      </c>
      <c r="N53" s="86" t="s">
        <v>71</v>
      </c>
      <c r="O53" s="86" t="s">
        <v>29</v>
      </c>
      <c r="P53" s="86" t="s">
        <v>72</v>
      </c>
      <c r="Q53" s="120">
        <v>3340.0</v>
      </c>
      <c r="R53" s="86" t="s">
        <v>233</v>
      </c>
      <c r="S53" s="86" t="s">
        <v>110</v>
      </c>
      <c r="T53" s="650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</row>
    <row r="54">
      <c r="A54" s="12">
        <v>50.0</v>
      </c>
      <c r="B54" s="106" t="s">
        <v>3845</v>
      </c>
      <c r="C54" s="106" t="s">
        <v>3846</v>
      </c>
      <c r="D54" s="106" t="s">
        <v>3847</v>
      </c>
      <c r="E54" s="106">
        <v>4.3991952107E10</v>
      </c>
      <c r="F54" s="651" t="s">
        <v>3848</v>
      </c>
      <c r="G54" s="106">
        <v>14.0</v>
      </c>
      <c r="H54" s="106" t="s">
        <v>3849</v>
      </c>
      <c r="I54" s="108">
        <v>46192.0</v>
      </c>
      <c r="J54" s="108">
        <v>46197.0</v>
      </c>
      <c r="K54" s="89">
        <f>M54/4</f>
        <v>1062.5</v>
      </c>
      <c r="L54" s="254" t="s">
        <v>1278</v>
      </c>
      <c r="M54" s="89">
        <v>4250.0</v>
      </c>
      <c r="N54" s="86" t="s">
        <v>71</v>
      </c>
      <c r="O54" s="86" t="s">
        <v>29</v>
      </c>
      <c r="P54" s="86" t="s">
        <v>72</v>
      </c>
      <c r="Q54" s="120">
        <v>3344.0</v>
      </c>
      <c r="R54" s="86" t="s">
        <v>233</v>
      </c>
      <c r="S54" s="86" t="s">
        <v>110</v>
      </c>
      <c r="T54" s="650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</row>
    <row r="55">
      <c r="A55" s="12">
        <v>51.0</v>
      </c>
      <c r="B55" s="103" t="s">
        <v>3231</v>
      </c>
      <c r="C55" s="103" t="s">
        <v>3232</v>
      </c>
      <c r="D55" s="103" t="s">
        <v>3233</v>
      </c>
      <c r="E55" s="103" t="s">
        <v>3234</v>
      </c>
      <c r="F55" s="103" t="s">
        <v>3235</v>
      </c>
      <c r="G55" s="171">
        <v>7.0</v>
      </c>
      <c r="H55" s="172" t="s">
        <v>65</v>
      </c>
      <c r="I55" s="609">
        <v>46156.0</v>
      </c>
      <c r="J55" s="172"/>
      <c r="K55" s="170">
        <v>180.0</v>
      </c>
      <c r="L55" s="634">
        <v>12.0</v>
      </c>
      <c r="M55" s="631">
        <f>K55*12</f>
        <v>2160</v>
      </c>
      <c r="N55" s="171" t="s">
        <v>58</v>
      </c>
      <c r="O55" s="171" t="s">
        <v>29</v>
      </c>
      <c r="P55" s="171" t="s">
        <v>40</v>
      </c>
      <c r="Q55" s="171"/>
      <c r="R55" s="171" t="s">
        <v>73</v>
      </c>
      <c r="S55" s="171" t="s">
        <v>31</v>
      </c>
      <c r="T55" s="626" t="s">
        <v>3850</v>
      </c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</row>
    <row r="56">
      <c r="A56" s="12">
        <v>52.0</v>
      </c>
      <c r="B56" s="514" t="s">
        <v>3249</v>
      </c>
      <c r="C56" s="514" t="s">
        <v>3250</v>
      </c>
      <c r="D56" s="514" t="s">
        <v>3251</v>
      </c>
      <c r="E56" s="514" t="s">
        <v>3252</v>
      </c>
      <c r="F56" s="514" t="s">
        <v>3253</v>
      </c>
      <c r="G56" s="514" t="s">
        <v>399</v>
      </c>
      <c r="H56" s="514" t="s">
        <v>3254</v>
      </c>
      <c r="I56" s="652">
        <v>46156.0</v>
      </c>
      <c r="J56" s="653"/>
      <c r="K56" s="654">
        <v>11426.0</v>
      </c>
      <c r="L56" s="655">
        <v>1.0</v>
      </c>
      <c r="M56" s="656">
        <f>K56*1</f>
        <v>11426</v>
      </c>
      <c r="N56" s="657" t="s">
        <v>58</v>
      </c>
      <c r="O56" s="514" t="s">
        <v>29</v>
      </c>
      <c r="P56" s="657" t="s">
        <v>40</v>
      </c>
      <c r="Q56" s="514"/>
      <c r="R56" s="657" t="s">
        <v>73</v>
      </c>
      <c r="S56" s="657" t="s">
        <v>31</v>
      </c>
      <c r="T56" s="658" t="s">
        <v>3851</v>
      </c>
      <c r="U56" s="659"/>
      <c r="V56" s="659"/>
      <c r="W56" s="659"/>
      <c r="X56" s="659"/>
      <c r="Y56" s="659"/>
      <c r="Z56" s="659"/>
      <c r="AA56" s="659"/>
      <c r="AB56" s="659"/>
      <c r="AC56" s="659"/>
      <c r="AD56" s="659"/>
      <c r="AE56" s="659"/>
      <c r="AF56" s="659"/>
      <c r="AG56" s="659"/>
      <c r="AH56" s="659"/>
      <c r="AI56" s="659"/>
      <c r="AJ56" s="659"/>
      <c r="AK56" s="659"/>
    </row>
    <row r="57">
      <c r="A57" s="12">
        <v>53.0</v>
      </c>
      <c r="B57" s="172" t="s">
        <v>3281</v>
      </c>
      <c r="C57" s="103" t="s">
        <v>3282</v>
      </c>
      <c r="D57" s="103" t="s">
        <v>3283</v>
      </c>
      <c r="E57" s="137" t="s">
        <v>3852</v>
      </c>
      <c r="F57" s="196" t="s">
        <v>3853</v>
      </c>
      <c r="G57" s="103">
        <v>7.0</v>
      </c>
      <c r="H57" s="103" t="s">
        <v>711</v>
      </c>
      <c r="I57" s="174">
        <v>46160.0</v>
      </c>
      <c r="J57" s="104"/>
      <c r="K57" s="197" t="s">
        <v>1268</v>
      </c>
      <c r="L57" s="480">
        <v>1.0</v>
      </c>
      <c r="M57" s="197">
        <v>1000.0</v>
      </c>
      <c r="N57" s="406" t="s">
        <v>28</v>
      </c>
      <c r="O57" s="137" t="s">
        <v>29</v>
      </c>
      <c r="P57" s="406" t="s">
        <v>40</v>
      </c>
      <c r="Q57" s="103"/>
      <c r="R57" s="406" t="s">
        <v>1979</v>
      </c>
      <c r="S57" s="406" t="s">
        <v>129</v>
      </c>
      <c r="T57" s="607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</row>
    <row r="58">
      <c r="A58" s="12">
        <v>54.0</v>
      </c>
      <c r="B58" s="103" t="s">
        <v>3571</v>
      </c>
      <c r="C58" s="136">
        <v>3.60924940002E13</v>
      </c>
      <c r="D58" s="103" t="s">
        <v>3572</v>
      </c>
      <c r="E58" s="136">
        <v>1.1916153774E10</v>
      </c>
      <c r="F58" s="196" t="s">
        <v>3854</v>
      </c>
      <c r="G58" s="103" t="s">
        <v>399</v>
      </c>
      <c r="H58" s="103" t="s">
        <v>711</v>
      </c>
      <c r="I58" s="174">
        <v>46168.0</v>
      </c>
      <c r="J58" s="104"/>
      <c r="K58" s="197" t="s">
        <v>57</v>
      </c>
      <c r="L58" s="480">
        <v>1.0</v>
      </c>
      <c r="M58" s="197">
        <v>1000.0</v>
      </c>
      <c r="N58" s="406" t="s">
        <v>28</v>
      </c>
      <c r="O58" s="137" t="s">
        <v>91</v>
      </c>
      <c r="P58" s="406" t="s">
        <v>40</v>
      </c>
      <c r="Q58" s="103"/>
      <c r="R58" s="406" t="s">
        <v>233</v>
      </c>
      <c r="S58" s="406" t="s">
        <v>129</v>
      </c>
      <c r="T58" s="607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</row>
    <row r="59">
      <c r="A59" s="12">
        <v>55.0</v>
      </c>
      <c r="B59" s="172" t="s">
        <v>3632</v>
      </c>
      <c r="C59" s="172" t="s">
        <v>3633</v>
      </c>
      <c r="D59" s="172" t="s">
        <v>3630</v>
      </c>
      <c r="E59" s="172">
        <v>1.1925103476E10</v>
      </c>
      <c r="F59" s="618" t="s">
        <v>3855</v>
      </c>
      <c r="G59" s="137">
        <v>7.0</v>
      </c>
      <c r="H59" s="103" t="s">
        <v>711</v>
      </c>
      <c r="I59" s="619">
        <v>46168.0</v>
      </c>
      <c r="J59" s="609"/>
      <c r="K59" s="138" t="s">
        <v>1268</v>
      </c>
      <c r="L59" s="620">
        <v>1.0</v>
      </c>
      <c r="M59" s="138">
        <v>1000.0</v>
      </c>
      <c r="N59" s="137" t="s">
        <v>58</v>
      </c>
      <c r="O59" s="137" t="s">
        <v>29</v>
      </c>
      <c r="P59" s="137" t="s">
        <v>40</v>
      </c>
      <c r="Q59" s="172"/>
      <c r="R59" s="137" t="s">
        <v>233</v>
      </c>
      <c r="S59" s="137" t="s">
        <v>129</v>
      </c>
      <c r="T59" s="62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</row>
    <row r="60">
      <c r="A60" s="12">
        <v>56.0</v>
      </c>
      <c r="B60" s="103" t="s">
        <v>3856</v>
      </c>
      <c r="C60" s="103" t="s">
        <v>3354</v>
      </c>
      <c r="D60" s="406" t="s">
        <v>1345</v>
      </c>
      <c r="E60" s="103" t="s">
        <v>3355</v>
      </c>
      <c r="F60" s="103" t="s">
        <v>3356</v>
      </c>
      <c r="G60" s="137">
        <v>12.0</v>
      </c>
      <c r="H60" s="406" t="s">
        <v>711</v>
      </c>
      <c r="I60" s="619">
        <v>46162.0</v>
      </c>
      <c r="J60" s="619">
        <v>46188.0</v>
      </c>
      <c r="K60" s="138" t="s">
        <v>211</v>
      </c>
      <c r="L60" s="620">
        <v>1.0</v>
      </c>
      <c r="M60" s="138">
        <v>1000.0</v>
      </c>
      <c r="N60" s="137" t="s">
        <v>71</v>
      </c>
      <c r="O60" s="137" t="s">
        <v>91</v>
      </c>
      <c r="P60" s="137" t="s">
        <v>72</v>
      </c>
      <c r="Q60" s="406">
        <v>3249.0</v>
      </c>
      <c r="R60" s="137" t="s">
        <v>41</v>
      </c>
      <c r="S60" s="137" t="s">
        <v>2208</v>
      </c>
      <c r="T60" s="62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</row>
    <row r="61">
      <c r="A61" s="12">
        <v>57.0</v>
      </c>
      <c r="B61" s="103" t="s">
        <v>3371</v>
      </c>
      <c r="C61" s="103" t="s">
        <v>3372</v>
      </c>
      <c r="D61" s="103" t="s">
        <v>3373</v>
      </c>
      <c r="E61" s="103">
        <v>1.1954488175E10</v>
      </c>
      <c r="F61" s="103" t="s">
        <v>3374</v>
      </c>
      <c r="G61" s="103">
        <v>9.0</v>
      </c>
      <c r="H61" s="97" t="s">
        <v>2816</v>
      </c>
      <c r="I61" s="174">
        <v>46162.0</v>
      </c>
      <c r="J61" s="408">
        <v>46183.0</v>
      </c>
      <c r="K61" s="197">
        <v>186.93</v>
      </c>
      <c r="L61" s="480">
        <v>12.0</v>
      </c>
      <c r="M61" s="175">
        <f>12*K61</f>
        <v>2243.16</v>
      </c>
      <c r="N61" s="406" t="s">
        <v>71</v>
      </c>
      <c r="O61" s="137" t="s">
        <v>91</v>
      </c>
      <c r="P61" s="406" t="s">
        <v>72</v>
      </c>
      <c r="Q61" s="136">
        <v>3233.0</v>
      </c>
      <c r="R61" s="406" t="s">
        <v>41</v>
      </c>
      <c r="S61" s="406" t="s">
        <v>129</v>
      </c>
      <c r="T61" s="607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</row>
    <row r="62">
      <c r="A62" s="12">
        <v>58.0</v>
      </c>
      <c r="B62" s="103" t="s">
        <v>3857</v>
      </c>
      <c r="C62" s="660" t="s">
        <v>3858</v>
      </c>
      <c r="D62" s="103" t="s">
        <v>3859</v>
      </c>
      <c r="E62" s="407">
        <v>1.146781088E9</v>
      </c>
      <c r="F62" s="196" t="s">
        <v>3860</v>
      </c>
      <c r="G62" s="137">
        <v>1.0</v>
      </c>
      <c r="H62" s="137" t="s">
        <v>3861</v>
      </c>
      <c r="I62" s="137" t="s">
        <v>3862</v>
      </c>
      <c r="J62" s="609"/>
      <c r="K62" s="138" t="s">
        <v>211</v>
      </c>
      <c r="L62" s="620">
        <v>1.0</v>
      </c>
      <c r="M62" s="138">
        <v>1000.0</v>
      </c>
      <c r="N62" s="137" t="s">
        <v>58</v>
      </c>
      <c r="O62" s="137" t="s">
        <v>91</v>
      </c>
      <c r="P62" s="137" t="s">
        <v>40</v>
      </c>
      <c r="Q62" s="406"/>
      <c r="R62" s="137" t="s">
        <v>3645</v>
      </c>
      <c r="S62" s="137" t="s">
        <v>129</v>
      </c>
      <c r="T62" s="66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</row>
    <row r="63">
      <c r="A63" s="12">
        <v>59.0</v>
      </c>
      <c r="B63" s="103" t="s">
        <v>3863</v>
      </c>
      <c r="C63" s="97" t="s">
        <v>3864</v>
      </c>
      <c r="D63" s="97" t="s">
        <v>3865</v>
      </c>
      <c r="E63" s="181" t="s">
        <v>3866</v>
      </c>
      <c r="F63" s="97" t="s">
        <v>3867</v>
      </c>
      <c r="G63" s="97">
        <v>2.0</v>
      </c>
      <c r="H63" s="161" t="s">
        <v>1874</v>
      </c>
      <c r="I63" s="298">
        <v>46188.0</v>
      </c>
      <c r="J63" s="81"/>
      <c r="K63" s="102">
        <v>120.0</v>
      </c>
      <c r="L63" s="479">
        <v>12.0</v>
      </c>
      <c r="M63" s="102">
        <v>1440.0</v>
      </c>
      <c r="N63" s="161" t="s">
        <v>58</v>
      </c>
      <c r="O63" s="161" t="s">
        <v>29</v>
      </c>
      <c r="P63" s="161" t="s">
        <v>40</v>
      </c>
      <c r="Q63" s="166"/>
      <c r="R63" s="161" t="s">
        <v>233</v>
      </c>
      <c r="S63" s="161" t="s">
        <v>129</v>
      </c>
      <c r="T63" s="607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</row>
    <row r="64">
      <c r="A64" s="12">
        <v>60.0</v>
      </c>
      <c r="B64" s="103" t="s">
        <v>3446</v>
      </c>
      <c r="C64" s="103" t="s">
        <v>3447</v>
      </c>
      <c r="D64" s="103" t="s">
        <v>3448</v>
      </c>
      <c r="E64" s="103" t="s">
        <v>3449</v>
      </c>
      <c r="F64" s="103" t="s">
        <v>3450</v>
      </c>
      <c r="G64" s="103">
        <v>1.0</v>
      </c>
      <c r="H64" s="103" t="s">
        <v>1874</v>
      </c>
      <c r="I64" s="174">
        <v>46163.0</v>
      </c>
      <c r="J64" s="104"/>
      <c r="K64" s="197"/>
      <c r="L64" s="480"/>
      <c r="M64" s="197">
        <v>1668.0</v>
      </c>
      <c r="N64" s="406" t="s">
        <v>58</v>
      </c>
      <c r="O64" s="137" t="s">
        <v>29</v>
      </c>
      <c r="P64" s="406" t="s">
        <v>40</v>
      </c>
      <c r="Q64" s="103"/>
      <c r="R64" s="406" t="s">
        <v>73</v>
      </c>
      <c r="S64" s="406" t="s">
        <v>2208</v>
      </c>
      <c r="T64" s="607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</row>
    <row r="65">
      <c r="A65" s="12">
        <v>61.0</v>
      </c>
      <c r="B65" s="103" t="s">
        <v>3451</v>
      </c>
      <c r="C65" s="136" t="s">
        <v>3452</v>
      </c>
      <c r="D65" s="103" t="s">
        <v>3453</v>
      </c>
      <c r="E65" s="103" t="s">
        <v>3454</v>
      </c>
      <c r="F65" s="103" t="s">
        <v>3455</v>
      </c>
      <c r="G65" s="103">
        <v>5.0</v>
      </c>
      <c r="H65" s="103" t="s">
        <v>1874</v>
      </c>
      <c r="I65" s="174">
        <v>46156.0</v>
      </c>
      <c r="J65" s="104"/>
      <c r="K65" s="197"/>
      <c r="L65" s="480"/>
      <c r="M65" s="197">
        <v>1956.0</v>
      </c>
      <c r="N65" s="406" t="s">
        <v>58</v>
      </c>
      <c r="O65" s="137" t="s">
        <v>29</v>
      </c>
      <c r="P65" s="406" t="s">
        <v>40</v>
      </c>
      <c r="Q65" s="103"/>
      <c r="R65" s="406" t="s">
        <v>73</v>
      </c>
      <c r="S65" s="406" t="s">
        <v>2208</v>
      </c>
      <c r="T65" s="607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</row>
    <row r="66">
      <c r="A66" s="12">
        <v>62.0</v>
      </c>
      <c r="B66" s="103" t="s">
        <v>3456</v>
      </c>
      <c r="C66" s="103" t="s">
        <v>3457</v>
      </c>
      <c r="D66" s="103" t="s">
        <v>3458</v>
      </c>
      <c r="E66" s="103" t="s">
        <v>3459</v>
      </c>
      <c r="F66" s="103" t="s">
        <v>3460</v>
      </c>
      <c r="G66" s="103">
        <v>1.0</v>
      </c>
      <c r="H66" s="103" t="s">
        <v>1874</v>
      </c>
      <c r="I66" s="174">
        <v>46162.0</v>
      </c>
      <c r="J66" s="104"/>
      <c r="K66" s="197"/>
      <c r="L66" s="480"/>
      <c r="M66" s="197">
        <v>1668.0</v>
      </c>
      <c r="N66" s="406" t="s">
        <v>28</v>
      </c>
      <c r="O66" s="137" t="s">
        <v>29</v>
      </c>
      <c r="P66" s="406" t="s">
        <v>40</v>
      </c>
      <c r="Q66" s="103"/>
      <c r="R66" s="406" t="s">
        <v>73</v>
      </c>
      <c r="S66" s="406" t="s">
        <v>2208</v>
      </c>
      <c r="T66" s="607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</row>
    <row r="67">
      <c r="A67" s="12">
        <v>63.0</v>
      </c>
      <c r="B67" s="103" t="s">
        <v>3461</v>
      </c>
      <c r="C67" s="103" t="s">
        <v>3462</v>
      </c>
      <c r="D67" s="103" t="s">
        <v>3463</v>
      </c>
      <c r="E67" s="103" t="s">
        <v>3464</v>
      </c>
      <c r="F67" s="103" t="s">
        <v>3465</v>
      </c>
      <c r="G67" s="103">
        <v>11.0</v>
      </c>
      <c r="H67" s="103" t="s">
        <v>1874</v>
      </c>
      <c r="I67" s="174">
        <v>46155.0</v>
      </c>
      <c r="J67" s="104"/>
      <c r="K67" s="197"/>
      <c r="L67" s="480"/>
      <c r="M67" s="197">
        <v>2338.0</v>
      </c>
      <c r="N67" s="406" t="s">
        <v>58</v>
      </c>
      <c r="O67" s="137" t="s">
        <v>29</v>
      </c>
      <c r="P67" s="406" t="s">
        <v>40</v>
      </c>
      <c r="Q67" s="103"/>
      <c r="R67" s="406" t="s">
        <v>73</v>
      </c>
      <c r="S67" s="406" t="s">
        <v>2208</v>
      </c>
      <c r="T67" s="607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</row>
    <row r="68">
      <c r="A68" s="12">
        <v>64.0</v>
      </c>
      <c r="B68" s="103" t="s">
        <v>3466</v>
      </c>
      <c r="C68" s="103" t="s">
        <v>3467</v>
      </c>
      <c r="D68" s="103" t="s">
        <v>3468</v>
      </c>
      <c r="E68" s="103" t="s">
        <v>3469</v>
      </c>
      <c r="F68" s="103" t="s">
        <v>3470</v>
      </c>
      <c r="G68" s="103">
        <v>6.0</v>
      </c>
      <c r="H68" s="103" t="s">
        <v>1874</v>
      </c>
      <c r="I68" s="174">
        <v>46163.0</v>
      </c>
      <c r="J68" s="104"/>
      <c r="K68" s="197"/>
      <c r="L68" s="480"/>
      <c r="M68" s="197">
        <v>2028.0</v>
      </c>
      <c r="N68" s="406" t="s">
        <v>58</v>
      </c>
      <c r="O68" s="137" t="s">
        <v>29</v>
      </c>
      <c r="P68" s="406" t="s">
        <v>40</v>
      </c>
      <c r="Q68" s="103"/>
      <c r="R68" s="406" t="s">
        <v>73</v>
      </c>
      <c r="S68" s="406" t="s">
        <v>2208</v>
      </c>
      <c r="T68" s="607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</row>
    <row r="69">
      <c r="A69" s="12">
        <v>65.0</v>
      </c>
      <c r="B69" s="103" t="s">
        <v>3471</v>
      </c>
      <c r="C69" s="103" t="s">
        <v>3472</v>
      </c>
      <c r="D69" s="103" t="s">
        <v>3473</v>
      </c>
      <c r="E69" s="103" t="s">
        <v>3474</v>
      </c>
      <c r="F69" s="103" t="s">
        <v>3475</v>
      </c>
      <c r="G69" s="103">
        <v>170.0</v>
      </c>
      <c r="H69" s="103" t="s">
        <v>1874</v>
      </c>
      <c r="I69" s="174">
        <v>46163.0</v>
      </c>
      <c r="J69" s="104"/>
      <c r="K69" s="197"/>
      <c r="L69" s="480"/>
      <c r="M69" s="197">
        <v>17121.96</v>
      </c>
      <c r="N69" s="406" t="s">
        <v>28</v>
      </c>
      <c r="O69" s="137" t="s">
        <v>29</v>
      </c>
      <c r="P69" s="406" t="s">
        <v>40</v>
      </c>
      <c r="Q69" s="103"/>
      <c r="R69" s="406" t="s">
        <v>73</v>
      </c>
      <c r="S69" s="406" t="s">
        <v>2208</v>
      </c>
      <c r="T69" s="607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</row>
    <row r="70">
      <c r="A70" s="12">
        <v>66.0</v>
      </c>
      <c r="B70" s="117" t="s">
        <v>3868</v>
      </c>
      <c r="C70" s="117" t="s">
        <v>3869</v>
      </c>
      <c r="D70" s="137" t="s">
        <v>3870</v>
      </c>
      <c r="E70" s="97" t="s">
        <v>3871</v>
      </c>
      <c r="F70" s="386" t="s">
        <v>3872</v>
      </c>
      <c r="G70" s="137">
        <v>2.0</v>
      </c>
      <c r="H70" s="137" t="s">
        <v>3873</v>
      </c>
      <c r="I70" s="619">
        <v>46175.0</v>
      </c>
      <c r="J70" s="609"/>
      <c r="K70" s="138" t="s">
        <v>1268</v>
      </c>
      <c r="L70" s="620">
        <v>1.0</v>
      </c>
      <c r="M70" s="138">
        <v>1450.0</v>
      </c>
      <c r="N70" s="137" t="s">
        <v>58</v>
      </c>
      <c r="O70" s="137" t="s">
        <v>29</v>
      </c>
      <c r="P70" s="137" t="s">
        <v>40</v>
      </c>
      <c r="Q70" s="406"/>
      <c r="R70" s="137" t="s">
        <v>3645</v>
      </c>
      <c r="S70" s="137" t="s">
        <v>129</v>
      </c>
      <c r="T70" s="66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</row>
    <row r="71">
      <c r="A71" s="12">
        <v>67.0</v>
      </c>
      <c r="B71" s="136" t="s">
        <v>3496</v>
      </c>
      <c r="C71" s="662" t="s">
        <v>3497</v>
      </c>
      <c r="D71" s="103" t="s">
        <v>3498</v>
      </c>
      <c r="E71" s="196">
        <v>1.1965612079E10</v>
      </c>
      <c r="F71" s="500" t="s">
        <v>3499</v>
      </c>
      <c r="G71" s="103" t="s">
        <v>26</v>
      </c>
      <c r="H71" s="103" t="s">
        <v>1703</v>
      </c>
      <c r="I71" s="174">
        <v>46164.0</v>
      </c>
      <c r="J71" s="104"/>
      <c r="K71" s="197" t="s">
        <v>57</v>
      </c>
      <c r="L71" s="480">
        <v>1.0</v>
      </c>
      <c r="M71" s="197">
        <v>1400.0</v>
      </c>
      <c r="N71" s="406" t="s">
        <v>28</v>
      </c>
      <c r="O71" s="137" t="s">
        <v>29</v>
      </c>
      <c r="P71" s="406" t="s">
        <v>40</v>
      </c>
      <c r="Q71" s="103"/>
      <c r="R71" s="406" t="s">
        <v>1979</v>
      </c>
      <c r="S71" s="406" t="s">
        <v>148</v>
      </c>
      <c r="T71" s="663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</row>
    <row r="72">
      <c r="A72" s="12">
        <v>68.0</v>
      </c>
      <c r="B72" s="97" t="s">
        <v>722</v>
      </c>
      <c r="C72" s="97" t="s">
        <v>723</v>
      </c>
      <c r="D72" s="97" t="s">
        <v>3770</v>
      </c>
      <c r="E72" s="181" t="s">
        <v>1503</v>
      </c>
      <c r="F72" s="97" t="s">
        <v>726</v>
      </c>
      <c r="G72" s="161">
        <v>19.0</v>
      </c>
      <c r="H72" s="545" t="s">
        <v>3771</v>
      </c>
      <c r="I72" s="298">
        <v>46188.0</v>
      </c>
      <c r="J72" s="81"/>
      <c r="K72" s="102" t="s">
        <v>57</v>
      </c>
      <c r="L72" s="479">
        <v>1.0</v>
      </c>
      <c r="M72" s="102">
        <v>1500.0</v>
      </c>
      <c r="N72" s="161" t="s">
        <v>58</v>
      </c>
      <c r="O72" s="161" t="s">
        <v>91</v>
      </c>
      <c r="P72" s="161" t="s">
        <v>40</v>
      </c>
      <c r="Q72" s="166"/>
      <c r="R72" s="161" t="s">
        <v>233</v>
      </c>
      <c r="S72" s="161" t="s">
        <v>129</v>
      </c>
      <c r="T72" s="607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</row>
    <row r="73">
      <c r="A73" s="12">
        <v>69.0</v>
      </c>
      <c r="B73" s="103" t="s">
        <v>3605</v>
      </c>
      <c r="C73" s="103" t="s">
        <v>3606</v>
      </c>
      <c r="D73" s="103" t="s">
        <v>3607</v>
      </c>
      <c r="E73" s="103" t="s">
        <v>3608</v>
      </c>
      <c r="F73" s="103" t="s">
        <v>3609</v>
      </c>
      <c r="G73" s="103">
        <v>8.0</v>
      </c>
      <c r="H73" s="103" t="s">
        <v>711</v>
      </c>
      <c r="I73" s="174">
        <v>46167.0</v>
      </c>
      <c r="J73" s="174">
        <v>46184.0</v>
      </c>
      <c r="K73" s="197">
        <v>250.0</v>
      </c>
      <c r="L73" s="480">
        <v>4.0</v>
      </c>
      <c r="M73" s="197">
        <f>K73*4</f>
        <v>1000</v>
      </c>
      <c r="N73" s="406" t="s">
        <v>71</v>
      </c>
      <c r="O73" s="137" t="s">
        <v>91</v>
      </c>
      <c r="P73" s="406" t="s">
        <v>72</v>
      </c>
      <c r="Q73" s="136">
        <v>3228.0</v>
      </c>
      <c r="R73" s="406" t="s">
        <v>41</v>
      </c>
      <c r="S73" s="406" t="s">
        <v>2208</v>
      </c>
      <c r="T73" s="663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</row>
    <row r="74">
      <c r="A74" s="12">
        <v>70.0</v>
      </c>
      <c r="B74" s="172" t="s">
        <v>3276</v>
      </c>
      <c r="C74" s="172" t="s">
        <v>3277</v>
      </c>
      <c r="D74" s="172" t="s">
        <v>3278</v>
      </c>
      <c r="E74" s="137" t="s">
        <v>3279</v>
      </c>
      <c r="F74" s="618" t="s">
        <v>3874</v>
      </c>
      <c r="G74" s="172">
        <v>1.0</v>
      </c>
      <c r="H74" s="103" t="s">
        <v>2100</v>
      </c>
      <c r="I74" s="174">
        <v>46160.0</v>
      </c>
      <c r="J74" s="104"/>
      <c r="K74" s="197">
        <v>139.0</v>
      </c>
      <c r="L74" s="480">
        <v>12.0</v>
      </c>
      <c r="M74" s="175">
        <f>L74*K74</f>
        <v>1668</v>
      </c>
      <c r="N74" s="406" t="s">
        <v>58</v>
      </c>
      <c r="O74" s="137" t="s">
        <v>29</v>
      </c>
      <c r="P74" s="406" t="s">
        <v>40</v>
      </c>
      <c r="Q74" s="103"/>
      <c r="R74" s="406" t="s">
        <v>73</v>
      </c>
      <c r="S74" s="406" t="s">
        <v>129</v>
      </c>
      <c r="T74" s="607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</row>
    <row r="75">
      <c r="A75" s="12">
        <v>71.0</v>
      </c>
      <c r="B75" s="137" t="s">
        <v>3714</v>
      </c>
      <c r="C75" s="137" t="s">
        <v>3715</v>
      </c>
      <c r="D75" s="137" t="s">
        <v>3716</v>
      </c>
      <c r="E75" s="136" t="s">
        <v>3717</v>
      </c>
      <c r="F75" s="136" t="s">
        <v>3718</v>
      </c>
      <c r="G75" s="137">
        <v>3.0</v>
      </c>
      <c r="H75" s="137" t="s">
        <v>1874</v>
      </c>
      <c r="I75" s="619">
        <v>46170.0</v>
      </c>
      <c r="J75" s="609"/>
      <c r="K75" s="138">
        <v>151.0</v>
      </c>
      <c r="L75" s="620">
        <v>12.0</v>
      </c>
      <c r="M75" s="170">
        <f>K75*L75</f>
        <v>1812</v>
      </c>
      <c r="N75" s="137" t="s">
        <v>58</v>
      </c>
      <c r="O75" s="137" t="s">
        <v>29</v>
      </c>
      <c r="P75" s="137" t="s">
        <v>40</v>
      </c>
      <c r="Q75" s="172"/>
      <c r="R75" s="137" t="s">
        <v>73</v>
      </c>
      <c r="S75" s="137" t="s">
        <v>129</v>
      </c>
      <c r="T75" s="62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</row>
    <row r="76">
      <c r="A76" s="12">
        <v>72.0</v>
      </c>
      <c r="B76" s="172" t="s">
        <v>3635</v>
      </c>
      <c r="C76" s="103" t="s">
        <v>3636</v>
      </c>
      <c r="D76" s="137" t="s">
        <v>1350</v>
      </c>
      <c r="E76" s="103" t="s">
        <v>3637</v>
      </c>
      <c r="F76" s="196" t="s">
        <v>3875</v>
      </c>
      <c r="G76" s="137">
        <v>3.0</v>
      </c>
      <c r="H76" s="103" t="s">
        <v>711</v>
      </c>
      <c r="I76" s="619">
        <v>46169.0</v>
      </c>
      <c r="J76" s="609"/>
      <c r="K76" s="138">
        <v>175.0</v>
      </c>
      <c r="L76" s="620">
        <v>4.0</v>
      </c>
      <c r="M76" s="138">
        <v>700.0</v>
      </c>
      <c r="N76" s="137" t="s">
        <v>28</v>
      </c>
      <c r="O76" s="137" t="s">
        <v>91</v>
      </c>
      <c r="P76" s="137" t="s">
        <v>40</v>
      </c>
      <c r="Q76" s="172"/>
      <c r="R76" s="137" t="s">
        <v>73</v>
      </c>
      <c r="S76" s="137" t="s">
        <v>2208</v>
      </c>
      <c r="T76" s="66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</row>
    <row r="77">
      <c r="A77" s="12">
        <v>73.0</v>
      </c>
      <c r="B77" s="97" t="s">
        <v>3876</v>
      </c>
      <c r="C77" s="97" t="s">
        <v>3877</v>
      </c>
      <c r="D77" s="81"/>
      <c r="E77" s="81">
        <v>1.2996767494E10</v>
      </c>
      <c r="F77" s="81"/>
      <c r="G77" s="97">
        <v>3.0</v>
      </c>
      <c r="H77" s="161" t="s">
        <v>1874</v>
      </c>
      <c r="I77" s="298">
        <v>46185.0</v>
      </c>
      <c r="J77" s="81"/>
      <c r="K77" s="102">
        <v>151.0</v>
      </c>
      <c r="L77" s="479">
        <v>12.0</v>
      </c>
      <c r="M77" s="111">
        <f>L77*K77</f>
        <v>1812</v>
      </c>
      <c r="N77" s="161" t="s">
        <v>58</v>
      </c>
      <c r="O77" s="161" t="s">
        <v>29</v>
      </c>
      <c r="P77" s="161" t="s">
        <v>40</v>
      </c>
      <c r="Q77" s="166"/>
      <c r="R77" s="161" t="s">
        <v>73</v>
      </c>
      <c r="S77" s="161" t="s">
        <v>129</v>
      </c>
      <c r="T77" s="607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</row>
    <row r="78">
      <c r="A78" s="12">
        <v>74.0</v>
      </c>
      <c r="B78" s="136" t="s">
        <v>2605</v>
      </c>
      <c r="C78" s="103" t="s">
        <v>2606</v>
      </c>
      <c r="D78" s="406" t="s">
        <v>2607</v>
      </c>
      <c r="E78" s="136">
        <v>1.199906609E9</v>
      </c>
      <c r="F78" s="136" t="s">
        <v>2608</v>
      </c>
      <c r="G78" s="406">
        <v>5.0</v>
      </c>
      <c r="H78" s="406" t="s">
        <v>2100</v>
      </c>
      <c r="I78" s="665">
        <v>46139.0</v>
      </c>
      <c r="J78" s="666"/>
      <c r="K78" s="629">
        <v>157.0</v>
      </c>
      <c r="L78" s="667">
        <v>12.0</v>
      </c>
      <c r="M78" s="629">
        <f t="shared" ref="M78:M80" si="10">K78*12</f>
        <v>1884</v>
      </c>
      <c r="N78" s="406" t="s">
        <v>58</v>
      </c>
      <c r="O78" s="406" t="s">
        <v>29</v>
      </c>
      <c r="P78" s="406" t="s">
        <v>40</v>
      </c>
      <c r="Q78" s="613"/>
      <c r="R78" s="406" t="s">
        <v>41</v>
      </c>
      <c r="S78" s="406" t="s">
        <v>129</v>
      </c>
      <c r="T78" s="611" t="s">
        <v>3878</v>
      </c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</row>
    <row r="79">
      <c r="A79" s="12">
        <v>75.0</v>
      </c>
      <c r="B79" s="137" t="s">
        <v>3879</v>
      </c>
      <c r="C79" s="137" t="s">
        <v>3880</v>
      </c>
      <c r="D79" s="137" t="s">
        <v>3881</v>
      </c>
      <c r="E79" s="136" t="s">
        <v>3882</v>
      </c>
      <c r="F79" s="137" t="s">
        <v>3883</v>
      </c>
      <c r="G79" s="137">
        <v>10.0</v>
      </c>
      <c r="H79" s="137" t="s">
        <v>1874</v>
      </c>
      <c r="I79" s="619">
        <v>46174.0</v>
      </c>
      <c r="J79" s="609"/>
      <c r="K79" s="138">
        <v>243.0</v>
      </c>
      <c r="L79" s="620">
        <v>12.0</v>
      </c>
      <c r="M79" s="138">
        <f t="shared" si="10"/>
        <v>2916</v>
      </c>
      <c r="N79" s="137" t="s">
        <v>28</v>
      </c>
      <c r="O79" s="137" t="s">
        <v>29</v>
      </c>
      <c r="P79" s="137" t="s">
        <v>40</v>
      </c>
      <c r="Q79" s="172"/>
      <c r="R79" s="137" t="s">
        <v>73</v>
      </c>
      <c r="S79" s="137" t="s">
        <v>148</v>
      </c>
      <c r="T79" s="635" t="s">
        <v>3884</v>
      </c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</row>
    <row r="80">
      <c r="A80" s="12">
        <v>76.0</v>
      </c>
      <c r="B80" s="103" t="s">
        <v>3481</v>
      </c>
      <c r="C80" s="103" t="s">
        <v>3482</v>
      </c>
      <c r="D80" s="103" t="s">
        <v>3483</v>
      </c>
      <c r="E80" s="136">
        <v>1.19470324E10</v>
      </c>
      <c r="F80" s="196" t="s">
        <v>3885</v>
      </c>
      <c r="G80" s="103">
        <v>4.0</v>
      </c>
      <c r="H80" s="103" t="s">
        <v>48</v>
      </c>
      <c r="I80" s="174">
        <v>46163.0</v>
      </c>
      <c r="J80" s="104"/>
      <c r="K80" s="197">
        <v>157.0</v>
      </c>
      <c r="L80" s="480">
        <v>12.0</v>
      </c>
      <c r="M80" s="175">
        <f t="shared" si="10"/>
        <v>1884</v>
      </c>
      <c r="N80" s="406" t="s">
        <v>58</v>
      </c>
      <c r="O80" s="137" t="s">
        <v>29</v>
      </c>
      <c r="P80" s="406" t="s">
        <v>40</v>
      </c>
      <c r="Q80" s="103"/>
      <c r="R80" s="406" t="s">
        <v>233</v>
      </c>
      <c r="S80" s="406" t="s">
        <v>129</v>
      </c>
      <c r="T80" s="663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</row>
    <row r="81">
      <c r="A81" s="12">
        <v>77.0</v>
      </c>
      <c r="B81" s="103" t="s">
        <v>3886</v>
      </c>
      <c r="C81" s="668" t="s">
        <v>3887</v>
      </c>
      <c r="D81" s="137" t="s">
        <v>3859</v>
      </c>
      <c r="E81" s="407">
        <v>1.146781088E9</v>
      </c>
      <c r="F81" s="196" t="s">
        <v>3888</v>
      </c>
      <c r="G81" s="137">
        <v>5.0</v>
      </c>
      <c r="H81" s="137" t="s">
        <v>3861</v>
      </c>
      <c r="I81" s="619">
        <v>46175.0</v>
      </c>
      <c r="J81" s="609"/>
      <c r="K81" s="138" t="s">
        <v>1268</v>
      </c>
      <c r="L81" s="620">
        <v>1.0</v>
      </c>
      <c r="M81" s="138">
        <v>2000.0</v>
      </c>
      <c r="N81" s="137" t="s">
        <v>58</v>
      </c>
      <c r="O81" s="137" t="s">
        <v>29</v>
      </c>
      <c r="P81" s="137" t="s">
        <v>40</v>
      </c>
      <c r="Q81" s="406"/>
      <c r="R81" s="137" t="s">
        <v>3645</v>
      </c>
      <c r="S81" s="137" t="s">
        <v>129</v>
      </c>
      <c r="T81" s="669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</row>
    <row r="82">
      <c r="A82" s="12">
        <v>78.0</v>
      </c>
      <c r="B82" s="103" t="s">
        <v>3889</v>
      </c>
      <c r="C82" s="136" t="s">
        <v>3890</v>
      </c>
      <c r="D82" s="103" t="s">
        <v>3891</v>
      </c>
      <c r="E82" s="136" t="s">
        <v>3892</v>
      </c>
      <c r="F82" s="196" t="s">
        <v>3893</v>
      </c>
      <c r="G82" s="137">
        <v>3.0</v>
      </c>
      <c r="H82" s="97" t="s">
        <v>2816</v>
      </c>
      <c r="I82" s="619">
        <v>46175.0</v>
      </c>
      <c r="J82" s="619">
        <v>46175.0</v>
      </c>
      <c r="K82" s="138">
        <v>143.45</v>
      </c>
      <c r="L82" s="620">
        <v>12.0</v>
      </c>
      <c r="M82" s="138">
        <f t="shared" ref="M82:M83" si="11">K82*12</f>
        <v>1721.4</v>
      </c>
      <c r="N82" s="137" t="s">
        <v>71</v>
      </c>
      <c r="O82" s="137" t="s">
        <v>29</v>
      </c>
      <c r="P82" s="137" t="s">
        <v>72</v>
      </c>
      <c r="Q82" s="406">
        <v>3332.0</v>
      </c>
      <c r="R82" s="137" t="s">
        <v>233</v>
      </c>
      <c r="S82" s="137" t="s">
        <v>2208</v>
      </c>
      <c r="T82" s="669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</row>
    <row r="83">
      <c r="A83" s="12">
        <v>79.0</v>
      </c>
      <c r="B83" s="137" t="s">
        <v>3894</v>
      </c>
      <c r="C83" s="137" t="s">
        <v>3895</v>
      </c>
      <c r="D83" s="137" t="s">
        <v>3896</v>
      </c>
      <c r="E83" s="407" t="s">
        <v>3897</v>
      </c>
      <c r="F83" s="670" t="s">
        <v>3898</v>
      </c>
      <c r="G83" s="137">
        <v>5.0</v>
      </c>
      <c r="H83" s="137" t="s">
        <v>1874</v>
      </c>
      <c r="I83" s="619">
        <v>46175.0</v>
      </c>
      <c r="J83" s="609"/>
      <c r="K83" s="138">
        <v>163.0</v>
      </c>
      <c r="L83" s="620">
        <v>12.0</v>
      </c>
      <c r="M83" s="170">
        <f t="shared" si="11"/>
        <v>1956</v>
      </c>
      <c r="N83" s="137" t="s">
        <v>28</v>
      </c>
      <c r="O83" s="137" t="s">
        <v>29</v>
      </c>
      <c r="P83" s="137" t="s">
        <v>40</v>
      </c>
      <c r="Q83" s="406"/>
      <c r="R83" s="137" t="s">
        <v>3645</v>
      </c>
      <c r="S83" s="137" t="s">
        <v>148</v>
      </c>
      <c r="T83" s="671" t="s">
        <v>3899</v>
      </c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</row>
    <row r="84">
      <c r="A84" s="12">
        <v>80.0</v>
      </c>
      <c r="B84" s="103" t="s">
        <v>3900</v>
      </c>
      <c r="C84" s="136" t="s">
        <v>3901</v>
      </c>
      <c r="D84" s="103" t="s">
        <v>3902</v>
      </c>
      <c r="E84" s="136" t="s">
        <v>3903</v>
      </c>
      <c r="F84" s="103" t="s">
        <v>3904</v>
      </c>
      <c r="G84" s="137">
        <v>2.0</v>
      </c>
      <c r="H84" s="137" t="s">
        <v>711</v>
      </c>
      <c r="I84" s="619">
        <v>46175.0</v>
      </c>
      <c r="J84" s="619">
        <v>46175.0</v>
      </c>
      <c r="K84" s="138">
        <v>300.0</v>
      </c>
      <c r="L84" s="620">
        <v>2.0</v>
      </c>
      <c r="M84" s="138">
        <f t="shared" ref="M84:M92" si="12">K84*2</f>
        <v>600</v>
      </c>
      <c r="N84" s="137" t="s">
        <v>71</v>
      </c>
      <c r="O84" s="137" t="s">
        <v>91</v>
      </c>
      <c r="P84" s="137" t="s">
        <v>72</v>
      </c>
      <c r="Q84" s="406">
        <v>3155.0</v>
      </c>
      <c r="R84" s="137" t="s">
        <v>73</v>
      </c>
      <c r="S84" s="137" t="s">
        <v>2208</v>
      </c>
      <c r="T84" s="669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</row>
    <row r="85">
      <c r="A85" s="12">
        <v>81.0</v>
      </c>
      <c r="B85" s="137" t="s">
        <v>3905</v>
      </c>
      <c r="C85" s="137" t="s">
        <v>3906</v>
      </c>
      <c r="D85" s="137" t="s">
        <v>3907</v>
      </c>
      <c r="E85" s="136" t="s">
        <v>3908</v>
      </c>
      <c r="F85" s="137" t="s">
        <v>3909</v>
      </c>
      <c r="G85" s="137">
        <v>6.0</v>
      </c>
      <c r="H85" s="137" t="s">
        <v>711</v>
      </c>
      <c r="I85" s="619">
        <v>46175.0</v>
      </c>
      <c r="J85" s="619">
        <v>46175.0</v>
      </c>
      <c r="K85" s="138">
        <v>300.0</v>
      </c>
      <c r="L85" s="620">
        <v>2.0</v>
      </c>
      <c r="M85" s="138">
        <f t="shared" si="12"/>
        <v>600</v>
      </c>
      <c r="N85" s="137" t="s">
        <v>71</v>
      </c>
      <c r="O85" s="137" t="s">
        <v>91</v>
      </c>
      <c r="P85" s="137" t="s">
        <v>72</v>
      </c>
      <c r="Q85" s="406">
        <v>3160.0</v>
      </c>
      <c r="R85" s="137" t="s">
        <v>73</v>
      </c>
      <c r="S85" s="137" t="s">
        <v>2208</v>
      </c>
      <c r="T85" s="669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</row>
    <row r="86">
      <c r="A86" s="12">
        <v>82.0</v>
      </c>
      <c r="B86" s="103" t="s">
        <v>3910</v>
      </c>
      <c r="C86" s="136" t="s">
        <v>3911</v>
      </c>
      <c r="D86" s="103" t="s">
        <v>3912</v>
      </c>
      <c r="E86" s="136" t="s">
        <v>3913</v>
      </c>
      <c r="F86" s="103" t="s">
        <v>3914</v>
      </c>
      <c r="G86" s="137">
        <v>2.0</v>
      </c>
      <c r="H86" s="137" t="s">
        <v>711</v>
      </c>
      <c r="I86" s="619">
        <v>46175.0</v>
      </c>
      <c r="J86" s="619">
        <v>46175.0</v>
      </c>
      <c r="K86" s="138">
        <v>300.0</v>
      </c>
      <c r="L86" s="620">
        <v>2.0</v>
      </c>
      <c r="M86" s="138">
        <f t="shared" si="12"/>
        <v>600</v>
      </c>
      <c r="N86" s="137" t="s">
        <v>71</v>
      </c>
      <c r="O86" s="137" t="s">
        <v>91</v>
      </c>
      <c r="P86" s="137" t="s">
        <v>72</v>
      </c>
      <c r="Q86" s="406">
        <v>3164.0</v>
      </c>
      <c r="R86" s="137" t="s">
        <v>73</v>
      </c>
      <c r="S86" s="137" t="s">
        <v>2208</v>
      </c>
      <c r="T86" s="669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</row>
    <row r="87">
      <c r="A87" s="12">
        <v>83.0</v>
      </c>
      <c r="B87" s="137" t="s">
        <v>3915</v>
      </c>
      <c r="C87" s="137" t="s">
        <v>3916</v>
      </c>
      <c r="D87" s="137" t="s">
        <v>1818</v>
      </c>
      <c r="E87" s="136" t="s">
        <v>3917</v>
      </c>
      <c r="F87" s="137" t="s">
        <v>3918</v>
      </c>
      <c r="G87" s="137">
        <v>3.0</v>
      </c>
      <c r="H87" s="137" t="s">
        <v>711</v>
      </c>
      <c r="I87" s="619">
        <v>46175.0</v>
      </c>
      <c r="J87" s="619">
        <v>46175.0</v>
      </c>
      <c r="K87" s="138">
        <v>300.0</v>
      </c>
      <c r="L87" s="620">
        <v>2.0</v>
      </c>
      <c r="M87" s="138">
        <f t="shared" si="12"/>
        <v>600</v>
      </c>
      <c r="N87" s="137" t="s">
        <v>71</v>
      </c>
      <c r="O87" s="137" t="s">
        <v>91</v>
      </c>
      <c r="P87" s="137" t="s">
        <v>72</v>
      </c>
      <c r="Q87" s="406">
        <v>3165.0</v>
      </c>
      <c r="R87" s="137" t="s">
        <v>73</v>
      </c>
      <c r="S87" s="137" t="s">
        <v>2208</v>
      </c>
      <c r="T87" s="669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</row>
    <row r="88">
      <c r="A88" s="12">
        <v>84.0</v>
      </c>
      <c r="B88" s="103" t="s">
        <v>3919</v>
      </c>
      <c r="C88" s="136" t="s">
        <v>3920</v>
      </c>
      <c r="D88" s="103" t="s">
        <v>3921</v>
      </c>
      <c r="E88" s="136" t="s">
        <v>3922</v>
      </c>
      <c r="F88" s="103" t="s">
        <v>3923</v>
      </c>
      <c r="G88" s="137">
        <v>4.0</v>
      </c>
      <c r="H88" s="137" t="s">
        <v>711</v>
      </c>
      <c r="I88" s="619">
        <v>46175.0</v>
      </c>
      <c r="J88" s="619">
        <v>46176.0</v>
      </c>
      <c r="K88" s="138">
        <v>300.0</v>
      </c>
      <c r="L88" s="620">
        <v>2.0</v>
      </c>
      <c r="M88" s="138">
        <f t="shared" si="12"/>
        <v>600</v>
      </c>
      <c r="N88" s="137" t="s">
        <v>71</v>
      </c>
      <c r="O88" s="137" t="s">
        <v>91</v>
      </c>
      <c r="P88" s="137" t="s">
        <v>72</v>
      </c>
      <c r="Q88" s="406">
        <v>3190.0</v>
      </c>
      <c r="R88" s="137" t="s">
        <v>73</v>
      </c>
      <c r="S88" s="137" t="s">
        <v>2208</v>
      </c>
      <c r="T88" s="669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</row>
    <row r="89">
      <c r="A89" s="12">
        <v>85.0</v>
      </c>
      <c r="B89" s="137" t="s">
        <v>3924</v>
      </c>
      <c r="C89" s="137" t="s">
        <v>3925</v>
      </c>
      <c r="D89" s="137" t="s">
        <v>3926</v>
      </c>
      <c r="E89" s="136" t="s">
        <v>3927</v>
      </c>
      <c r="F89" s="137" t="s">
        <v>3928</v>
      </c>
      <c r="G89" s="137">
        <v>10.0</v>
      </c>
      <c r="H89" s="137" t="s">
        <v>711</v>
      </c>
      <c r="I89" s="619">
        <v>46175.0</v>
      </c>
      <c r="J89" s="619">
        <v>46181.0</v>
      </c>
      <c r="K89" s="138">
        <v>300.0</v>
      </c>
      <c r="L89" s="620">
        <v>2.0</v>
      </c>
      <c r="M89" s="138">
        <f t="shared" si="12"/>
        <v>600</v>
      </c>
      <c r="N89" s="137" t="s">
        <v>71</v>
      </c>
      <c r="O89" s="137" t="s">
        <v>91</v>
      </c>
      <c r="P89" s="137" t="s">
        <v>72</v>
      </c>
      <c r="Q89" s="406">
        <v>3214.0</v>
      </c>
      <c r="R89" s="137" t="s">
        <v>73</v>
      </c>
      <c r="S89" s="137" t="s">
        <v>2208</v>
      </c>
      <c r="T89" s="669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</row>
    <row r="90">
      <c r="A90" s="12">
        <v>86.0</v>
      </c>
      <c r="B90" s="103" t="s">
        <v>3929</v>
      </c>
      <c r="C90" s="136" t="s">
        <v>3930</v>
      </c>
      <c r="D90" s="103" t="s">
        <v>3931</v>
      </c>
      <c r="E90" s="136" t="s">
        <v>3932</v>
      </c>
      <c r="F90" s="103" t="s">
        <v>3933</v>
      </c>
      <c r="G90" s="137">
        <v>4.0</v>
      </c>
      <c r="H90" s="137" t="s">
        <v>711</v>
      </c>
      <c r="I90" s="619">
        <v>46175.0</v>
      </c>
      <c r="J90" s="619">
        <v>46175.0</v>
      </c>
      <c r="K90" s="138">
        <v>300.0</v>
      </c>
      <c r="L90" s="620">
        <v>2.0</v>
      </c>
      <c r="M90" s="138">
        <f t="shared" si="12"/>
        <v>600</v>
      </c>
      <c r="N90" s="137" t="s">
        <v>71</v>
      </c>
      <c r="O90" s="137" t="s">
        <v>91</v>
      </c>
      <c r="P90" s="137" t="s">
        <v>72</v>
      </c>
      <c r="Q90" s="406">
        <v>3166.0</v>
      </c>
      <c r="R90" s="137" t="s">
        <v>73</v>
      </c>
      <c r="S90" s="137" t="s">
        <v>2208</v>
      </c>
      <c r="T90" s="669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</row>
    <row r="91">
      <c r="A91" s="12">
        <v>87.0</v>
      </c>
      <c r="B91" s="137" t="s">
        <v>3934</v>
      </c>
      <c r="C91" s="137" t="s">
        <v>3935</v>
      </c>
      <c r="D91" s="137" t="s">
        <v>3936</v>
      </c>
      <c r="E91" s="136" t="s">
        <v>3937</v>
      </c>
      <c r="F91" s="137" t="s">
        <v>2751</v>
      </c>
      <c r="G91" s="137">
        <v>3.0</v>
      </c>
      <c r="H91" s="137" t="s">
        <v>711</v>
      </c>
      <c r="I91" s="619">
        <v>46175.0</v>
      </c>
      <c r="J91" s="619">
        <v>46175.0</v>
      </c>
      <c r="K91" s="138">
        <v>300.0</v>
      </c>
      <c r="L91" s="620">
        <v>2.0</v>
      </c>
      <c r="M91" s="138">
        <f t="shared" si="12"/>
        <v>600</v>
      </c>
      <c r="N91" s="137" t="s">
        <v>71</v>
      </c>
      <c r="O91" s="137" t="s">
        <v>91</v>
      </c>
      <c r="P91" s="137" t="s">
        <v>72</v>
      </c>
      <c r="Q91" s="406">
        <v>3168.0</v>
      </c>
      <c r="R91" s="137" t="s">
        <v>73</v>
      </c>
      <c r="S91" s="137" t="s">
        <v>2208</v>
      </c>
      <c r="T91" s="669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</row>
    <row r="92">
      <c r="A92" s="12">
        <v>88.0</v>
      </c>
      <c r="B92" s="103" t="s">
        <v>3938</v>
      </c>
      <c r="C92" s="136" t="s">
        <v>3939</v>
      </c>
      <c r="D92" s="103" t="s">
        <v>3940</v>
      </c>
      <c r="E92" s="136" t="s">
        <v>3941</v>
      </c>
      <c r="F92" s="103" t="s">
        <v>3942</v>
      </c>
      <c r="G92" s="137">
        <v>3.0</v>
      </c>
      <c r="H92" s="137" t="s">
        <v>711</v>
      </c>
      <c r="I92" s="619">
        <v>46175.0</v>
      </c>
      <c r="J92" s="619">
        <v>46175.0</v>
      </c>
      <c r="K92" s="138">
        <v>300.0</v>
      </c>
      <c r="L92" s="620">
        <v>2.0</v>
      </c>
      <c r="M92" s="138">
        <f t="shared" si="12"/>
        <v>600</v>
      </c>
      <c r="N92" s="137" t="s">
        <v>71</v>
      </c>
      <c r="O92" s="137" t="s">
        <v>91</v>
      </c>
      <c r="P92" s="137" t="s">
        <v>72</v>
      </c>
      <c r="Q92" s="406">
        <v>3169.0</v>
      </c>
      <c r="R92" s="137" t="s">
        <v>73</v>
      </c>
      <c r="S92" s="137" t="s">
        <v>2208</v>
      </c>
      <c r="T92" s="669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</row>
    <row r="93">
      <c r="A93" s="12">
        <v>89.0</v>
      </c>
      <c r="B93" s="103" t="s">
        <v>2891</v>
      </c>
      <c r="C93" s="103" t="s">
        <v>2892</v>
      </c>
      <c r="D93" s="103" t="s">
        <v>2893</v>
      </c>
      <c r="E93" s="103">
        <v>1.1973518269E10</v>
      </c>
      <c r="F93" s="103" t="s">
        <v>2889</v>
      </c>
      <c r="G93" s="103">
        <v>10.0</v>
      </c>
      <c r="H93" s="103" t="s">
        <v>2816</v>
      </c>
      <c r="I93" s="174">
        <v>46147.0</v>
      </c>
      <c r="J93" s="104"/>
      <c r="K93" s="197">
        <v>193.0</v>
      </c>
      <c r="L93" s="480">
        <v>12.0</v>
      </c>
      <c r="M93" s="175">
        <f>K93*L93</f>
        <v>2316</v>
      </c>
      <c r="N93" s="406" t="s">
        <v>28</v>
      </c>
      <c r="O93" s="406" t="s">
        <v>29</v>
      </c>
      <c r="P93" s="406" t="s">
        <v>40</v>
      </c>
      <c r="Q93" s="104"/>
      <c r="R93" s="406" t="s">
        <v>41</v>
      </c>
      <c r="S93" s="406" t="s">
        <v>129</v>
      </c>
      <c r="T93" s="607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</row>
    <row r="94">
      <c r="A94" s="12">
        <v>90.0</v>
      </c>
      <c r="B94" s="97" t="s">
        <v>3943</v>
      </c>
      <c r="C94" s="97">
        <v>4.2236704000104E13</v>
      </c>
      <c r="D94" s="97" t="s">
        <v>3944</v>
      </c>
      <c r="E94" s="200">
        <v>1.1940126177E10</v>
      </c>
      <c r="F94" s="672" t="s">
        <v>3945</v>
      </c>
      <c r="G94" s="137">
        <v>12.0</v>
      </c>
      <c r="H94" s="137" t="s">
        <v>48</v>
      </c>
      <c r="I94" s="619">
        <v>46175.0</v>
      </c>
      <c r="J94" s="609"/>
      <c r="K94" s="138">
        <v>205.0</v>
      </c>
      <c r="L94" s="620">
        <v>12.0</v>
      </c>
      <c r="M94" s="170">
        <f>L94*K94</f>
        <v>2460</v>
      </c>
      <c r="N94" s="137" t="s">
        <v>58</v>
      </c>
      <c r="O94" s="137" t="s">
        <v>29</v>
      </c>
      <c r="P94" s="137" t="s">
        <v>40</v>
      </c>
      <c r="Q94" s="406"/>
      <c r="R94" s="137" t="s">
        <v>233</v>
      </c>
      <c r="S94" s="137" t="s">
        <v>129</v>
      </c>
      <c r="T94" s="66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</row>
    <row r="95">
      <c r="A95" s="12">
        <v>91.0</v>
      </c>
      <c r="B95" s="117" t="s">
        <v>3946</v>
      </c>
      <c r="C95" s="118" t="s">
        <v>3947</v>
      </c>
      <c r="D95" s="112" t="s">
        <v>3948</v>
      </c>
      <c r="E95" s="673" t="s">
        <v>3949</v>
      </c>
      <c r="F95" s="673" t="s">
        <v>3950</v>
      </c>
      <c r="G95" s="112" t="s">
        <v>26</v>
      </c>
      <c r="H95" s="112" t="s">
        <v>3951</v>
      </c>
      <c r="I95" s="674">
        <v>46175.0</v>
      </c>
      <c r="J95" s="675"/>
      <c r="K95" s="142" t="s">
        <v>57</v>
      </c>
      <c r="L95" s="676">
        <v>1.0</v>
      </c>
      <c r="M95" s="142" t="s">
        <v>3952</v>
      </c>
      <c r="N95" s="112" t="s">
        <v>58</v>
      </c>
      <c r="O95" s="677" t="s">
        <v>91</v>
      </c>
      <c r="P95" s="112" t="s">
        <v>40</v>
      </c>
      <c r="Q95" s="678"/>
      <c r="R95" s="679" t="s">
        <v>73</v>
      </c>
      <c r="S95" s="112" t="s">
        <v>148</v>
      </c>
      <c r="T95" s="680" t="s">
        <v>3953</v>
      </c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</row>
    <row r="96">
      <c r="A96" s="12">
        <v>92.0</v>
      </c>
      <c r="B96" s="117" t="s">
        <v>1455</v>
      </c>
      <c r="C96" s="117" t="s">
        <v>1456</v>
      </c>
      <c r="D96" s="137" t="s">
        <v>3948</v>
      </c>
      <c r="E96" s="97" t="s">
        <v>3954</v>
      </c>
      <c r="F96" s="386" t="s">
        <v>3955</v>
      </c>
      <c r="G96" s="137" t="s">
        <v>26</v>
      </c>
      <c r="H96" s="137" t="s">
        <v>3951</v>
      </c>
      <c r="I96" s="619">
        <v>46175.0</v>
      </c>
      <c r="J96" s="609"/>
      <c r="K96" s="138" t="s">
        <v>57</v>
      </c>
      <c r="L96" s="620">
        <v>1.0</v>
      </c>
      <c r="M96" s="138">
        <v>3250.0</v>
      </c>
      <c r="N96" s="137" t="s">
        <v>58</v>
      </c>
      <c r="O96" s="137" t="s">
        <v>91</v>
      </c>
      <c r="P96" s="137" t="s">
        <v>40</v>
      </c>
      <c r="Q96" s="406"/>
      <c r="R96" s="137" t="s">
        <v>73</v>
      </c>
      <c r="S96" s="137" t="s">
        <v>148</v>
      </c>
      <c r="T96" s="680" t="s">
        <v>3953</v>
      </c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</row>
    <row r="97">
      <c r="A97" s="12">
        <v>93.0</v>
      </c>
      <c r="B97" s="613" t="s">
        <v>2234</v>
      </c>
      <c r="C97" s="172" t="s">
        <v>2235</v>
      </c>
      <c r="D97" s="172" t="s">
        <v>2236</v>
      </c>
      <c r="E97" s="172" t="s">
        <v>2237</v>
      </c>
      <c r="F97" s="172" t="s">
        <v>2238</v>
      </c>
      <c r="G97" s="172">
        <v>65.0</v>
      </c>
      <c r="H97" s="103" t="s">
        <v>711</v>
      </c>
      <c r="I97" s="174">
        <v>46125.0</v>
      </c>
      <c r="J97" s="104"/>
      <c r="K97" s="197" t="s">
        <v>57</v>
      </c>
      <c r="L97" s="480">
        <v>1.0</v>
      </c>
      <c r="M97" s="197">
        <v>2800.0</v>
      </c>
      <c r="N97" s="137" t="s">
        <v>58</v>
      </c>
      <c r="O97" s="137" t="s">
        <v>91</v>
      </c>
      <c r="P97" s="137" t="s">
        <v>40</v>
      </c>
      <c r="Q97" s="104"/>
      <c r="R97" s="137" t="s">
        <v>233</v>
      </c>
      <c r="S97" s="137" t="s">
        <v>129</v>
      </c>
      <c r="T97" s="607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</row>
    <row r="98">
      <c r="A98" s="12">
        <v>94.0</v>
      </c>
      <c r="B98" s="681" t="s">
        <v>3956</v>
      </c>
      <c r="C98" s="681" t="s">
        <v>3957</v>
      </c>
      <c r="D98" s="681" t="s">
        <v>1438</v>
      </c>
      <c r="E98" s="682" t="s">
        <v>3958</v>
      </c>
      <c r="F98" s="681" t="s">
        <v>1422</v>
      </c>
      <c r="G98" s="681">
        <v>9.0</v>
      </c>
      <c r="H98" s="683" t="s">
        <v>711</v>
      </c>
      <c r="I98" s="684">
        <v>46191.0</v>
      </c>
      <c r="J98" s="684">
        <v>46192.0</v>
      </c>
      <c r="K98" s="685" t="s">
        <v>1268</v>
      </c>
      <c r="L98" s="686">
        <v>1.0</v>
      </c>
      <c r="M98" s="685">
        <v>500.0</v>
      </c>
      <c r="N98" s="687" t="s">
        <v>71</v>
      </c>
      <c r="O98" s="687" t="s">
        <v>91</v>
      </c>
      <c r="P98" s="687" t="s">
        <v>72</v>
      </c>
      <c r="Q98" s="687">
        <v>3318.0</v>
      </c>
      <c r="R98" s="687" t="s">
        <v>73</v>
      </c>
      <c r="S98" s="687" t="s">
        <v>599</v>
      </c>
      <c r="T98" s="688" t="s">
        <v>3959</v>
      </c>
      <c r="U98" s="689"/>
      <c r="V98" s="689"/>
      <c r="W98" s="689"/>
      <c r="X98" s="689"/>
      <c r="Y98" s="689"/>
      <c r="Z98" s="689"/>
      <c r="AA98" s="689"/>
      <c r="AB98" s="689"/>
      <c r="AC98" s="689"/>
      <c r="AD98" s="689"/>
      <c r="AE98" s="689"/>
      <c r="AF98" s="689"/>
      <c r="AG98" s="689"/>
      <c r="AH98" s="689"/>
      <c r="AI98" s="689"/>
      <c r="AJ98" s="689"/>
      <c r="AK98" s="689"/>
    </row>
    <row r="99" ht="14.25" customHeight="1">
      <c r="A99" s="12">
        <v>95.0</v>
      </c>
      <c r="B99" s="117" t="s">
        <v>3960</v>
      </c>
      <c r="C99" s="117">
        <v>5.3253845000155E13</v>
      </c>
      <c r="D99" s="137" t="s">
        <v>3961</v>
      </c>
      <c r="E99" s="97">
        <v>1.15549034E9</v>
      </c>
      <c r="F99" s="386" t="s">
        <v>3962</v>
      </c>
      <c r="G99" s="137">
        <v>1.0</v>
      </c>
      <c r="H99" s="137" t="s">
        <v>711</v>
      </c>
      <c r="I99" s="619">
        <v>46175.0</v>
      </c>
      <c r="J99" s="619">
        <v>46176.0</v>
      </c>
      <c r="K99" s="138" t="s">
        <v>57</v>
      </c>
      <c r="L99" s="620">
        <v>1.0</v>
      </c>
      <c r="M99" s="138">
        <v>600.0</v>
      </c>
      <c r="N99" s="137" t="s">
        <v>71</v>
      </c>
      <c r="O99" s="137" t="s">
        <v>91</v>
      </c>
      <c r="P99" s="137" t="s">
        <v>72</v>
      </c>
      <c r="Q99" s="406">
        <v>3179.0</v>
      </c>
      <c r="R99" s="137" t="s">
        <v>98</v>
      </c>
      <c r="S99" s="137" t="s">
        <v>599</v>
      </c>
      <c r="T99" s="66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</row>
    <row r="100">
      <c r="A100" s="12">
        <v>96.0</v>
      </c>
      <c r="B100" s="137" t="s">
        <v>3963</v>
      </c>
      <c r="C100" s="136" t="s">
        <v>3964</v>
      </c>
      <c r="D100" s="137" t="s">
        <v>1132</v>
      </c>
      <c r="E100" s="136"/>
      <c r="F100" s="137" t="s">
        <v>3965</v>
      </c>
      <c r="G100" s="97" t="s">
        <v>26</v>
      </c>
      <c r="H100" s="97" t="s">
        <v>711</v>
      </c>
      <c r="I100" s="298">
        <v>46175.0</v>
      </c>
      <c r="J100" s="298">
        <v>46198.0</v>
      </c>
      <c r="K100" s="102">
        <v>200.0</v>
      </c>
      <c r="L100" s="97">
        <v>4.0</v>
      </c>
      <c r="M100" s="138">
        <v>800.0</v>
      </c>
      <c r="N100" s="137" t="s">
        <v>71</v>
      </c>
      <c r="O100" s="137" t="s">
        <v>91</v>
      </c>
      <c r="P100" s="137" t="s">
        <v>72</v>
      </c>
      <c r="Q100" s="97">
        <v>3355.0</v>
      </c>
      <c r="R100" s="137" t="s">
        <v>73</v>
      </c>
      <c r="S100" s="137" t="s">
        <v>148</v>
      </c>
      <c r="T100" s="680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</row>
    <row r="101">
      <c r="A101" s="12">
        <v>97.0</v>
      </c>
      <c r="B101" s="97" t="s">
        <v>3966</v>
      </c>
      <c r="C101" s="97" t="s">
        <v>3967</v>
      </c>
      <c r="D101" s="97" t="s">
        <v>3968</v>
      </c>
      <c r="E101" s="123">
        <v>1.1973689764E10</v>
      </c>
      <c r="F101" s="386" t="s">
        <v>3969</v>
      </c>
      <c r="G101" s="97">
        <v>1.0</v>
      </c>
      <c r="H101" s="97" t="s">
        <v>3970</v>
      </c>
      <c r="I101" s="298">
        <v>46190.0</v>
      </c>
      <c r="J101" s="81"/>
      <c r="K101" s="102" t="s">
        <v>1268</v>
      </c>
      <c r="L101" s="479">
        <v>1.0</v>
      </c>
      <c r="M101" s="102">
        <v>2800.0</v>
      </c>
      <c r="N101" s="161" t="s">
        <v>28</v>
      </c>
      <c r="O101" s="161" t="s">
        <v>91</v>
      </c>
      <c r="P101" s="161" t="s">
        <v>40</v>
      </c>
      <c r="Q101" s="166"/>
      <c r="R101" s="161" t="s">
        <v>73</v>
      </c>
      <c r="S101" s="161" t="s">
        <v>129</v>
      </c>
      <c r="T101" s="611" t="s">
        <v>3971</v>
      </c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</row>
    <row r="102">
      <c r="A102" s="12">
        <v>98.0</v>
      </c>
      <c r="B102" s="690" t="s">
        <v>338</v>
      </c>
      <c r="C102" s="690" t="s">
        <v>339</v>
      </c>
      <c r="D102" s="690" t="s">
        <v>3972</v>
      </c>
      <c r="E102" s="691">
        <v>5.511984350079E12</v>
      </c>
      <c r="F102" s="691" t="s">
        <v>2044</v>
      </c>
      <c r="G102" s="690">
        <v>1.0</v>
      </c>
      <c r="H102" s="690" t="s">
        <v>3973</v>
      </c>
      <c r="I102" s="692">
        <v>46175.0</v>
      </c>
      <c r="J102" s="692">
        <v>46176.0</v>
      </c>
      <c r="K102" s="693" t="s">
        <v>1268</v>
      </c>
      <c r="L102" s="694">
        <v>1.0</v>
      </c>
      <c r="M102" s="693">
        <v>5050.0</v>
      </c>
      <c r="N102" s="695" t="s">
        <v>71</v>
      </c>
      <c r="O102" s="695" t="s">
        <v>91</v>
      </c>
      <c r="P102" s="695" t="s">
        <v>72</v>
      </c>
      <c r="Q102" s="696">
        <v>3189.0</v>
      </c>
      <c r="R102" s="695" t="s">
        <v>73</v>
      </c>
      <c r="S102" s="695" t="s">
        <v>129</v>
      </c>
      <c r="T102" s="697"/>
      <c r="U102" s="698"/>
      <c r="V102" s="698"/>
      <c r="W102" s="698"/>
      <c r="X102" s="698"/>
      <c r="Y102" s="698"/>
      <c r="Z102" s="698"/>
      <c r="AA102" s="698"/>
      <c r="AB102" s="698"/>
      <c r="AC102" s="698"/>
      <c r="AD102" s="698"/>
      <c r="AE102" s="698"/>
      <c r="AF102" s="698"/>
      <c r="AG102" s="698"/>
      <c r="AH102" s="698"/>
      <c r="AI102" s="698"/>
      <c r="AJ102" s="698"/>
      <c r="AK102" s="698"/>
    </row>
    <row r="103">
      <c r="A103" s="12">
        <v>99.0</v>
      </c>
      <c r="B103" s="97" t="s">
        <v>3974</v>
      </c>
      <c r="C103" s="638" t="s">
        <v>3975</v>
      </c>
      <c r="D103" s="97" t="s">
        <v>3976</v>
      </c>
      <c r="E103" s="97" t="s">
        <v>3977</v>
      </c>
      <c r="F103" s="97" t="s">
        <v>1352</v>
      </c>
      <c r="G103" s="81" t="s">
        <v>399</v>
      </c>
      <c r="H103" s="97" t="s">
        <v>3978</v>
      </c>
      <c r="I103" s="298">
        <v>46175.0</v>
      </c>
      <c r="J103" s="435">
        <v>46176.0</v>
      </c>
      <c r="K103" s="102" t="s">
        <v>211</v>
      </c>
      <c r="L103" s="479">
        <v>1.0</v>
      </c>
      <c r="M103" s="102">
        <v>700.0</v>
      </c>
      <c r="N103" s="137" t="s">
        <v>71</v>
      </c>
      <c r="O103" s="137" t="s">
        <v>91</v>
      </c>
      <c r="P103" s="137" t="s">
        <v>72</v>
      </c>
      <c r="Q103" s="434">
        <v>3202.0</v>
      </c>
      <c r="R103" s="137" t="s">
        <v>73</v>
      </c>
      <c r="S103" s="137" t="s">
        <v>31</v>
      </c>
      <c r="T103" s="607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</row>
    <row r="104">
      <c r="A104" s="12">
        <v>100.0</v>
      </c>
      <c r="B104" s="97" t="s">
        <v>3979</v>
      </c>
      <c r="C104" s="638" t="s">
        <v>3980</v>
      </c>
      <c r="D104" s="97" t="s">
        <v>3981</v>
      </c>
      <c r="E104" s="97" t="s">
        <v>3982</v>
      </c>
      <c r="F104" s="97" t="s">
        <v>3983</v>
      </c>
      <c r="G104" s="81" t="s">
        <v>399</v>
      </c>
      <c r="H104" s="97" t="s">
        <v>711</v>
      </c>
      <c r="I104" s="298">
        <v>46171.0</v>
      </c>
      <c r="J104" s="435">
        <v>46175.0</v>
      </c>
      <c r="K104" s="102">
        <v>233.33</v>
      </c>
      <c r="L104" s="479">
        <v>3.0</v>
      </c>
      <c r="M104" s="102">
        <f>K104*3</f>
        <v>699.99</v>
      </c>
      <c r="N104" s="137" t="s">
        <v>71</v>
      </c>
      <c r="O104" s="137" t="s">
        <v>91</v>
      </c>
      <c r="P104" s="137" t="s">
        <v>72</v>
      </c>
      <c r="Q104" s="434">
        <v>3200.0</v>
      </c>
      <c r="R104" s="137" t="s">
        <v>73</v>
      </c>
      <c r="S104" s="137" t="s">
        <v>31</v>
      </c>
      <c r="T104" s="607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</row>
    <row r="105">
      <c r="A105" s="12">
        <v>101.0</v>
      </c>
      <c r="B105" s="97" t="s">
        <v>3984</v>
      </c>
      <c r="C105" s="97">
        <v>1.18806800001E13</v>
      </c>
      <c r="D105" s="97" t="s">
        <v>1601</v>
      </c>
      <c r="E105" s="97">
        <v>1.199590752E10</v>
      </c>
      <c r="F105" s="97" t="s">
        <v>3985</v>
      </c>
      <c r="G105" s="97">
        <v>1.0</v>
      </c>
      <c r="H105" s="97" t="s">
        <v>254</v>
      </c>
      <c r="I105" s="298">
        <v>46174.0</v>
      </c>
      <c r="J105" s="298">
        <v>46175.0</v>
      </c>
      <c r="K105" s="102">
        <v>250.0</v>
      </c>
      <c r="L105" s="479">
        <v>2.0</v>
      </c>
      <c r="M105" s="102">
        <f>K105*2</f>
        <v>500</v>
      </c>
      <c r="N105" s="137" t="s">
        <v>71</v>
      </c>
      <c r="O105" s="137" t="s">
        <v>91</v>
      </c>
      <c r="P105" s="137" t="s">
        <v>72</v>
      </c>
      <c r="Q105" s="97">
        <v>3192.0</v>
      </c>
      <c r="R105" s="137" t="s">
        <v>73</v>
      </c>
      <c r="S105" s="137" t="s">
        <v>129</v>
      </c>
      <c r="T105" s="607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</row>
    <row r="106">
      <c r="A106" s="12">
        <v>102.0</v>
      </c>
      <c r="B106" s="97" t="s">
        <v>3986</v>
      </c>
      <c r="C106" s="97" t="s">
        <v>3987</v>
      </c>
      <c r="D106" s="97" t="s">
        <v>3988</v>
      </c>
      <c r="E106" s="81"/>
      <c r="F106" s="97" t="s">
        <v>3989</v>
      </c>
      <c r="G106" s="97">
        <v>1.0</v>
      </c>
      <c r="H106" s="97" t="s">
        <v>3990</v>
      </c>
      <c r="I106" s="298">
        <v>46175.0</v>
      </c>
      <c r="J106" s="81"/>
      <c r="K106" s="102" t="s">
        <v>1268</v>
      </c>
      <c r="L106" s="479">
        <v>1.0</v>
      </c>
      <c r="M106" s="102">
        <v>2850.0</v>
      </c>
      <c r="N106" s="137" t="s">
        <v>28</v>
      </c>
      <c r="O106" s="137" t="s">
        <v>91</v>
      </c>
      <c r="P106" s="137" t="s">
        <v>40</v>
      </c>
      <c r="Q106" s="81"/>
      <c r="R106" s="137" t="s">
        <v>73</v>
      </c>
      <c r="S106" s="137" t="s">
        <v>129</v>
      </c>
      <c r="T106" s="611" t="s">
        <v>3991</v>
      </c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</row>
    <row r="107">
      <c r="A107" s="12">
        <v>103.0</v>
      </c>
      <c r="B107" s="166" t="s">
        <v>3992</v>
      </c>
      <c r="C107" s="166" t="s">
        <v>3993</v>
      </c>
      <c r="D107" s="166" t="s">
        <v>3994</v>
      </c>
      <c r="E107" s="166" t="s">
        <v>3995</v>
      </c>
      <c r="F107" s="699" t="s">
        <v>3996</v>
      </c>
      <c r="G107" s="166">
        <v>3.0</v>
      </c>
      <c r="H107" s="97" t="s">
        <v>2816</v>
      </c>
      <c r="I107" s="623">
        <v>46171.0</v>
      </c>
      <c r="J107" s="298">
        <v>46175.0</v>
      </c>
      <c r="K107" s="165">
        <v>151.0</v>
      </c>
      <c r="L107" s="624">
        <v>12.0</v>
      </c>
      <c r="M107" s="165">
        <f>K107*12</f>
        <v>1812</v>
      </c>
      <c r="N107" s="161" t="s">
        <v>71</v>
      </c>
      <c r="O107" s="481" t="s">
        <v>29</v>
      </c>
      <c r="P107" s="161" t="s">
        <v>72</v>
      </c>
      <c r="Q107" s="161">
        <v>3174.0</v>
      </c>
      <c r="R107" s="481" t="s">
        <v>233</v>
      </c>
      <c r="S107" s="481" t="s">
        <v>148</v>
      </c>
      <c r="T107" s="62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</row>
    <row r="108">
      <c r="A108" s="12">
        <v>104.0</v>
      </c>
      <c r="B108" s="545" t="s">
        <v>3997</v>
      </c>
      <c r="C108" s="544">
        <v>2.3236074000127E13</v>
      </c>
      <c r="D108" s="544" t="s">
        <v>3998</v>
      </c>
      <c r="E108" s="544">
        <v>1.1950407564E10</v>
      </c>
      <c r="F108" s="544" t="s">
        <v>2420</v>
      </c>
      <c r="G108" s="544">
        <v>7.0</v>
      </c>
      <c r="H108" s="434" t="s">
        <v>65</v>
      </c>
      <c r="I108" s="435">
        <v>46176.0</v>
      </c>
      <c r="J108" s="435">
        <v>46183.0</v>
      </c>
      <c r="K108" s="436" t="s">
        <v>1268</v>
      </c>
      <c r="L108" s="700">
        <v>1.0</v>
      </c>
      <c r="M108" s="436">
        <v>1250.0</v>
      </c>
      <c r="N108" s="545" t="s">
        <v>71</v>
      </c>
      <c r="O108" s="544" t="s">
        <v>91</v>
      </c>
      <c r="P108" s="545" t="s">
        <v>72</v>
      </c>
      <c r="Q108" s="545">
        <v>3222.0</v>
      </c>
      <c r="R108" s="544" t="s">
        <v>73</v>
      </c>
      <c r="S108" s="544" t="s">
        <v>129</v>
      </c>
      <c r="T108" s="615"/>
      <c r="U108" s="412"/>
      <c r="V108" s="412"/>
      <c r="W108" s="412"/>
      <c r="X108" s="412"/>
      <c r="Y108" s="412"/>
      <c r="Z108" s="412"/>
      <c r="AA108" s="412"/>
      <c r="AB108" s="412"/>
      <c r="AC108" s="412"/>
      <c r="AD108" s="412"/>
      <c r="AE108" s="412"/>
      <c r="AF108" s="412"/>
      <c r="AG108" s="412"/>
      <c r="AH108" s="412"/>
      <c r="AI108" s="412"/>
      <c r="AJ108" s="412"/>
      <c r="AK108" s="412"/>
    </row>
    <row r="109">
      <c r="A109" s="12">
        <v>105.0</v>
      </c>
      <c r="B109" s="342" t="s">
        <v>3999</v>
      </c>
      <c r="C109" s="342" t="s">
        <v>4000</v>
      </c>
      <c r="D109" s="103" t="s">
        <v>3594</v>
      </c>
      <c r="E109" s="701">
        <v>1.159177996E10</v>
      </c>
      <c r="F109" s="196" t="s">
        <v>4001</v>
      </c>
      <c r="G109" s="103">
        <v>7.0</v>
      </c>
      <c r="H109" s="103" t="s">
        <v>4002</v>
      </c>
      <c r="I109" s="174">
        <v>46174.0</v>
      </c>
      <c r="J109" s="174">
        <v>46174.0</v>
      </c>
      <c r="K109" s="197">
        <v>300.0</v>
      </c>
      <c r="L109" s="480">
        <v>12.0</v>
      </c>
      <c r="M109" s="175">
        <f>K109*12</f>
        <v>3600</v>
      </c>
      <c r="N109" s="185" t="s">
        <v>71</v>
      </c>
      <c r="O109" s="185" t="s">
        <v>29</v>
      </c>
      <c r="P109" s="185" t="s">
        <v>72</v>
      </c>
      <c r="Q109" s="103">
        <v>3170.0</v>
      </c>
      <c r="R109" s="185" t="s">
        <v>3645</v>
      </c>
      <c r="S109" s="185" t="s">
        <v>148</v>
      </c>
      <c r="T109" s="663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</row>
    <row r="110">
      <c r="A110" s="12">
        <v>106.0</v>
      </c>
      <c r="B110" s="434" t="s">
        <v>4003</v>
      </c>
      <c r="C110" s="434" t="s">
        <v>4004</v>
      </c>
      <c r="D110" s="434" t="s">
        <v>4005</v>
      </c>
      <c r="E110" s="702" t="s">
        <v>4006</v>
      </c>
      <c r="F110" s="703" t="s">
        <v>4007</v>
      </c>
      <c r="G110" s="434" t="s">
        <v>26</v>
      </c>
      <c r="H110" s="434" t="s">
        <v>1703</v>
      </c>
      <c r="I110" s="435">
        <v>46176.0</v>
      </c>
      <c r="J110" s="435">
        <v>46188.0</v>
      </c>
      <c r="K110" s="436">
        <v>3550.0</v>
      </c>
      <c r="L110" s="700">
        <v>6.0</v>
      </c>
      <c r="M110" s="436">
        <f>K110*6</f>
        <v>21300</v>
      </c>
      <c r="N110" s="406" t="s">
        <v>71</v>
      </c>
      <c r="O110" s="406" t="s">
        <v>91</v>
      </c>
      <c r="P110" s="406" t="s">
        <v>72</v>
      </c>
      <c r="Q110" s="434">
        <v>3274.0</v>
      </c>
      <c r="R110" s="406" t="s">
        <v>98</v>
      </c>
      <c r="S110" s="406" t="s">
        <v>148</v>
      </c>
      <c r="T110" s="688" t="s">
        <v>4008</v>
      </c>
      <c r="U110" s="412"/>
      <c r="V110" s="412"/>
      <c r="W110" s="412"/>
      <c r="X110" s="412"/>
      <c r="Y110" s="412"/>
      <c r="Z110" s="412"/>
      <c r="AA110" s="412"/>
      <c r="AB110" s="412"/>
      <c r="AC110" s="412"/>
      <c r="AD110" s="412"/>
      <c r="AE110" s="412"/>
      <c r="AF110" s="412"/>
      <c r="AG110" s="412"/>
      <c r="AH110" s="412"/>
      <c r="AI110" s="412"/>
      <c r="AJ110" s="412"/>
      <c r="AK110" s="412"/>
    </row>
    <row r="111">
      <c r="A111" s="12">
        <v>107.0</v>
      </c>
      <c r="B111" s="97" t="s">
        <v>4009</v>
      </c>
      <c r="C111" s="97" t="s">
        <v>4010</v>
      </c>
      <c r="D111" s="97" t="s">
        <v>4011</v>
      </c>
      <c r="E111" s="97" t="s">
        <v>4012</v>
      </c>
      <c r="F111" s="413" t="s">
        <v>4013</v>
      </c>
      <c r="G111" s="97">
        <v>1.0</v>
      </c>
      <c r="H111" s="97" t="s">
        <v>2816</v>
      </c>
      <c r="I111" s="298">
        <v>46147.0</v>
      </c>
      <c r="J111" s="298">
        <v>46179.0</v>
      </c>
      <c r="K111" s="102">
        <v>139.0</v>
      </c>
      <c r="L111" s="479">
        <v>12.0</v>
      </c>
      <c r="M111" s="102">
        <f>K111*12</f>
        <v>1668</v>
      </c>
      <c r="N111" s="137" t="s">
        <v>71</v>
      </c>
      <c r="O111" s="137" t="s">
        <v>29</v>
      </c>
      <c r="P111" s="137" t="s">
        <v>72</v>
      </c>
      <c r="Q111" s="97">
        <v>3234.0</v>
      </c>
      <c r="R111" s="137" t="s">
        <v>73</v>
      </c>
      <c r="S111" s="137" t="s">
        <v>148</v>
      </c>
      <c r="T111" s="61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</row>
    <row r="112">
      <c r="A112" s="12">
        <v>108.0</v>
      </c>
      <c r="B112" s="434" t="s">
        <v>4014</v>
      </c>
      <c r="C112" s="434" t="s">
        <v>4015</v>
      </c>
      <c r="D112" s="434" t="s">
        <v>4016</v>
      </c>
      <c r="E112" s="434" t="s">
        <v>4017</v>
      </c>
      <c r="F112" s="434" t="s">
        <v>2923</v>
      </c>
      <c r="G112" s="434">
        <v>2.0</v>
      </c>
      <c r="H112" s="434" t="s">
        <v>4018</v>
      </c>
      <c r="I112" s="435">
        <v>46171.0</v>
      </c>
      <c r="J112" s="435">
        <v>46174.0</v>
      </c>
      <c r="K112" s="436" t="s">
        <v>57</v>
      </c>
      <c r="L112" s="700">
        <v>1.0</v>
      </c>
      <c r="M112" s="436">
        <v>1800.0</v>
      </c>
      <c r="N112" s="434" t="s">
        <v>71</v>
      </c>
      <c r="O112" s="434" t="s">
        <v>91</v>
      </c>
      <c r="P112" s="434" t="s">
        <v>72</v>
      </c>
      <c r="Q112" s="434">
        <v>3204.0</v>
      </c>
      <c r="R112" s="434" t="s">
        <v>73</v>
      </c>
      <c r="S112" s="434" t="s">
        <v>31</v>
      </c>
      <c r="T112" s="615" t="s">
        <v>4019</v>
      </c>
      <c r="U112" s="704"/>
      <c r="V112" s="704"/>
      <c r="W112" s="705"/>
      <c r="X112" s="706"/>
      <c r="Y112" s="705"/>
      <c r="Z112" s="707"/>
      <c r="AA112" s="707"/>
      <c r="AB112" s="707"/>
      <c r="AC112" s="707"/>
      <c r="AD112" s="707"/>
      <c r="AE112" s="707"/>
      <c r="AF112" s="707"/>
      <c r="AG112" s="704"/>
      <c r="AH112" s="704"/>
      <c r="AI112" s="705"/>
      <c r="AJ112" s="706"/>
      <c r="AK112" s="705"/>
    </row>
    <row r="113">
      <c r="A113" s="12">
        <v>109.0</v>
      </c>
      <c r="B113" s="97" t="s">
        <v>4020</v>
      </c>
      <c r="C113" s="97" t="s">
        <v>4021</v>
      </c>
      <c r="D113" s="97" t="s">
        <v>4022</v>
      </c>
      <c r="E113" s="97" t="s">
        <v>4023</v>
      </c>
      <c r="F113" s="97" t="s">
        <v>4024</v>
      </c>
      <c r="G113" s="161">
        <v>12.0</v>
      </c>
      <c r="H113" s="161" t="s">
        <v>39</v>
      </c>
      <c r="I113" s="708">
        <v>46176.0</v>
      </c>
      <c r="J113" s="298"/>
      <c r="K113" s="164">
        <v>205.0</v>
      </c>
      <c r="L113" s="709">
        <v>12.0</v>
      </c>
      <c r="M113" s="165">
        <f>K113*12</f>
        <v>2460</v>
      </c>
      <c r="N113" s="161" t="s">
        <v>58</v>
      </c>
      <c r="O113" s="161" t="s">
        <v>29</v>
      </c>
      <c r="P113" s="161" t="s">
        <v>40</v>
      </c>
      <c r="Q113" s="545"/>
      <c r="R113" s="161" t="s">
        <v>1979</v>
      </c>
      <c r="S113" s="161" t="s">
        <v>148</v>
      </c>
      <c r="T113" s="635" t="s">
        <v>4025</v>
      </c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</row>
    <row r="114">
      <c r="A114" s="12">
        <v>110.0</v>
      </c>
      <c r="B114" s="97" t="s">
        <v>4026</v>
      </c>
      <c r="C114" s="97" t="s">
        <v>4027</v>
      </c>
      <c r="D114" s="97" t="s">
        <v>4028</v>
      </c>
      <c r="E114" s="97" t="s">
        <v>4029</v>
      </c>
      <c r="F114" s="97" t="s">
        <v>4030</v>
      </c>
      <c r="G114" s="161">
        <v>9.0</v>
      </c>
      <c r="H114" s="161" t="s">
        <v>711</v>
      </c>
      <c r="I114" s="161" t="s">
        <v>4031</v>
      </c>
      <c r="J114" s="298">
        <v>46176.0</v>
      </c>
      <c r="K114" s="164">
        <v>500.0</v>
      </c>
      <c r="L114" s="709">
        <v>2.0</v>
      </c>
      <c r="M114" s="164">
        <f>K114*2</f>
        <v>1000</v>
      </c>
      <c r="N114" s="161" t="s">
        <v>71</v>
      </c>
      <c r="O114" s="161" t="s">
        <v>91</v>
      </c>
      <c r="P114" s="161" t="s">
        <v>72</v>
      </c>
      <c r="Q114" s="545">
        <v>3191.0</v>
      </c>
      <c r="R114" s="161" t="s">
        <v>73</v>
      </c>
      <c r="S114" s="161" t="s">
        <v>2208</v>
      </c>
      <c r="T114" s="62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</row>
    <row r="115" ht="347.25" customHeight="1">
      <c r="A115" s="12">
        <v>111.0</v>
      </c>
      <c r="B115" s="106" t="s">
        <v>4032</v>
      </c>
      <c r="C115" s="106" t="s">
        <v>4033</v>
      </c>
      <c r="D115" s="106" t="s">
        <v>4034</v>
      </c>
      <c r="E115" s="106">
        <v>1.1946275114E10</v>
      </c>
      <c r="F115" s="303" t="s">
        <v>4035</v>
      </c>
      <c r="G115" s="106">
        <v>20.0</v>
      </c>
      <c r="H115" s="107" t="s">
        <v>123</v>
      </c>
      <c r="I115" s="108">
        <v>46198.0</v>
      </c>
      <c r="J115" s="108">
        <v>46198.0</v>
      </c>
      <c r="K115" s="89">
        <v>270.0</v>
      </c>
      <c r="L115" s="254" t="s">
        <v>1178</v>
      </c>
      <c r="M115" s="89">
        <f t="shared" ref="M115:M117" si="13">K115*12</f>
        <v>3240</v>
      </c>
      <c r="N115" s="86" t="s">
        <v>71</v>
      </c>
      <c r="O115" s="86" t="s">
        <v>29</v>
      </c>
      <c r="P115" s="86" t="s">
        <v>72</v>
      </c>
      <c r="Q115" s="106">
        <v>3353.0</v>
      </c>
      <c r="R115" s="86" t="s">
        <v>233</v>
      </c>
      <c r="S115" s="86" t="s">
        <v>110</v>
      </c>
      <c r="T115" s="650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</row>
    <row r="116">
      <c r="A116" s="12">
        <v>112.0</v>
      </c>
      <c r="B116" s="106" t="s">
        <v>4036</v>
      </c>
      <c r="C116" s="106" t="s">
        <v>4037</v>
      </c>
      <c r="D116" s="106" t="s">
        <v>4038</v>
      </c>
      <c r="E116" s="106">
        <v>1.1995397721E10</v>
      </c>
      <c r="F116" s="303" t="s">
        <v>4039</v>
      </c>
      <c r="G116" s="106">
        <v>4.0</v>
      </c>
      <c r="H116" s="107" t="s">
        <v>123</v>
      </c>
      <c r="I116" s="108">
        <v>46198.0</v>
      </c>
      <c r="J116" s="108">
        <v>46198.0</v>
      </c>
      <c r="K116" s="89">
        <v>157.0</v>
      </c>
      <c r="L116" s="254" t="s">
        <v>1178</v>
      </c>
      <c r="M116" s="89">
        <f t="shared" si="13"/>
        <v>1884</v>
      </c>
      <c r="N116" s="86" t="s">
        <v>71</v>
      </c>
      <c r="O116" s="86" t="s">
        <v>91</v>
      </c>
      <c r="P116" s="86" t="s">
        <v>72</v>
      </c>
      <c r="Q116" s="106">
        <v>3354.0</v>
      </c>
      <c r="R116" s="86" t="s">
        <v>233</v>
      </c>
      <c r="S116" s="86" t="s">
        <v>110</v>
      </c>
      <c r="T116" s="650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</row>
    <row r="117">
      <c r="A117" s="12">
        <v>113.0</v>
      </c>
      <c r="B117" s="106" t="s">
        <v>4040</v>
      </c>
      <c r="C117" s="106" t="s">
        <v>4041</v>
      </c>
      <c r="D117" s="106" t="s">
        <v>4042</v>
      </c>
      <c r="E117" s="106">
        <v>5.511930024143E12</v>
      </c>
      <c r="F117" s="310" t="s">
        <v>4043</v>
      </c>
      <c r="G117" s="106">
        <v>25.0</v>
      </c>
      <c r="H117" s="107" t="s">
        <v>123</v>
      </c>
      <c r="I117" s="108">
        <v>46195.0</v>
      </c>
      <c r="J117" s="108">
        <v>46198.0</v>
      </c>
      <c r="K117" s="89">
        <v>262.5</v>
      </c>
      <c r="L117" s="467">
        <v>12.0</v>
      </c>
      <c r="M117" s="89">
        <f t="shared" si="13"/>
        <v>3150</v>
      </c>
      <c r="N117" s="86" t="s">
        <v>71</v>
      </c>
      <c r="O117" s="86" t="s">
        <v>29</v>
      </c>
      <c r="P117" s="86" t="s">
        <v>72</v>
      </c>
      <c r="Q117" s="106">
        <v>3356.0</v>
      </c>
      <c r="R117" s="86" t="s">
        <v>233</v>
      </c>
      <c r="S117" s="86" t="s">
        <v>110</v>
      </c>
      <c r="T117" s="650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</row>
    <row r="118">
      <c r="A118" s="12">
        <v>114.0</v>
      </c>
      <c r="B118" s="136" t="s">
        <v>338</v>
      </c>
      <c r="C118" s="136" t="s">
        <v>339</v>
      </c>
      <c r="D118" s="136" t="s">
        <v>3972</v>
      </c>
      <c r="E118" s="136" t="s">
        <v>4044</v>
      </c>
      <c r="F118" s="710" t="s">
        <v>2044</v>
      </c>
      <c r="G118" s="136">
        <v>1.0</v>
      </c>
      <c r="H118" s="136" t="s">
        <v>4045</v>
      </c>
      <c r="I118" s="408">
        <v>46170.0</v>
      </c>
      <c r="J118" s="408">
        <v>46176.0</v>
      </c>
      <c r="K118" s="409" t="s">
        <v>57</v>
      </c>
      <c r="L118" s="630">
        <v>1.0</v>
      </c>
      <c r="M118" s="409">
        <v>900.0</v>
      </c>
      <c r="N118" s="406" t="s">
        <v>71</v>
      </c>
      <c r="O118" s="406" t="s">
        <v>91</v>
      </c>
      <c r="P118" s="406" t="s">
        <v>72</v>
      </c>
      <c r="Q118" s="136" t="s">
        <v>26</v>
      </c>
      <c r="R118" s="406" t="s">
        <v>73</v>
      </c>
      <c r="S118" s="406" t="s">
        <v>148</v>
      </c>
      <c r="T118" s="711" t="s">
        <v>4046</v>
      </c>
      <c r="U118" s="356"/>
      <c r="V118" s="356"/>
      <c r="W118" s="356"/>
      <c r="X118" s="356"/>
      <c r="Y118" s="356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</row>
    <row r="119">
      <c r="A119" s="12">
        <v>115.0</v>
      </c>
      <c r="B119" s="97" t="s">
        <v>4047</v>
      </c>
      <c r="C119" s="97" t="s">
        <v>4048</v>
      </c>
      <c r="D119" s="97" t="s">
        <v>190</v>
      </c>
      <c r="E119" s="97" t="s">
        <v>4049</v>
      </c>
      <c r="F119" s="97" t="s">
        <v>4050</v>
      </c>
      <c r="G119" s="97">
        <v>3.0</v>
      </c>
      <c r="H119" s="97" t="s">
        <v>4051</v>
      </c>
      <c r="I119" s="298">
        <v>46171.0</v>
      </c>
      <c r="J119" s="298">
        <v>46178.0</v>
      </c>
      <c r="K119" s="102">
        <v>151.0</v>
      </c>
      <c r="L119" s="479">
        <v>12.0</v>
      </c>
      <c r="M119" s="102">
        <f t="shared" ref="M119:M122" si="14">K119*12</f>
        <v>1812</v>
      </c>
      <c r="N119" s="137" t="s">
        <v>71</v>
      </c>
      <c r="O119" s="137" t="s">
        <v>29</v>
      </c>
      <c r="P119" s="137" t="s">
        <v>72</v>
      </c>
      <c r="Q119" s="434">
        <v>3194.0</v>
      </c>
      <c r="R119" s="137" t="s">
        <v>3645</v>
      </c>
      <c r="S119" s="137" t="s">
        <v>2208</v>
      </c>
      <c r="T119" s="61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</row>
    <row r="120">
      <c r="A120" s="12">
        <v>116.0</v>
      </c>
      <c r="B120" s="136" t="s">
        <v>4052</v>
      </c>
      <c r="C120" s="137" t="s">
        <v>4053</v>
      </c>
      <c r="D120" s="137" t="s">
        <v>4054</v>
      </c>
      <c r="E120" s="137" t="s">
        <v>4055</v>
      </c>
      <c r="F120" s="712" t="s">
        <v>4056</v>
      </c>
      <c r="G120" s="137">
        <v>1.0</v>
      </c>
      <c r="H120" s="103" t="s">
        <v>2816</v>
      </c>
      <c r="I120" s="174">
        <v>46178.0</v>
      </c>
      <c r="J120" s="104"/>
      <c r="K120" s="197">
        <v>139.0</v>
      </c>
      <c r="L120" s="480">
        <v>12.0</v>
      </c>
      <c r="M120" s="197">
        <f t="shared" si="14"/>
        <v>1668</v>
      </c>
      <c r="N120" s="137" t="s">
        <v>58</v>
      </c>
      <c r="O120" s="137" t="s">
        <v>29</v>
      </c>
      <c r="P120" s="137" t="s">
        <v>40</v>
      </c>
      <c r="Q120" s="613"/>
      <c r="R120" s="137" t="s">
        <v>73</v>
      </c>
      <c r="S120" s="137" t="s">
        <v>148</v>
      </c>
      <c r="T120" s="626" t="s">
        <v>4057</v>
      </c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</row>
    <row r="121">
      <c r="A121" s="12">
        <v>117.0</v>
      </c>
      <c r="B121" s="342" t="s">
        <v>4058</v>
      </c>
      <c r="C121" s="713" t="s">
        <v>4059</v>
      </c>
      <c r="D121" s="103" t="s">
        <v>4060</v>
      </c>
      <c r="E121" s="714" t="s">
        <v>4049</v>
      </c>
      <c r="F121" s="715" t="s">
        <v>4050</v>
      </c>
      <c r="G121" s="103">
        <v>5.0</v>
      </c>
      <c r="H121" s="103" t="s">
        <v>2816</v>
      </c>
      <c r="I121" s="174">
        <v>46175.0</v>
      </c>
      <c r="J121" s="174">
        <v>46175.0</v>
      </c>
      <c r="K121" s="197">
        <v>163.0</v>
      </c>
      <c r="L121" s="480">
        <v>12.0</v>
      </c>
      <c r="M121" s="175">
        <f t="shared" si="14"/>
        <v>1956</v>
      </c>
      <c r="N121" s="185" t="s">
        <v>71</v>
      </c>
      <c r="O121" s="185" t="s">
        <v>29</v>
      </c>
      <c r="P121" s="185" t="s">
        <v>72</v>
      </c>
      <c r="Q121" s="136">
        <v>3196.0</v>
      </c>
      <c r="R121" s="185" t="s">
        <v>3645</v>
      </c>
      <c r="S121" s="185" t="s">
        <v>148</v>
      </c>
      <c r="T121" s="626" t="s">
        <v>4061</v>
      </c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</row>
    <row r="122">
      <c r="A122" s="12">
        <v>118.0</v>
      </c>
      <c r="B122" s="716" t="s">
        <v>4062</v>
      </c>
      <c r="C122" s="638" t="s">
        <v>4063</v>
      </c>
      <c r="D122" s="97" t="s">
        <v>3233</v>
      </c>
      <c r="E122" s="638" t="s">
        <v>4064</v>
      </c>
      <c r="F122" s="386" t="s">
        <v>4065</v>
      </c>
      <c r="G122" s="97">
        <v>100.0</v>
      </c>
      <c r="H122" s="103" t="s">
        <v>2816</v>
      </c>
      <c r="I122" s="298">
        <v>46181.0</v>
      </c>
      <c r="J122" s="81"/>
      <c r="K122" s="102">
        <v>1405.0</v>
      </c>
      <c r="L122" s="479">
        <v>12.0</v>
      </c>
      <c r="M122" s="102">
        <f t="shared" si="14"/>
        <v>16860</v>
      </c>
      <c r="N122" s="137" t="s">
        <v>58</v>
      </c>
      <c r="O122" s="137" t="s">
        <v>29</v>
      </c>
      <c r="P122" s="137" t="s">
        <v>40</v>
      </c>
      <c r="Q122" s="717"/>
      <c r="R122" s="137"/>
      <c r="S122" s="137" t="s">
        <v>148</v>
      </c>
      <c r="T122" s="611" t="s">
        <v>4066</v>
      </c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</row>
    <row r="123">
      <c r="A123" s="12">
        <v>119.0</v>
      </c>
      <c r="B123" s="638" t="s">
        <v>4067</v>
      </c>
      <c r="C123" s="638" t="s">
        <v>4068</v>
      </c>
      <c r="D123" s="97" t="s">
        <v>4069</v>
      </c>
      <c r="E123" s="638" t="s">
        <v>4070</v>
      </c>
      <c r="F123" s="718" t="s">
        <v>4071</v>
      </c>
      <c r="G123" s="97">
        <v>8.0</v>
      </c>
      <c r="H123" s="103" t="s">
        <v>711</v>
      </c>
      <c r="I123" s="298">
        <v>46181.0</v>
      </c>
      <c r="J123" s="298">
        <v>46189.0</v>
      </c>
      <c r="K123" s="102">
        <v>175.0</v>
      </c>
      <c r="L123" s="479">
        <v>4.0</v>
      </c>
      <c r="M123" s="102">
        <f t="shared" ref="M123:M125" si="15">K123*4</f>
        <v>700</v>
      </c>
      <c r="N123" s="137" t="s">
        <v>71</v>
      </c>
      <c r="O123" s="137" t="s">
        <v>91</v>
      </c>
      <c r="P123" s="137" t="s">
        <v>72</v>
      </c>
      <c r="Q123" s="434">
        <v>3254.0</v>
      </c>
      <c r="R123" s="137" t="s">
        <v>73</v>
      </c>
      <c r="S123" s="137" t="s">
        <v>2208</v>
      </c>
      <c r="T123" s="61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</row>
    <row r="124">
      <c r="A124" s="12">
        <v>120.0</v>
      </c>
      <c r="B124" s="638" t="s">
        <v>4072</v>
      </c>
      <c r="C124" s="638" t="s">
        <v>4073</v>
      </c>
      <c r="D124" s="97" t="s">
        <v>4069</v>
      </c>
      <c r="E124" s="638" t="s">
        <v>4074</v>
      </c>
      <c r="F124" s="718" t="s">
        <v>4071</v>
      </c>
      <c r="G124" s="97">
        <v>5.0</v>
      </c>
      <c r="H124" s="103" t="s">
        <v>711</v>
      </c>
      <c r="I124" s="298">
        <v>46181.0</v>
      </c>
      <c r="J124" s="298">
        <v>46189.0</v>
      </c>
      <c r="K124" s="102">
        <v>175.0</v>
      </c>
      <c r="L124" s="479">
        <v>4.0</v>
      </c>
      <c r="M124" s="102">
        <f t="shared" si="15"/>
        <v>700</v>
      </c>
      <c r="N124" s="137" t="s">
        <v>71</v>
      </c>
      <c r="O124" s="137" t="s">
        <v>91</v>
      </c>
      <c r="P124" s="137" t="s">
        <v>72</v>
      </c>
      <c r="Q124" s="434">
        <v>3253.0</v>
      </c>
      <c r="R124" s="137" t="s">
        <v>73</v>
      </c>
      <c r="S124" s="137" t="s">
        <v>2208</v>
      </c>
      <c r="T124" s="61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</row>
    <row r="125">
      <c r="A125" s="12">
        <v>121.0</v>
      </c>
      <c r="B125" s="638" t="s">
        <v>4075</v>
      </c>
      <c r="C125" s="638" t="s">
        <v>4076</v>
      </c>
      <c r="D125" s="97" t="s">
        <v>4069</v>
      </c>
      <c r="E125" s="638" t="s">
        <v>4074</v>
      </c>
      <c r="F125" s="718" t="s">
        <v>4071</v>
      </c>
      <c r="G125" s="97">
        <v>4.0</v>
      </c>
      <c r="H125" s="103" t="s">
        <v>711</v>
      </c>
      <c r="I125" s="298">
        <v>46181.0</v>
      </c>
      <c r="J125" s="298">
        <v>46189.0</v>
      </c>
      <c r="K125" s="102">
        <v>175.0</v>
      </c>
      <c r="L125" s="479">
        <v>4.0</v>
      </c>
      <c r="M125" s="102">
        <f t="shared" si="15"/>
        <v>700</v>
      </c>
      <c r="N125" s="137" t="s">
        <v>71</v>
      </c>
      <c r="O125" s="137" t="s">
        <v>91</v>
      </c>
      <c r="P125" s="137" t="s">
        <v>72</v>
      </c>
      <c r="Q125" s="434">
        <v>3252.0</v>
      </c>
      <c r="R125" s="137" t="s">
        <v>73</v>
      </c>
      <c r="S125" s="137" t="s">
        <v>2208</v>
      </c>
      <c r="T125" s="61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</row>
    <row r="126">
      <c r="A126" s="12">
        <v>122.0</v>
      </c>
      <c r="B126" s="97" t="s">
        <v>4077</v>
      </c>
      <c r="C126" s="97" t="s">
        <v>4078</v>
      </c>
      <c r="D126" s="97" t="s">
        <v>4079</v>
      </c>
      <c r="E126" s="97" t="s">
        <v>4080</v>
      </c>
      <c r="F126" s="97" t="s">
        <v>4081</v>
      </c>
      <c r="G126" s="97">
        <v>13.0</v>
      </c>
      <c r="H126" s="103" t="s">
        <v>3755</v>
      </c>
      <c r="I126" s="298">
        <v>46181.0</v>
      </c>
      <c r="J126" s="81"/>
      <c r="K126" s="102"/>
      <c r="L126" s="479"/>
      <c r="M126" s="102">
        <v>2532.0</v>
      </c>
      <c r="N126" s="137" t="s">
        <v>58</v>
      </c>
      <c r="O126" s="137" t="s">
        <v>91</v>
      </c>
      <c r="P126" s="137" t="s">
        <v>40</v>
      </c>
      <c r="Q126" s="717"/>
      <c r="R126" s="137" t="s">
        <v>3645</v>
      </c>
      <c r="S126" s="137" t="s">
        <v>2208</v>
      </c>
      <c r="T126" s="61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</row>
    <row r="127">
      <c r="A127" s="12">
        <v>123.0</v>
      </c>
      <c r="B127" s="106" t="s">
        <v>4082</v>
      </c>
      <c r="C127" s="106" t="s">
        <v>4083</v>
      </c>
      <c r="D127" s="106" t="s">
        <v>4042</v>
      </c>
      <c r="E127" s="106">
        <v>5.511930024143E12</v>
      </c>
      <c r="F127" s="303" t="s">
        <v>4043</v>
      </c>
      <c r="G127" s="106">
        <v>25.0</v>
      </c>
      <c r="H127" s="107" t="s">
        <v>123</v>
      </c>
      <c r="I127" s="108">
        <v>46195.0</v>
      </c>
      <c r="J127" s="108">
        <v>46198.0</v>
      </c>
      <c r="K127" s="89">
        <v>262.5</v>
      </c>
      <c r="L127" s="467">
        <v>12.0</v>
      </c>
      <c r="M127" s="89">
        <f t="shared" ref="M127:M129" si="16">K127*12</f>
        <v>3150</v>
      </c>
      <c r="N127" s="86" t="s">
        <v>71</v>
      </c>
      <c r="O127" s="86" t="s">
        <v>29</v>
      </c>
      <c r="P127" s="86" t="s">
        <v>72</v>
      </c>
      <c r="Q127" s="106">
        <v>3361.0</v>
      </c>
      <c r="R127" s="86" t="s">
        <v>233</v>
      </c>
      <c r="S127" s="86" t="s">
        <v>110</v>
      </c>
      <c r="T127" s="650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</row>
    <row r="128">
      <c r="A128" s="12">
        <v>124.0</v>
      </c>
      <c r="B128" s="719" t="s">
        <v>2312</v>
      </c>
      <c r="C128" s="171" t="s">
        <v>2313</v>
      </c>
      <c r="D128" s="171" t="s">
        <v>2314</v>
      </c>
      <c r="E128" s="171" t="s">
        <v>2315</v>
      </c>
      <c r="F128" s="171" t="s">
        <v>2316</v>
      </c>
      <c r="G128" s="171">
        <v>7.0</v>
      </c>
      <c r="H128" s="719" t="s">
        <v>123</v>
      </c>
      <c r="I128" s="609">
        <v>46126.0</v>
      </c>
      <c r="J128" s="609"/>
      <c r="K128" s="170">
        <v>175.0</v>
      </c>
      <c r="L128" s="610">
        <v>12.0</v>
      </c>
      <c r="M128" s="170">
        <f t="shared" si="16"/>
        <v>2100</v>
      </c>
      <c r="N128" s="137" t="s">
        <v>28</v>
      </c>
      <c r="O128" s="171" t="s">
        <v>29</v>
      </c>
      <c r="P128" s="171" t="s">
        <v>40</v>
      </c>
      <c r="Q128" s="171"/>
      <c r="R128" s="171" t="s">
        <v>233</v>
      </c>
      <c r="S128" s="171" t="s">
        <v>110</v>
      </c>
      <c r="T128" s="720" t="s">
        <v>4084</v>
      </c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</row>
    <row r="129">
      <c r="A129" s="12">
        <v>125.0</v>
      </c>
      <c r="B129" s="342" t="s">
        <v>4085</v>
      </c>
      <c r="C129" s="97" t="s">
        <v>4086</v>
      </c>
      <c r="D129" s="103" t="s">
        <v>2427</v>
      </c>
      <c r="E129" s="97" t="s">
        <v>4087</v>
      </c>
      <c r="F129" s="97" t="s">
        <v>4088</v>
      </c>
      <c r="G129" s="103">
        <v>2.0</v>
      </c>
      <c r="H129" s="103" t="s">
        <v>3744</v>
      </c>
      <c r="I129" s="174">
        <v>46182.0</v>
      </c>
      <c r="J129" s="174">
        <v>46183.0</v>
      </c>
      <c r="K129" s="197">
        <v>145.0</v>
      </c>
      <c r="L129" s="480">
        <v>12.0</v>
      </c>
      <c r="M129" s="197">
        <f t="shared" si="16"/>
        <v>1740</v>
      </c>
      <c r="N129" s="185" t="s">
        <v>71</v>
      </c>
      <c r="O129" s="185" t="s">
        <v>29</v>
      </c>
      <c r="P129" s="185" t="s">
        <v>72</v>
      </c>
      <c r="Q129" s="136">
        <v>3219.0</v>
      </c>
      <c r="R129" s="185" t="s">
        <v>233</v>
      </c>
      <c r="S129" s="185" t="s">
        <v>2208</v>
      </c>
      <c r="T129" s="626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</row>
    <row r="130">
      <c r="A130" s="12">
        <v>126.0</v>
      </c>
      <c r="B130" s="342" t="s">
        <v>4089</v>
      </c>
      <c r="C130" s="721" t="s">
        <v>4090</v>
      </c>
      <c r="D130" s="103" t="s">
        <v>2648</v>
      </c>
      <c r="E130" s="97" t="s">
        <v>4091</v>
      </c>
      <c r="F130" s="97" t="s">
        <v>4092</v>
      </c>
      <c r="G130" s="103">
        <v>3.0</v>
      </c>
      <c r="H130" s="103" t="s">
        <v>711</v>
      </c>
      <c r="I130" s="174">
        <v>46182.0</v>
      </c>
      <c r="J130" s="174">
        <v>46182.0</v>
      </c>
      <c r="K130" s="197">
        <v>233.34</v>
      </c>
      <c r="L130" s="480">
        <v>3.0</v>
      </c>
      <c r="M130" s="197">
        <f>K130*3</f>
        <v>700.02</v>
      </c>
      <c r="N130" s="185" t="s">
        <v>71</v>
      </c>
      <c r="O130" s="185" t="s">
        <v>91</v>
      </c>
      <c r="P130" s="185" t="s">
        <v>72</v>
      </c>
      <c r="Q130" s="136">
        <v>2851.0</v>
      </c>
      <c r="R130" s="185" t="s">
        <v>73</v>
      </c>
      <c r="S130" s="185" t="s">
        <v>599</v>
      </c>
      <c r="T130" s="626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</row>
    <row r="131">
      <c r="A131" s="12">
        <v>127.0</v>
      </c>
      <c r="B131" s="434" t="s">
        <v>4093</v>
      </c>
      <c r="C131" s="434" t="s">
        <v>4094</v>
      </c>
      <c r="D131" s="136" t="s">
        <v>4095</v>
      </c>
      <c r="E131" s="434" t="s">
        <v>4096</v>
      </c>
      <c r="F131" s="434" t="s">
        <v>4097</v>
      </c>
      <c r="G131" s="136">
        <v>2.0</v>
      </c>
      <c r="H131" s="136" t="s">
        <v>3744</v>
      </c>
      <c r="I131" s="408">
        <v>6686291.0</v>
      </c>
      <c r="J131" s="408">
        <v>46183.0</v>
      </c>
      <c r="K131" s="436" t="s">
        <v>57</v>
      </c>
      <c r="L131" s="630">
        <v>1.0</v>
      </c>
      <c r="M131" s="409">
        <v>1650.0</v>
      </c>
      <c r="N131" s="353" t="s">
        <v>71</v>
      </c>
      <c r="O131" s="353" t="s">
        <v>91</v>
      </c>
      <c r="P131" s="353" t="s">
        <v>72</v>
      </c>
      <c r="Q131" s="136">
        <v>3227.0</v>
      </c>
      <c r="R131" s="353" t="s">
        <v>233</v>
      </c>
      <c r="S131" s="353" t="s">
        <v>599</v>
      </c>
      <c r="T131" s="711" t="s">
        <v>4098</v>
      </c>
      <c r="U131" s="356"/>
      <c r="V131" s="356"/>
      <c r="W131" s="356"/>
      <c r="X131" s="356"/>
      <c r="Y131" s="356"/>
      <c r="Z131" s="356"/>
      <c r="AA131" s="356"/>
      <c r="AB131" s="356"/>
      <c r="AC131" s="356"/>
      <c r="AD131" s="356"/>
      <c r="AE131" s="356"/>
      <c r="AF131" s="356"/>
      <c r="AG131" s="356"/>
      <c r="AH131" s="356"/>
      <c r="AI131" s="356"/>
      <c r="AJ131" s="356"/>
      <c r="AK131" s="356"/>
    </row>
    <row r="132">
      <c r="A132" s="12">
        <v>128.0</v>
      </c>
      <c r="B132" s="324" t="s">
        <v>4099</v>
      </c>
      <c r="C132" s="106" t="s">
        <v>4100</v>
      </c>
      <c r="D132" s="106" t="s">
        <v>4101</v>
      </c>
      <c r="E132" s="106">
        <v>1.1972436016E10</v>
      </c>
      <c r="F132" s="106" t="s">
        <v>4102</v>
      </c>
      <c r="G132" s="106">
        <v>2.0</v>
      </c>
      <c r="H132" s="106" t="s">
        <v>3839</v>
      </c>
      <c r="I132" s="108">
        <v>46192.0</v>
      </c>
      <c r="J132" s="109"/>
      <c r="K132" s="89">
        <v>212.5</v>
      </c>
      <c r="L132" s="254" t="s">
        <v>1278</v>
      </c>
      <c r="M132" s="89">
        <f t="shared" ref="M132:M134" si="17">K132*4</f>
        <v>850</v>
      </c>
      <c r="N132" s="86" t="s">
        <v>58</v>
      </c>
      <c r="O132" s="86" t="s">
        <v>29</v>
      </c>
      <c r="P132" s="86" t="s">
        <v>40</v>
      </c>
      <c r="Q132" s="90"/>
      <c r="R132" s="86" t="s">
        <v>233</v>
      </c>
      <c r="S132" s="86" t="s">
        <v>110</v>
      </c>
      <c r="T132" s="722" t="s">
        <v>4103</v>
      </c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</row>
    <row r="133">
      <c r="A133" s="12">
        <v>129.0</v>
      </c>
      <c r="B133" s="172" t="s">
        <v>3072</v>
      </c>
      <c r="C133" s="172" t="s">
        <v>3073</v>
      </c>
      <c r="D133" s="172" t="s">
        <v>3074</v>
      </c>
      <c r="E133" s="172" t="s">
        <v>3075</v>
      </c>
      <c r="F133" s="172" t="s">
        <v>3076</v>
      </c>
      <c r="G133" s="172">
        <v>2.0</v>
      </c>
      <c r="H133" s="103" t="s">
        <v>711</v>
      </c>
      <c r="I133" s="609">
        <v>46146.0</v>
      </c>
      <c r="J133" s="609"/>
      <c r="K133" s="170">
        <v>200.0</v>
      </c>
      <c r="L133" s="610">
        <v>4.0</v>
      </c>
      <c r="M133" s="170">
        <f t="shared" si="17"/>
        <v>800</v>
      </c>
      <c r="N133" s="137" t="s">
        <v>28</v>
      </c>
      <c r="O133" s="171" t="s">
        <v>29</v>
      </c>
      <c r="P133" s="171" t="s">
        <v>40</v>
      </c>
      <c r="Q133" s="171"/>
      <c r="R133" s="171" t="s">
        <v>73</v>
      </c>
      <c r="S133" s="171" t="s">
        <v>110</v>
      </c>
      <c r="T133" s="723" t="s">
        <v>4104</v>
      </c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</row>
    <row r="134">
      <c r="A134" s="12">
        <v>130.0</v>
      </c>
      <c r="B134" s="324" t="s">
        <v>4105</v>
      </c>
      <c r="C134" s="106" t="s">
        <v>4106</v>
      </c>
      <c r="D134" s="106" t="s">
        <v>4101</v>
      </c>
      <c r="E134" s="106">
        <v>1.1972436016E10</v>
      </c>
      <c r="F134" s="106" t="s">
        <v>4102</v>
      </c>
      <c r="G134" s="106">
        <v>2.0</v>
      </c>
      <c r="H134" s="106" t="s">
        <v>3839</v>
      </c>
      <c r="I134" s="108">
        <v>46192.0</v>
      </c>
      <c r="J134" s="109"/>
      <c r="K134" s="89">
        <v>212.5</v>
      </c>
      <c r="L134" s="254" t="s">
        <v>1278</v>
      </c>
      <c r="M134" s="89">
        <f t="shared" si="17"/>
        <v>850</v>
      </c>
      <c r="N134" s="86" t="s">
        <v>58</v>
      </c>
      <c r="O134" s="86" t="s">
        <v>29</v>
      </c>
      <c r="P134" s="86" t="s">
        <v>40</v>
      </c>
      <c r="Q134" s="90"/>
      <c r="R134" s="86" t="s">
        <v>233</v>
      </c>
      <c r="S134" s="86" t="s">
        <v>110</v>
      </c>
      <c r="T134" s="722" t="s">
        <v>4103</v>
      </c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</row>
    <row r="135">
      <c r="A135" s="12">
        <v>131.0</v>
      </c>
      <c r="B135" s="342" t="s">
        <v>4107</v>
      </c>
      <c r="C135" s="97">
        <v>3.417061000147E12</v>
      </c>
      <c r="D135" s="103" t="s">
        <v>4108</v>
      </c>
      <c r="E135" s="97" t="s">
        <v>4109</v>
      </c>
      <c r="F135" s="97" t="s">
        <v>4110</v>
      </c>
      <c r="G135" s="103">
        <v>1.0</v>
      </c>
      <c r="H135" s="103" t="s">
        <v>711</v>
      </c>
      <c r="I135" s="174">
        <v>46183.0</v>
      </c>
      <c r="J135" s="174">
        <v>46184.0</v>
      </c>
      <c r="K135" s="197" t="s">
        <v>57</v>
      </c>
      <c r="L135" s="480">
        <v>1.0</v>
      </c>
      <c r="M135" s="197">
        <v>500.0</v>
      </c>
      <c r="N135" s="185" t="s">
        <v>71</v>
      </c>
      <c r="O135" s="185" t="s">
        <v>91</v>
      </c>
      <c r="P135" s="185" t="s">
        <v>72</v>
      </c>
      <c r="Q135" s="103">
        <v>3235.0</v>
      </c>
      <c r="R135" s="185" t="s">
        <v>73</v>
      </c>
      <c r="S135" s="185" t="s">
        <v>129</v>
      </c>
      <c r="T135" s="626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</row>
    <row r="136">
      <c r="A136" s="12">
        <v>132.0</v>
      </c>
      <c r="B136" s="342" t="s">
        <v>4111</v>
      </c>
      <c r="C136" s="97" t="s">
        <v>4112</v>
      </c>
      <c r="D136" s="103" t="s">
        <v>3545</v>
      </c>
      <c r="E136" s="97" t="s">
        <v>4113</v>
      </c>
      <c r="F136" s="97" t="s">
        <v>4114</v>
      </c>
      <c r="G136" s="103">
        <v>2.0</v>
      </c>
      <c r="H136" s="103" t="s">
        <v>711</v>
      </c>
      <c r="I136" s="174">
        <v>46184.0</v>
      </c>
      <c r="J136" s="174">
        <v>46184.0</v>
      </c>
      <c r="K136" s="197">
        <v>200.0</v>
      </c>
      <c r="L136" s="480">
        <v>4.0</v>
      </c>
      <c r="M136" s="197">
        <f>K136*4</f>
        <v>800</v>
      </c>
      <c r="N136" s="185" t="s">
        <v>71</v>
      </c>
      <c r="O136" s="185" t="s">
        <v>91</v>
      </c>
      <c r="P136" s="185" t="s">
        <v>72</v>
      </c>
      <c r="Q136" s="136">
        <v>3229.0</v>
      </c>
      <c r="R136" s="185" t="s">
        <v>233</v>
      </c>
      <c r="S136" s="185" t="s">
        <v>2208</v>
      </c>
      <c r="T136" s="626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</row>
    <row r="137">
      <c r="A137" s="12">
        <v>133.0</v>
      </c>
      <c r="B137" s="342" t="s">
        <v>2199</v>
      </c>
      <c r="C137" s="97">
        <v>5.9929075000102E13</v>
      </c>
      <c r="D137" s="103" t="s">
        <v>4115</v>
      </c>
      <c r="E137" s="97">
        <v>1.196946555E10</v>
      </c>
      <c r="F137" s="97" t="s">
        <v>2202</v>
      </c>
      <c r="G137" s="103">
        <v>22.0</v>
      </c>
      <c r="H137" s="103" t="s">
        <v>711</v>
      </c>
      <c r="I137" s="174">
        <v>46183.0</v>
      </c>
      <c r="J137" s="174">
        <v>46184.0</v>
      </c>
      <c r="K137" s="197" t="s">
        <v>1268</v>
      </c>
      <c r="L137" s="480">
        <v>1.0</v>
      </c>
      <c r="M137" s="197">
        <v>800.0</v>
      </c>
      <c r="N137" s="185" t="s">
        <v>71</v>
      </c>
      <c r="O137" s="185" t="s">
        <v>91</v>
      </c>
      <c r="P137" s="185" t="s">
        <v>72</v>
      </c>
      <c r="Q137" s="103">
        <v>3237.0</v>
      </c>
      <c r="R137" s="185" t="s">
        <v>73</v>
      </c>
      <c r="S137" s="185" t="s">
        <v>129</v>
      </c>
      <c r="T137" s="626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</row>
    <row r="138">
      <c r="A138" s="12">
        <v>134.0</v>
      </c>
      <c r="B138" s="342" t="s">
        <v>4116</v>
      </c>
      <c r="C138" s="97" t="s">
        <v>4117</v>
      </c>
      <c r="D138" s="103" t="s">
        <v>3907</v>
      </c>
      <c r="E138" s="97" t="s">
        <v>4118</v>
      </c>
      <c r="F138" s="97" t="s">
        <v>4119</v>
      </c>
      <c r="G138" s="161">
        <v>5.0</v>
      </c>
      <c r="H138" s="161" t="s">
        <v>711</v>
      </c>
      <c r="I138" s="708">
        <v>46183.0</v>
      </c>
      <c r="J138" s="708">
        <v>46184.0</v>
      </c>
      <c r="K138" s="164">
        <v>250.0</v>
      </c>
      <c r="L138" s="709">
        <v>4.0</v>
      </c>
      <c r="M138" s="164">
        <f t="shared" ref="M138:M139" si="18">K138*4</f>
        <v>1000</v>
      </c>
      <c r="N138" s="161" t="s">
        <v>71</v>
      </c>
      <c r="O138" s="161" t="s">
        <v>91</v>
      </c>
      <c r="P138" s="161" t="s">
        <v>72</v>
      </c>
      <c r="Q138" s="545">
        <v>3231.0</v>
      </c>
      <c r="R138" s="161" t="s">
        <v>233</v>
      </c>
      <c r="S138" s="161" t="s">
        <v>2208</v>
      </c>
      <c r="T138" s="62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</row>
    <row r="139">
      <c r="A139" s="12">
        <v>135.0</v>
      </c>
      <c r="B139" s="161" t="s">
        <v>4120</v>
      </c>
      <c r="C139" s="97" t="s">
        <v>4121</v>
      </c>
      <c r="D139" s="161" t="s">
        <v>3545</v>
      </c>
      <c r="E139" s="97" t="s">
        <v>4122</v>
      </c>
      <c r="F139" s="161" t="s">
        <v>4114</v>
      </c>
      <c r="G139" s="161">
        <v>13.0</v>
      </c>
      <c r="H139" s="161" t="s">
        <v>711</v>
      </c>
      <c r="I139" s="708">
        <v>46184.0</v>
      </c>
      <c r="J139" s="708">
        <v>46184.0</v>
      </c>
      <c r="K139" s="164">
        <v>200.0</v>
      </c>
      <c r="L139" s="709">
        <v>4.0</v>
      </c>
      <c r="M139" s="164">
        <f t="shared" si="18"/>
        <v>800</v>
      </c>
      <c r="N139" s="161" t="s">
        <v>71</v>
      </c>
      <c r="O139" s="161" t="s">
        <v>91</v>
      </c>
      <c r="P139" s="161" t="s">
        <v>72</v>
      </c>
      <c r="Q139" s="545">
        <v>3230.0</v>
      </c>
      <c r="R139" s="161" t="s">
        <v>233</v>
      </c>
      <c r="S139" s="161" t="s">
        <v>2208</v>
      </c>
      <c r="T139" s="62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</row>
    <row r="140">
      <c r="A140" s="12">
        <v>136.0</v>
      </c>
      <c r="B140" s="161" t="s">
        <v>4123</v>
      </c>
      <c r="C140" s="97">
        <v>1.0638573000107E13</v>
      </c>
      <c r="D140" s="161" t="s">
        <v>4124</v>
      </c>
      <c r="E140" s="97" t="s">
        <v>4125</v>
      </c>
      <c r="F140" s="724" t="s">
        <v>4126</v>
      </c>
      <c r="G140" s="161">
        <v>11.0</v>
      </c>
      <c r="H140" s="545" t="s">
        <v>254</v>
      </c>
      <c r="I140" s="708">
        <v>46184.0</v>
      </c>
      <c r="J140" s="708">
        <v>46188.0</v>
      </c>
      <c r="K140" s="164" t="s">
        <v>1268</v>
      </c>
      <c r="L140" s="709">
        <v>1.0</v>
      </c>
      <c r="M140" s="164">
        <v>900.0</v>
      </c>
      <c r="N140" s="161" t="s">
        <v>71</v>
      </c>
      <c r="O140" s="161" t="s">
        <v>91</v>
      </c>
      <c r="P140" s="161" t="s">
        <v>72</v>
      </c>
      <c r="Q140" s="161">
        <v>3256.0</v>
      </c>
      <c r="R140" s="161" t="s">
        <v>73</v>
      </c>
      <c r="S140" s="161" t="s">
        <v>129</v>
      </c>
      <c r="T140" s="62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</row>
    <row r="141">
      <c r="A141" s="12">
        <v>137.0</v>
      </c>
      <c r="B141" s="161" t="s">
        <v>4127</v>
      </c>
      <c r="C141" s="97" t="s">
        <v>4128</v>
      </c>
      <c r="D141" s="161" t="s">
        <v>4129</v>
      </c>
      <c r="E141" s="97" t="s">
        <v>4130</v>
      </c>
      <c r="F141" s="161" t="s">
        <v>4131</v>
      </c>
      <c r="G141" s="161">
        <v>1.0</v>
      </c>
      <c r="H141" s="161" t="s">
        <v>1874</v>
      </c>
      <c r="I141" s="708">
        <v>46183.0</v>
      </c>
      <c r="J141" s="708">
        <v>46184.0</v>
      </c>
      <c r="K141" s="164">
        <v>139.0</v>
      </c>
      <c r="L141" s="709">
        <v>12.0</v>
      </c>
      <c r="M141" s="164">
        <f t="shared" ref="M141:M143" si="19">K141*12</f>
        <v>1668</v>
      </c>
      <c r="N141" s="161" t="s">
        <v>71</v>
      </c>
      <c r="O141" s="161" t="s">
        <v>29</v>
      </c>
      <c r="P141" s="161" t="s">
        <v>72</v>
      </c>
      <c r="Q141" s="545">
        <v>3245.0</v>
      </c>
      <c r="R141" s="161" t="s">
        <v>233</v>
      </c>
      <c r="S141" s="161" t="s">
        <v>2208</v>
      </c>
      <c r="T141" s="62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</row>
    <row r="142">
      <c r="A142" s="12">
        <v>138.0</v>
      </c>
      <c r="B142" s="185" t="s">
        <v>4132</v>
      </c>
      <c r="C142" s="725" t="s">
        <v>4133</v>
      </c>
      <c r="D142" s="725" t="s">
        <v>4134</v>
      </c>
      <c r="E142" s="725">
        <v>1.192585985E9</v>
      </c>
      <c r="F142" s="725" t="s">
        <v>4135</v>
      </c>
      <c r="G142" s="103">
        <v>9.0</v>
      </c>
      <c r="H142" s="185" t="s">
        <v>1874</v>
      </c>
      <c r="I142" s="174">
        <v>46185.0</v>
      </c>
      <c r="J142" s="174">
        <v>46198.0</v>
      </c>
      <c r="K142" s="197">
        <v>395.0</v>
      </c>
      <c r="L142" s="480">
        <v>12.0</v>
      </c>
      <c r="M142" s="197">
        <f t="shared" si="19"/>
        <v>4740</v>
      </c>
      <c r="N142" s="185" t="s">
        <v>71</v>
      </c>
      <c r="O142" s="185" t="s">
        <v>91</v>
      </c>
      <c r="P142" s="185" t="s">
        <v>72</v>
      </c>
      <c r="Q142" s="136">
        <v>3354.0</v>
      </c>
      <c r="R142" s="185" t="s">
        <v>73</v>
      </c>
      <c r="S142" s="185" t="s">
        <v>148</v>
      </c>
      <c r="T142" s="626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</row>
    <row r="143">
      <c r="A143" s="12">
        <v>139.0</v>
      </c>
      <c r="B143" s="97" t="s">
        <v>4136</v>
      </c>
      <c r="C143" s="97" t="s">
        <v>4137</v>
      </c>
      <c r="D143" s="97" t="s">
        <v>4138</v>
      </c>
      <c r="E143" s="97" t="s">
        <v>4139</v>
      </c>
      <c r="F143" s="97" t="s">
        <v>4140</v>
      </c>
      <c r="G143" s="97" t="s">
        <v>399</v>
      </c>
      <c r="H143" s="161" t="s">
        <v>711</v>
      </c>
      <c r="I143" s="708">
        <v>46183.0</v>
      </c>
      <c r="J143" s="708">
        <v>46183.0</v>
      </c>
      <c r="K143" s="102">
        <v>66.67</v>
      </c>
      <c r="L143" s="479">
        <v>12.0</v>
      </c>
      <c r="M143" s="102">
        <f t="shared" si="19"/>
        <v>800.04</v>
      </c>
      <c r="N143" s="137" t="s">
        <v>71</v>
      </c>
      <c r="O143" s="137" t="s">
        <v>91</v>
      </c>
      <c r="P143" s="137" t="s">
        <v>72</v>
      </c>
      <c r="Q143" s="97">
        <v>3232.0</v>
      </c>
      <c r="R143" s="137" t="s">
        <v>73</v>
      </c>
      <c r="S143" s="137" t="s">
        <v>31</v>
      </c>
      <c r="T143" s="607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</row>
    <row r="144">
      <c r="A144" s="12">
        <v>140.0</v>
      </c>
      <c r="B144" s="172" t="s">
        <v>3270</v>
      </c>
      <c r="C144" s="172" t="s">
        <v>3271</v>
      </c>
      <c r="D144" s="172" t="s">
        <v>1513</v>
      </c>
      <c r="E144" s="137" t="s">
        <v>3272</v>
      </c>
      <c r="F144" s="172" t="s">
        <v>3273</v>
      </c>
      <c r="G144" s="172">
        <v>15.0</v>
      </c>
      <c r="H144" s="103" t="s">
        <v>48</v>
      </c>
      <c r="I144" s="609" t="s">
        <v>3274</v>
      </c>
      <c r="J144" s="609"/>
      <c r="K144" s="170">
        <v>239.0</v>
      </c>
      <c r="L144" s="610">
        <v>12.0</v>
      </c>
      <c r="M144" s="170">
        <f>L144*K144</f>
        <v>2868</v>
      </c>
      <c r="N144" s="406" t="s">
        <v>28</v>
      </c>
      <c r="O144" s="137" t="s">
        <v>91</v>
      </c>
      <c r="P144" s="406" t="s">
        <v>40</v>
      </c>
      <c r="Q144" s="103"/>
      <c r="R144" s="406" t="s">
        <v>73</v>
      </c>
      <c r="S144" s="406" t="s">
        <v>129</v>
      </c>
      <c r="T144" s="611" t="s">
        <v>3275</v>
      </c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</row>
    <row r="145">
      <c r="A145" s="12">
        <v>141.0</v>
      </c>
      <c r="B145" s="726" t="s">
        <v>3145</v>
      </c>
      <c r="C145" s="106" t="s">
        <v>3146</v>
      </c>
      <c r="D145" s="106" t="s">
        <v>3147</v>
      </c>
      <c r="E145" s="106" t="s">
        <v>3148</v>
      </c>
      <c r="F145" s="173" t="s">
        <v>3149</v>
      </c>
      <c r="G145" s="106">
        <v>27.0</v>
      </c>
      <c r="H145" s="106" t="s">
        <v>254</v>
      </c>
      <c r="I145" s="108">
        <v>46153.0</v>
      </c>
      <c r="J145" s="109"/>
      <c r="K145" s="89">
        <f>M145/4</f>
        <v>275</v>
      </c>
      <c r="L145" s="254" t="s">
        <v>1278</v>
      </c>
      <c r="M145" s="89">
        <v>1100.0</v>
      </c>
      <c r="N145" s="86" t="s">
        <v>58</v>
      </c>
      <c r="O145" s="86" t="s">
        <v>29</v>
      </c>
      <c r="P145" s="86" t="s">
        <v>40</v>
      </c>
      <c r="Q145" s="90"/>
      <c r="R145" s="86" t="s">
        <v>73</v>
      </c>
      <c r="S145" s="86" t="s">
        <v>110</v>
      </c>
      <c r="T145" s="722" t="s">
        <v>4141</v>
      </c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</row>
    <row r="146">
      <c r="A146" s="12">
        <v>142.0</v>
      </c>
      <c r="B146" s="97" t="s">
        <v>4142</v>
      </c>
      <c r="C146" s="97" t="s">
        <v>4143</v>
      </c>
      <c r="D146" s="97" t="s">
        <v>4144</v>
      </c>
      <c r="E146" s="97" t="s">
        <v>4145</v>
      </c>
      <c r="F146" s="97" t="s">
        <v>4146</v>
      </c>
      <c r="G146" s="97">
        <v>6.0</v>
      </c>
      <c r="H146" s="97" t="s">
        <v>4147</v>
      </c>
      <c r="I146" s="623">
        <v>46183.0</v>
      </c>
      <c r="J146" s="81"/>
      <c r="K146" s="164">
        <v>1400.0</v>
      </c>
      <c r="L146" s="709">
        <v>1.0</v>
      </c>
      <c r="M146" s="111">
        <f t="shared" ref="M146:M148" si="20">K146*1</f>
        <v>1400</v>
      </c>
      <c r="N146" s="137" t="s">
        <v>58</v>
      </c>
      <c r="O146" s="137" t="s">
        <v>29</v>
      </c>
      <c r="P146" s="137" t="s">
        <v>40</v>
      </c>
      <c r="Q146" s="97"/>
      <c r="R146" s="137" t="s">
        <v>73</v>
      </c>
      <c r="S146" s="137" t="s">
        <v>31</v>
      </c>
      <c r="T146" s="611" t="s">
        <v>4148</v>
      </c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</row>
    <row r="147">
      <c r="A147" s="12">
        <v>143.0</v>
      </c>
      <c r="B147" s="97" t="s">
        <v>2850</v>
      </c>
      <c r="C147" s="97" t="s">
        <v>2851</v>
      </c>
      <c r="D147" s="97" t="s">
        <v>4149</v>
      </c>
      <c r="E147" s="97" t="s">
        <v>4150</v>
      </c>
      <c r="F147" s="97" t="s">
        <v>2853</v>
      </c>
      <c r="G147" s="97">
        <v>6.0</v>
      </c>
      <c r="H147" s="97" t="s">
        <v>4151</v>
      </c>
      <c r="I147" s="708">
        <v>46184.0</v>
      </c>
      <c r="J147" s="298">
        <v>46190.0</v>
      </c>
      <c r="K147" s="164">
        <v>900.0</v>
      </c>
      <c r="L147" s="709">
        <v>1.0</v>
      </c>
      <c r="M147" s="111">
        <f t="shared" si="20"/>
        <v>900</v>
      </c>
      <c r="N147" s="137" t="s">
        <v>71</v>
      </c>
      <c r="O147" s="137" t="s">
        <v>29</v>
      </c>
      <c r="P147" s="137" t="s">
        <v>72</v>
      </c>
      <c r="Q147" s="97">
        <v>3265.0</v>
      </c>
      <c r="R147" s="137" t="s">
        <v>73</v>
      </c>
      <c r="S147" s="137" t="s">
        <v>31</v>
      </c>
      <c r="T147" s="61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</row>
    <row r="148">
      <c r="A148" s="12">
        <v>144.0</v>
      </c>
      <c r="B148" s="97" t="s">
        <v>4152</v>
      </c>
      <c r="C148" s="97" t="s">
        <v>4153</v>
      </c>
      <c r="D148" s="97" t="s">
        <v>4154</v>
      </c>
      <c r="E148" s="181" t="s">
        <v>4155</v>
      </c>
      <c r="F148" s="97" t="s">
        <v>4156</v>
      </c>
      <c r="G148" s="97">
        <v>264.0</v>
      </c>
      <c r="H148" s="161" t="s">
        <v>711</v>
      </c>
      <c r="I148" s="708">
        <v>46184.0</v>
      </c>
      <c r="J148" s="81"/>
      <c r="K148" s="164">
        <v>2500.0</v>
      </c>
      <c r="L148" s="709">
        <v>1.0</v>
      </c>
      <c r="M148" s="111">
        <f t="shared" si="20"/>
        <v>2500</v>
      </c>
      <c r="N148" s="137" t="s">
        <v>58</v>
      </c>
      <c r="O148" s="137" t="s">
        <v>29</v>
      </c>
      <c r="P148" s="137" t="s">
        <v>40</v>
      </c>
      <c r="Q148" s="97"/>
      <c r="R148" s="137" t="s">
        <v>73</v>
      </c>
      <c r="S148" s="137" t="s">
        <v>31</v>
      </c>
      <c r="T148" s="611" t="s">
        <v>4157</v>
      </c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</row>
    <row r="149">
      <c r="A149" s="12">
        <v>145.0</v>
      </c>
      <c r="B149" s="97" t="s">
        <v>4158</v>
      </c>
      <c r="C149" s="97" t="s">
        <v>4159</v>
      </c>
      <c r="D149" s="97" t="s">
        <v>4160</v>
      </c>
      <c r="E149" s="181" t="s">
        <v>4161</v>
      </c>
      <c r="F149" s="97" t="s">
        <v>4162</v>
      </c>
      <c r="G149" s="97">
        <v>1.0</v>
      </c>
      <c r="H149" s="161" t="s">
        <v>1874</v>
      </c>
      <c r="I149" s="623">
        <v>46183.0</v>
      </c>
      <c r="J149" s="81"/>
      <c r="K149" s="164">
        <v>145.0</v>
      </c>
      <c r="L149" s="624">
        <v>12.0</v>
      </c>
      <c r="M149" s="111">
        <f>K149*12</f>
        <v>1740</v>
      </c>
      <c r="N149" s="137" t="s">
        <v>28</v>
      </c>
      <c r="O149" s="137" t="s">
        <v>29</v>
      </c>
      <c r="P149" s="137" t="s">
        <v>40</v>
      </c>
      <c r="Q149" s="97"/>
      <c r="R149" s="137" t="s">
        <v>73</v>
      </c>
      <c r="S149" s="137" t="s">
        <v>31</v>
      </c>
      <c r="T149" s="611" t="s">
        <v>4163</v>
      </c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</row>
    <row r="150">
      <c r="A150" s="12">
        <v>146.0</v>
      </c>
      <c r="B150" s="434" t="s">
        <v>4164</v>
      </c>
      <c r="C150" s="434" t="s">
        <v>4165</v>
      </c>
      <c r="D150" s="434" t="s">
        <v>4166</v>
      </c>
      <c r="E150" s="707" t="s">
        <v>4167</v>
      </c>
      <c r="F150" s="434" t="s">
        <v>4168</v>
      </c>
      <c r="G150" s="434">
        <v>6.0</v>
      </c>
      <c r="H150" s="434" t="s">
        <v>1217</v>
      </c>
      <c r="I150" s="435">
        <v>46185.0</v>
      </c>
      <c r="J150" s="435">
        <v>46185.0</v>
      </c>
      <c r="K150" s="436" t="s">
        <v>211</v>
      </c>
      <c r="L150" s="700">
        <v>1.0</v>
      </c>
      <c r="M150" s="436">
        <v>600.0</v>
      </c>
      <c r="N150" s="545" t="s">
        <v>71</v>
      </c>
      <c r="O150" s="545" t="s">
        <v>91</v>
      </c>
      <c r="P150" s="545" t="s">
        <v>72</v>
      </c>
      <c r="Q150" s="545">
        <v>3248.0</v>
      </c>
      <c r="R150" s="545" t="s">
        <v>233</v>
      </c>
      <c r="S150" s="545" t="s">
        <v>2208</v>
      </c>
      <c r="T150" s="671" t="s">
        <v>4169</v>
      </c>
      <c r="U150" s="412"/>
      <c r="V150" s="412"/>
      <c r="W150" s="412"/>
      <c r="X150" s="412"/>
      <c r="Y150" s="412"/>
      <c r="Z150" s="412"/>
      <c r="AA150" s="412"/>
      <c r="AB150" s="412"/>
      <c r="AC150" s="412"/>
      <c r="AD150" s="412"/>
      <c r="AE150" s="412"/>
      <c r="AF150" s="412"/>
      <c r="AG150" s="412"/>
      <c r="AH150" s="412"/>
      <c r="AI150" s="412"/>
      <c r="AJ150" s="412"/>
      <c r="AK150" s="412"/>
    </row>
    <row r="151">
      <c r="A151" s="12">
        <v>147.0</v>
      </c>
      <c r="B151" s="103" t="s">
        <v>2886</v>
      </c>
      <c r="C151" s="103" t="s">
        <v>2887</v>
      </c>
      <c r="D151" s="103" t="s">
        <v>2888</v>
      </c>
      <c r="E151" s="103">
        <v>1.1973518269E10</v>
      </c>
      <c r="F151" s="103" t="s">
        <v>2889</v>
      </c>
      <c r="G151" s="103">
        <v>20.0</v>
      </c>
      <c r="H151" s="103" t="s">
        <v>2816</v>
      </c>
      <c r="I151" s="174">
        <v>46147.0</v>
      </c>
      <c r="J151" s="104"/>
      <c r="K151" s="197">
        <v>253.0</v>
      </c>
      <c r="L151" s="480">
        <v>12.0</v>
      </c>
      <c r="M151" s="175">
        <f>K151*L151</f>
        <v>3036</v>
      </c>
      <c r="N151" s="406" t="s">
        <v>28</v>
      </c>
      <c r="O151" s="406" t="s">
        <v>29</v>
      </c>
      <c r="P151" s="406" t="s">
        <v>40</v>
      </c>
      <c r="Q151" s="104"/>
      <c r="R151" s="406" t="s">
        <v>41</v>
      </c>
      <c r="S151" s="406" t="s">
        <v>129</v>
      </c>
      <c r="T151" s="611" t="s">
        <v>2890</v>
      </c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</row>
    <row r="152">
      <c r="A152" s="12">
        <v>148.0</v>
      </c>
      <c r="B152" s="172" t="s">
        <v>3639</v>
      </c>
      <c r="C152" s="662" t="s">
        <v>3640</v>
      </c>
      <c r="D152" s="136" t="s">
        <v>3641</v>
      </c>
      <c r="E152" s="136" t="s">
        <v>3642</v>
      </c>
      <c r="F152" s="196" t="s">
        <v>4170</v>
      </c>
      <c r="G152" s="137">
        <v>5.0</v>
      </c>
      <c r="H152" s="137" t="s">
        <v>3644</v>
      </c>
      <c r="I152" s="619">
        <v>46169.0</v>
      </c>
      <c r="J152" s="609"/>
      <c r="K152" s="138">
        <v>263.0</v>
      </c>
      <c r="L152" s="620">
        <v>12.0</v>
      </c>
      <c r="M152" s="170">
        <f>K152*12</f>
        <v>3156</v>
      </c>
      <c r="N152" s="137" t="s">
        <v>58</v>
      </c>
      <c r="O152" s="137" t="s">
        <v>29</v>
      </c>
      <c r="P152" s="137" t="s">
        <v>40</v>
      </c>
      <c r="Q152" s="172"/>
      <c r="R152" s="137" t="s">
        <v>3645</v>
      </c>
      <c r="S152" s="137" t="s">
        <v>129</v>
      </c>
      <c r="T152" s="66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</row>
    <row r="153">
      <c r="A153" s="12">
        <v>149.0</v>
      </c>
      <c r="B153" s="137" t="s">
        <v>4171</v>
      </c>
      <c r="C153" s="137" t="s">
        <v>4172</v>
      </c>
      <c r="D153" s="137" t="s">
        <v>4173</v>
      </c>
      <c r="E153" s="136" t="s">
        <v>4174</v>
      </c>
      <c r="F153" s="137" t="s">
        <v>4175</v>
      </c>
      <c r="G153" s="137">
        <v>26.0</v>
      </c>
      <c r="H153" s="137" t="s">
        <v>1874</v>
      </c>
      <c r="I153" s="619">
        <v>46174.0</v>
      </c>
      <c r="J153" s="609"/>
      <c r="K153" s="138">
        <v>289.0</v>
      </c>
      <c r="L153" s="620">
        <v>12.0</v>
      </c>
      <c r="M153" s="170">
        <f>K153*L153</f>
        <v>3468</v>
      </c>
      <c r="N153" s="137" t="s">
        <v>28</v>
      </c>
      <c r="O153" s="137" t="s">
        <v>29</v>
      </c>
      <c r="P153" s="137" t="s">
        <v>40</v>
      </c>
      <c r="Q153" s="406"/>
      <c r="R153" s="137" t="s">
        <v>73</v>
      </c>
      <c r="S153" s="137" t="s">
        <v>129</v>
      </c>
      <c r="T153" s="671" t="s">
        <v>4176</v>
      </c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</row>
    <row r="154">
      <c r="A154" s="12">
        <v>150.0</v>
      </c>
      <c r="B154" s="97" t="s">
        <v>4177</v>
      </c>
      <c r="C154" s="97" t="s">
        <v>4178</v>
      </c>
      <c r="D154" s="97" t="s">
        <v>4179</v>
      </c>
      <c r="E154" s="181" t="s">
        <v>4180</v>
      </c>
      <c r="F154" s="727" t="s">
        <v>4181</v>
      </c>
      <c r="G154" s="97">
        <v>5.0</v>
      </c>
      <c r="H154" s="613" t="s">
        <v>123</v>
      </c>
      <c r="I154" s="298">
        <v>46188.0</v>
      </c>
      <c r="J154" s="298">
        <v>46189.0</v>
      </c>
      <c r="K154" s="102">
        <v>163.0</v>
      </c>
      <c r="L154" s="479">
        <v>12.0</v>
      </c>
      <c r="M154" s="111">
        <f>K154*12</f>
        <v>1956</v>
      </c>
      <c r="N154" s="161" t="s">
        <v>71</v>
      </c>
      <c r="O154" s="161" t="s">
        <v>91</v>
      </c>
      <c r="P154" s="161" t="s">
        <v>72</v>
      </c>
      <c r="Q154" s="161">
        <v>3255.0</v>
      </c>
      <c r="R154" s="161" t="s">
        <v>73</v>
      </c>
      <c r="S154" s="161" t="s">
        <v>129</v>
      </c>
      <c r="T154" s="607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</row>
    <row r="155">
      <c r="A155" s="12">
        <v>151.0</v>
      </c>
      <c r="B155" s="350" t="s">
        <v>4182</v>
      </c>
      <c r="C155" s="434" t="s">
        <v>4183</v>
      </c>
      <c r="D155" s="434" t="s">
        <v>4184</v>
      </c>
      <c r="E155" s="728" t="s">
        <v>4185</v>
      </c>
      <c r="F155" s="728" t="s">
        <v>4186</v>
      </c>
      <c r="G155" s="434">
        <v>1.0</v>
      </c>
      <c r="H155" s="434" t="s">
        <v>2486</v>
      </c>
      <c r="I155" s="435">
        <v>46184.0</v>
      </c>
      <c r="J155" s="435">
        <v>46188.0</v>
      </c>
      <c r="K155" s="436">
        <v>300.0</v>
      </c>
      <c r="L155" s="700">
        <v>2.0</v>
      </c>
      <c r="M155" s="436">
        <f>K155*2</f>
        <v>600</v>
      </c>
      <c r="N155" s="545" t="s">
        <v>71</v>
      </c>
      <c r="O155" s="545" t="s">
        <v>29</v>
      </c>
      <c r="P155" s="545" t="s">
        <v>72</v>
      </c>
      <c r="Q155" s="545">
        <v>3257.0</v>
      </c>
      <c r="R155" s="545" t="s">
        <v>233</v>
      </c>
      <c r="S155" s="545" t="s">
        <v>129</v>
      </c>
      <c r="T155" s="729"/>
      <c r="U155" s="412"/>
      <c r="V155" s="412"/>
      <c r="W155" s="412"/>
      <c r="X155" s="412"/>
      <c r="Y155" s="412"/>
      <c r="Z155" s="412"/>
      <c r="AA155" s="412"/>
      <c r="AB155" s="412"/>
      <c r="AC155" s="412"/>
      <c r="AD155" s="412"/>
      <c r="AE155" s="412"/>
      <c r="AF155" s="412"/>
      <c r="AG155" s="412"/>
      <c r="AH155" s="412"/>
      <c r="AI155" s="412"/>
      <c r="AJ155" s="412"/>
      <c r="AK155" s="412"/>
    </row>
    <row r="156">
      <c r="A156" s="12">
        <v>152.0</v>
      </c>
      <c r="B156" s="97" t="s">
        <v>4187</v>
      </c>
      <c r="C156" s="97" t="s">
        <v>4188</v>
      </c>
      <c r="D156" s="97" t="s">
        <v>4189</v>
      </c>
      <c r="E156" s="181" t="s">
        <v>4190</v>
      </c>
      <c r="F156" s="97" t="s">
        <v>4191</v>
      </c>
      <c r="G156" s="97">
        <v>5.0</v>
      </c>
      <c r="H156" s="161" t="s">
        <v>1874</v>
      </c>
      <c r="I156" s="298">
        <v>46188.0</v>
      </c>
      <c r="J156" s="435">
        <v>46192.0</v>
      </c>
      <c r="K156" s="165">
        <v>150.0</v>
      </c>
      <c r="L156" s="479">
        <v>12.0</v>
      </c>
      <c r="M156" s="111">
        <f>K156*12</f>
        <v>1800</v>
      </c>
      <c r="N156" s="161" t="s">
        <v>71</v>
      </c>
      <c r="O156" s="161" t="s">
        <v>29</v>
      </c>
      <c r="P156" s="161" t="s">
        <v>72</v>
      </c>
      <c r="Q156" s="161">
        <v>3307.0</v>
      </c>
      <c r="R156" s="161" t="s">
        <v>73</v>
      </c>
      <c r="S156" s="161" t="s">
        <v>31</v>
      </c>
      <c r="T156" s="61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</row>
    <row r="157">
      <c r="A157" s="12">
        <v>153.0</v>
      </c>
      <c r="B157" s="97" t="s">
        <v>4192</v>
      </c>
      <c r="C157" s="97">
        <v>1.8007135000144E13</v>
      </c>
      <c r="D157" s="97" t="s">
        <v>4193</v>
      </c>
      <c r="E157" s="181">
        <v>1.1941553919E10</v>
      </c>
      <c r="F157" s="97" t="s">
        <v>4194</v>
      </c>
      <c r="G157" s="97">
        <v>15.0</v>
      </c>
      <c r="H157" s="97" t="s">
        <v>1621</v>
      </c>
      <c r="I157" s="298">
        <v>46188.0</v>
      </c>
      <c r="J157" s="298">
        <v>46189.0</v>
      </c>
      <c r="K157" s="102">
        <v>400.0</v>
      </c>
      <c r="L157" s="479">
        <v>2.0</v>
      </c>
      <c r="M157" s="102">
        <f>K157*2</f>
        <v>800</v>
      </c>
      <c r="N157" s="161" t="s">
        <v>71</v>
      </c>
      <c r="O157" s="161" t="s">
        <v>91</v>
      </c>
      <c r="P157" s="161" t="s">
        <v>72</v>
      </c>
      <c r="Q157" s="161">
        <v>3258.0</v>
      </c>
      <c r="R157" s="161" t="s">
        <v>233</v>
      </c>
      <c r="S157" s="161" t="s">
        <v>129</v>
      </c>
      <c r="T157" s="607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</row>
    <row r="158">
      <c r="A158" s="12">
        <v>154.0</v>
      </c>
      <c r="B158" s="137" t="s">
        <v>4195</v>
      </c>
      <c r="C158" s="137" t="s">
        <v>4196</v>
      </c>
      <c r="D158" s="137" t="s">
        <v>4173</v>
      </c>
      <c r="E158" s="136" t="s">
        <v>4174</v>
      </c>
      <c r="F158" s="670" t="s">
        <v>4197</v>
      </c>
      <c r="G158" s="137">
        <v>30.0</v>
      </c>
      <c r="H158" s="137" t="s">
        <v>1874</v>
      </c>
      <c r="I158" s="619">
        <v>46174.0</v>
      </c>
      <c r="J158" s="619"/>
      <c r="K158" s="138">
        <v>313.0</v>
      </c>
      <c r="L158" s="620">
        <v>12.0</v>
      </c>
      <c r="M158" s="170">
        <f>K158*L158</f>
        <v>3756</v>
      </c>
      <c r="N158" s="137" t="s">
        <v>28</v>
      </c>
      <c r="O158" s="137" t="s">
        <v>29</v>
      </c>
      <c r="P158" s="137" t="s">
        <v>40</v>
      </c>
      <c r="Q158" s="172"/>
      <c r="R158" s="137" t="s">
        <v>73</v>
      </c>
      <c r="S158" s="137" t="s">
        <v>129</v>
      </c>
      <c r="T158" s="635" t="s">
        <v>4176</v>
      </c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</row>
    <row r="159">
      <c r="A159" s="12">
        <v>155.0</v>
      </c>
      <c r="B159" s="730" t="s">
        <v>1479</v>
      </c>
      <c r="C159" s="730" t="s">
        <v>4198</v>
      </c>
      <c r="D159" s="730" t="s">
        <v>4199</v>
      </c>
      <c r="E159" s="731"/>
      <c r="F159" s="730" t="s">
        <v>4200</v>
      </c>
      <c r="G159" s="732">
        <v>390.0</v>
      </c>
      <c r="H159" s="732" t="s">
        <v>4201</v>
      </c>
      <c r="I159" s="733">
        <v>46188.0</v>
      </c>
      <c r="J159" s="734"/>
      <c r="K159" s="735">
        <v>1733.33</v>
      </c>
      <c r="L159" s="736">
        <v>3.0</v>
      </c>
      <c r="M159" s="735">
        <v>5200.0</v>
      </c>
      <c r="N159" s="732" t="s">
        <v>58</v>
      </c>
      <c r="O159" s="732" t="s">
        <v>91</v>
      </c>
      <c r="P159" s="161" t="s">
        <v>40</v>
      </c>
      <c r="Q159" s="166"/>
      <c r="R159" s="161" t="s">
        <v>73</v>
      </c>
      <c r="S159" s="161" t="s">
        <v>129</v>
      </c>
      <c r="T159" s="669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</row>
    <row r="160">
      <c r="A160" s="12">
        <v>156.0</v>
      </c>
      <c r="B160" s="123" t="s">
        <v>4202</v>
      </c>
      <c r="C160" s="97" t="s">
        <v>4203</v>
      </c>
      <c r="D160" s="97" t="s">
        <v>3602</v>
      </c>
      <c r="E160" s="123" t="s">
        <v>4204</v>
      </c>
      <c r="F160" s="97" t="s">
        <v>4205</v>
      </c>
      <c r="G160" s="97">
        <v>35.0</v>
      </c>
      <c r="H160" s="97" t="s">
        <v>1874</v>
      </c>
      <c r="I160" s="298">
        <v>46188.0</v>
      </c>
      <c r="J160" s="298">
        <v>46191.0</v>
      </c>
      <c r="K160" s="102">
        <v>325.0</v>
      </c>
      <c r="L160" s="479">
        <v>12.0</v>
      </c>
      <c r="M160" s="102">
        <f t="shared" ref="M160:M161" si="21">K160*12</f>
        <v>3900</v>
      </c>
      <c r="N160" s="161" t="s">
        <v>71</v>
      </c>
      <c r="O160" s="161" t="s">
        <v>29</v>
      </c>
      <c r="P160" s="161" t="s">
        <v>72</v>
      </c>
      <c r="Q160" s="161">
        <v>3278.0</v>
      </c>
      <c r="R160" s="161" t="s">
        <v>73</v>
      </c>
      <c r="S160" s="161" t="s">
        <v>2208</v>
      </c>
      <c r="T160" s="607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</row>
    <row r="161">
      <c r="A161" s="12">
        <v>157.0</v>
      </c>
      <c r="B161" s="123" t="s">
        <v>4206</v>
      </c>
      <c r="C161" s="737" t="s">
        <v>4207</v>
      </c>
      <c r="D161" s="97" t="s">
        <v>1558</v>
      </c>
      <c r="E161" s="123" t="s">
        <v>4208</v>
      </c>
      <c r="F161" s="97" t="s">
        <v>4209</v>
      </c>
      <c r="G161" s="97">
        <v>5.0</v>
      </c>
      <c r="H161" s="97" t="s">
        <v>1874</v>
      </c>
      <c r="I161" s="298">
        <v>46189.0</v>
      </c>
      <c r="J161" s="298">
        <v>46190.0</v>
      </c>
      <c r="K161" s="102">
        <v>163.0</v>
      </c>
      <c r="L161" s="479">
        <v>12.0</v>
      </c>
      <c r="M161" s="102">
        <f t="shared" si="21"/>
        <v>1956</v>
      </c>
      <c r="N161" s="161" t="s">
        <v>71</v>
      </c>
      <c r="O161" s="161" t="s">
        <v>29</v>
      </c>
      <c r="P161" s="161" t="s">
        <v>72</v>
      </c>
      <c r="Q161" s="161">
        <v>3276.0</v>
      </c>
      <c r="R161" s="161" t="s">
        <v>233</v>
      </c>
      <c r="S161" s="161" t="s">
        <v>2208</v>
      </c>
      <c r="T161" s="607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</row>
    <row r="162">
      <c r="A162" s="12">
        <v>158.0</v>
      </c>
      <c r="B162" s="161" t="s">
        <v>4210</v>
      </c>
      <c r="C162" s="97" t="s">
        <v>4211</v>
      </c>
      <c r="D162" s="161" t="s">
        <v>1339</v>
      </c>
      <c r="E162" s="97" t="s">
        <v>4212</v>
      </c>
      <c r="F162" s="737" t="s">
        <v>4213</v>
      </c>
      <c r="G162" s="161">
        <v>10.0</v>
      </c>
      <c r="H162" s="161" t="s">
        <v>711</v>
      </c>
      <c r="I162" s="708">
        <v>46189.0</v>
      </c>
      <c r="J162" s="708">
        <v>46190.0</v>
      </c>
      <c r="K162" s="164">
        <v>250.0</v>
      </c>
      <c r="L162" s="709">
        <v>4.0</v>
      </c>
      <c r="M162" s="164">
        <f>K162*4</f>
        <v>1000</v>
      </c>
      <c r="N162" s="161" t="s">
        <v>71</v>
      </c>
      <c r="O162" s="161" t="s">
        <v>91</v>
      </c>
      <c r="P162" s="161" t="s">
        <v>72</v>
      </c>
      <c r="Q162" s="545">
        <v>3282.0</v>
      </c>
      <c r="R162" s="161" t="s">
        <v>233</v>
      </c>
      <c r="S162" s="161" t="s">
        <v>2208</v>
      </c>
      <c r="T162" s="62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</row>
    <row r="163">
      <c r="A163" s="12">
        <v>159.0</v>
      </c>
      <c r="B163" s="97" t="s">
        <v>4214</v>
      </c>
      <c r="C163" s="737" t="s">
        <v>4215</v>
      </c>
      <c r="D163" s="97" t="s">
        <v>3602</v>
      </c>
      <c r="E163" s="181" t="s">
        <v>4216</v>
      </c>
      <c r="F163" s="97" t="s">
        <v>4205</v>
      </c>
      <c r="G163" s="97">
        <v>6.0</v>
      </c>
      <c r="H163" s="97" t="s">
        <v>1874</v>
      </c>
      <c r="I163" s="298">
        <v>45825.0</v>
      </c>
      <c r="J163" s="81"/>
      <c r="K163" s="102">
        <v>169.0</v>
      </c>
      <c r="L163" s="479">
        <v>12.0</v>
      </c>
      <c r="M163" s="102">
        <v>2028.0</v>
      </c>
      <c r="N163" s="161" t="s">
        <v>58</v>
      </c>
      <c r="O163" s="161" t="s">
        <v>29</v>
      </c>
      <c r="P163" s="161" t="s">
        <v>40</v>
      </c>
      <c r="Q163" s="166"/>
      <c r="R163" s="161" t="s">
        <v>73</v>
      </c>
      <c r="S163" s="161" t="s">
        <v>2208</v>
      </c>
      <c r="T163" s="607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</row>
    <row r="164">
      <c r="A164" s="12">
        <v>160.0</v>
      </c>
      <c r="B164" s="97" t="s">
        <v>4217</v>
      </c>
      <c r="C164" s="737" t="s">
        <v>4218</v>
      </c>
      <c r="D164" s="97" t="s">
        <v>3602</v>
      </c>
      <c r="E164" s="181" t="s">
        <v>4216</v>
      </c>
      <c r="F164" s="97" t="s">
        <v>4205</v>
      </c>
      <c r="G164" s="97">
        <v>10.0</v>
      </c>
      <c r="H164" s="97" t="s">
        <v>1874</v>
      </c>
      <c r="I164" s="298">
        <v>46190.0</v>
      </c>
      <c r="J164" s="81"/>
      <c r="K164" s="102">
        <v>193.0</v>
      </c>
      <c r="L164" s="479">
        <v>12.0</v>
      </c>
      <c r="M164" s="102">
        <v>2316.0</v>
      </c>
      <c r="N164" s="161" t="s">
        <v>58</v>
      </c>
      <c r="O164" s="161" t="s">
        <v>29</v>
      </c>
      <c r="P164" s="161" t="s">
        <v>40</v>
      </c>
      <c r="Q164" s="166"/>
      <c r="R164" s="161" t="s">
        <v>73</v>
      </c>
      <c r="S164" s="161" t="s">
        <v>2208</v>
      </c>
      <c r="T164" s="607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</row>
    <row r="165">
      <c r="A165" s="12">
        <v>161.0</v>
      </c>
      <c r="B165" s="97" t="s">
        <v>4219</v>
      </c>
      <c r="C165" s="97" t="s">
        <v>4220</v>
      </c>
      <c r="D165" s="97" t="s">
        <v>1060</v>
      </c>
      <c r="E165" s="123" t="s">
        <v>4221</v>
      </c>
      <c r="F165" s="97" t="s">
        <v>4222</v>
      </c>
      <c r="G165" s="97">
        <v>2.0</v>
      </c>
      <c r="H165" s="97" t="s">
        <v>711</v>
      </c>
      <c r="I165" s="298">
        <v>46190.0</v>
      </c>
      <c r="J165" s="298">
        <v>46190.0</v>
      </c>
      <c r="K165" s="102" t="s">
        <v>211</v>
      </c>
      <c r="L165" s="479">
        <v>1.0</v>
      </c>
      <c r="M165" s="102">
        <v>600.0</v>
      </c>
      <c r="N165" s="161" t="s">
        <v>71</v>
      </c>
      <c r="O165" s="161" t="s">
        <v>91</v>
      </c>
      <c r="P165" s="161" t="s">
        <v>72</v>
      </c>
      <c r="Q165" s="161">
        <v>3277.0</v>
      </c>
      <c r="R165" s="161" t="s">
        <v>233</v>
      </c>
      <c r="S165" s="161" t="s">
        <v>2208</v>
      </c>
      <c r="T165" s="607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</row>
    <row r="166">
      <c r="A166" s="12">
        <v>162.0</v>
      </c>
      <c r="B166" s="97" t="s">
        <v>4223</v>
      </c>
      <c r="C166" s="97" t="s">
        <v>4224</v>
      </c>
      <c r="D166" s="97" t="s">
        <v>4225</v>
      </c>
      <c r="E166" s="181" t="s">
        <v>295</v>
      </c>
      <c r="F166" s="97" t="s">
        <v>4226</v>
      </c>
      <c r="G166" s="97">
        <v>10.0</v>
      </c>
      <c r="H166" s="97" t="s">
        <v>4227</v>
      </c>
      <c r="I166" s="298">
        <v>46188.0</v>
      </c>
      <c r="J166" s="81"/>
      <c r="K166" s="102" t="s">
        <v>1268</v>
      </c>
      <c r="L166" s="479">
        <v>1.0</v>
      </c>
      <c r="M166" s="102">
        <v>5200.0</v>
      </c>
      <c r="N166" s="161" t="s">
        <v>58</v>
      </c>
      <c r="O166" s="161" t="s">
        <v>91</v>
      </c>
      <c r="P166" s="161" t="s">
        <v>40</v>
      </c>
      <c r="Q166" s="166"/>
      <c r="R166" s="161" t="s">
        <v>73</v>
      </c>
      <c r="S166" s="161" t="s">
        <v>129</v>
      </c>
      <c r="T166" s="607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</row>
    <row r="167">
      <c r="A167" s="12">
        <v>163.0</v>
      </c>
      <c r="B167" s="97" t="s">
        <v>4228</v>
      </c>
      <c r="C167" s="738" t="s">
        <v>4229</v>
      </c>
      <c r="D167" s="97" t="s">
        <v>4230</v>
      </c>
      <c r="E167" s="181" t="s">
        <v>4231</v>
      </c>
      <c r="F167" s="97" t="s">
        <v>4232</v>
      </c>
      <c r="G167" s="97">
        <v>1.0</v>
      </c>
      <c r="H167" s="97" t="s">
        <v>2837</v>
      </c>
      <c r="I167" s="298">
        <v>46190.0</v>
      </c>
      <c r="J167" s="298">
        <v>46191.0</v>
      </c>
      <c r="K167" s="102" t="s">
        <v>1268</v>
      </c>
      <c r="L167" s="479">
        <v>1.0</v>
      </c>
      <c r="M167" s="102">
        <v>700.0</v>
      </c>
      <c r="N167" s="161" t="s">
        <v>71</v>
      </c>
      <c r="O167" s="161" t="s">
        <v>29</v>
      </c>
      <c r="P167" s="161" t="s">
        <v>72</v>
      </c>
      <c r="Q167" s="161">
        <v>3292.0</v>
      </c>
      <c r="R167" s="161" t="s">
        <v>41</v>
      </c>
      <c r="S167" s="161" t="s">
        <v>129</v>
      </c>
      <c r="T167" s="607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</row>
    <row r="168">
      <c r="A168" s="12">
        <v>164.0</v>
      </c>
      <c r="B168" s="97" t="s">
        <v>4233</v>
      </c>
      <c r="C168" s="97" t="s">
        <v>4234</v>
      </c>
      <c r="D168" s="97" t="s">
        <v>4235</v>
      </c>
      <c r="E168" s="737" t="s">
        <v>4236</v>
      </c>
      <c r="F168" s="97" t="s">
        <v>4237</v>
      </c>
      <c r="G168" s="97">
        <v>1.0</v>
      </c>
      <c r="H168" s="97" t="s">
        <v>711</v>
      </c>
      <c r="I168" s="298">
        <v>46183.0</v>
      </c>
      <c r="J168" s="298">
        <v>46190.0</v>
      </c>
      <c r="K168" s="102">
        <v>200.0</v>
      </c>
      <c r="L168" s="479">
        <v>3.0</v>
      </c>
      <c r="M168" s="102">
        <f>K168*3</f>
        <v>600</v>
      </c>
      <c r="N168" s="161" t="s">
        <v>71</v>
      </c>
      <c r="O168" s="161" t="s">
        <v>91</v>
      </c>
      <c r="P168" s="161" t="s">
        <v>72</v>
      </c>
      <c r="Q168" s="161">
        <v>3316.0</v>
      </c>
      <c r="R168" s="161" t="s">
        <v>73</v>
      </c>
      <c r="S168" s="161" t="s">
        <v>148</v>
      </c>
      <c r="T168" s="607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</row>
    <row r="169">
      <c r="A169" s="12">
        <v>165.0</v>
      </c>
      <c r="B169" s="106" t="s">
        <v>4238</v>
      </c>
      <c r="C169" s="106" t="s">
        <v>4239</v>
      </c>
      <c r="D169" s="106" t="s">
        <v>4240</v>
      </c>
      <c r="E169" s="106">
        <v>1.1933392021E10</v>
      </c>
      <c r="F169" s="106" t="s">
        <v>4241</v>
      </c>
      <c r="G169" s="106">
        <v>6.0</v>
      </c>
      <c r="H169" s="106" t="s">
        <v>3839</v>
      </c>
      <c r="I169" s="108">
        <v>46192.0</v>
      </c>
      <c r="J169" s="109"/>
      <c r="K169" s="89">
        <f>M169/4</f>
        <v>275</v>
      </c>
      <c r="L169" s="254" t="s">
        <v>1278</v>
      </c>
      <c r="M169" s="89">
        <v>1100.0</v>
      </c>
      <c r="N169" s="86" t="s">
        <v>58</v>
      </c>
      <c r="O169" s="86" t="s">
        <v>29</v>
      </c>
      <c r="P169" s="86" t="s">
        <v>40</v>
      </c>
      <c r="Q169" s="90"/>
      <c r="R169" s="86" t="s">
        <v>73</v>
      </c>
      <c r="S169" s="86" t="s">
        <v>110</v>
      </c>
      <c r="T169" s="245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</row>
    <row r="170">
      <c r="A170" s="12">
        <v>166.0</v>
      </c>
      <c r="B170" s="172" t="s">
        <v>3110</v>
      </c>
      <c r="C170" s="172" t="s">
        <v>3111</v>
      </c>
      <c r="D170" s="172" t="s">
        <v>3112</v>
      </c>
      <c r="E170" s="172" t="s">
        <v>3113</v>
      </c>
      <c r="F170" s="172" t="s">
        <v>3114</v>
      </c>
      <c r="G170" s="172">
        <v>1.0</v>
      </c>
      <c r="H170" s="613" t="s">
        <v>123</v>
      </c>
      <c r="I170" s="609">
        <v>46148.0</v>
      </c>
      <c r="J170" s="609"/>
      <c r="K170" s="170">
        <v>139.0</v>
      </c>
      <c r="L170" s="610">
        <v>12.0</v>
      </c>
      <c r="M170" s="170">
        <f>K170*12</f>
        <v>1668</v>
      </c>
      <c r="N170" s="137" t="s">
        <v>28</v>
      </c>
      <c r="O170" s="171" t="s">
        <v>29</v>
      </c>
      <c r="P170" s="171" t="s">
        <v>40</v>
      </c>
      <c r="Q170" s="171"/>
      <c r="R170" s="171" t="s">
        <v>73</v>
      </c>
      <c r="S170" s="171" t="s">
        <v>110</v>
      </c>
      <c r="T170" s="723" t="s">
        <v>4242</v>
      </c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</row>
    <row r="171">
      <c r="A171" s="12">
        <v>167.0</v>
      </c>
      <c r="B171" s="106" t="s">
        <v>4243</v>
      </c>
      <c r="C171" s="106" t="s">
        <v>4244</v>
      </c>
      <c r="D171" s="106" t="s">
        <v>4245</v>
      </c>
      <c r="E171" s="106" t="s">
        <v>4246</v>
      </c>
      <c r="F171" s="106" t="s">
        <v>4247</v>
      </c>
      <c r="G171" s="106">
        <v>9.0</v>
      </c>
      <c r="H171" s="106" t="s">
        <v>1874</v>
      </c>
      <c r="I171" s="108">
        <v>46188.0</v>
      </c>
      <c r="J171" s="91"/>
      <c r="K171" s="89">
        <v>193.0</v>
      </c>
      <c r="L171" s="467">
        <v>12.0</v>
      </c>
      <c r="M171" s="89">
        <f>K171*L171</f>
        <v>2316</v>
      </c>
      <c r="N171" s="86" t="s">
        <v>58</v>
      </c>
      <c r="O171" s="86" t="s">
        <v>29</v>
      </c>
      <c r="P171" s="86" t="s">
        <v>40</v>
      </c>
      <c r="Q171" s="106"/>
      <c r="R171" s="86" t="s">
        <v>73</v>
      </c>
      <c r="S171" s="86" t="s">
        <v>31</v>
      </c>
      <c r="T171" s="611" t="s">
        <v>4248</v>
      </c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</row>
    <row r="172">
      <c r="A172" s="12">
        <v>168.0</v>
      </c>
      <c r="B172" s="106" t="s">
        <v>4249</v>
      </c>
      <c r="C172" s="106" t="s">
        <v>4250</v>
      </c>
      <c r="D172" s="106" t="s">
        <v>4251</v>
      </c>
      <c r="E172" s="106" t="s">
        <v>4252</v>
      </c>
      <c r="F172" s="24" t="s">
        <v>4253</v>
      </c>
      <c r="G172" s="106" t="s">
        <v>399</v>
      </c>
      <c r="H172" s="106" t="s">
        <v>711</v>
      </c>
      <c r="I172" s="108">
        <v>46188.0</v>
      </c>
      <c r="J172" s="108">
        <v>46188.0</v>
      </c>
      <c r="K172" s="89">
        <v>300.0</v>
      </c>
      <c r="L172" s="467">
        <v>3.0</v>
      </c>
      <c r="M172" s="89">
        <f>K172*3</f>
        <v>900</v>
      </c>
      <c r="N172" s="86" t="s">
        <v>71</v>
      </c>
      <c r="O172" s="86" t="s">
        <v>29</v>
      </c>
      <c r="P172" s="86" t="s">
        <v>72</v>
      </c>
      <c r="Q172" s="106">
        <v>3250.0</v>
      </c>
      <c r="R172" s="86" t="s">
        <v>233</v>
      </c>
      <c r="S172" s="86" t="s">
        <v>31</v>
      </c>
      <c r="T172" s="722" t="s">
        <v>4254</v>
      </c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</row>
    <row r="173">
      <c r="A173" s="12">
        <v>169.0</v>
      </c>
      <c r="B173" s="106" t="s">
        <v>2519</v>
      </c>
      <c r="C173" s="106" t="s">
        <v>1575</v>
      </c>
      <c r="D173" s="106" t="s">
        <v>4255</v>
      </c>
      <c r="E173" s="106" t="s">
        <v>1577</v>
      </c>
      <c r="F173" s="106" t="s">
        <v>4256</v>
      </c>
      <c r="G173" s="106">
        <v>40.0</v>
      </c>
      <c r="H173" s="106" t="s">
        <v>1874</v>
      </c>
      <c r="I173" s="108">
        <v>46184.0</v>
      </c>
      <c r="J173" s="91"/>
      <c r="K173" s="89">
        <v>1230.33</v>
      </c>
      <c r="L173" s="467">
        <v>12.0</v>
      </c>
      <c r="M173" s="89">
        <f t="shared" ref="M173:M174" si="22">K173*L173</f>
        <v>14763.96</v>
      </c>
      <c r="N173" s="86" t="s">
        <v>58</v>
      </c>
      <c r="O173" s="86" t="s">
        <v>91</v>
      </c>
      <c r="P173" s="86" t="s">
        <v>40</v>
      </c>
      <c r="Q173" s="106"/>
      <c r="R173" s="86" t="s">
        <v>73</v>
      </c>
      <c r="S173" s="86" t="s">
        <v>31</v>
      </c>
      <c r="T173" s="739" t="s">
        <v>4257</v>
      </c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</row>
    <row r="174">
      <c r="A174" s="12">
        <v>170.0</v>
      </c>
      <c r="B174" s="106" t="s">
        <v>4258</v>
      </c>
      <c r="C174" s="106" t="s">
        <v>4259</v>
      </c>
      <c r="D174" s="106" t="s">
        <v>4260</v>
      </c>
      <c r="E174" s="106" t="s">
        <v>4261</v>
      </c>
      <c r="F174" s="106" t="s">
        <v>4262</v>
      </c>
      <c r="G174" s="106">
        <v>1.0</v>
      </c>
      <c r="H174" s="106" t="s">
        <v>1874</v>
      </c>
      <c r="I174" s="108">
        <v>46190.0</v>
      </c>
      <c r="J174" s="91"/>
      <c r="K174" s="89">
        <v>1700.0</v>
      </c>
      <c r="L174" s="467">
        <v>1.0</v>
      </c>
      <c r="M174" s="89">
        <f t="shared" si="22"/>
        <v>1700</v>
      </c>
      <c r="N174" s="90" t="s">
        <v>58</v>
      </c>
      <c r="O174" s="90" t="s">
        <v>29</v>
      </c>
      <c r="P174" s="86" t="s">
        <v>40</v>
      </c>
      <c r="Q174" s="106"/>
      <c r="R174" s="86" t="s">
        <v>73</v>
      </c>
      <c r="S174" s="86" t="s">
        <v>31</v>
      </c>
      <c r="T174" s="611" t="s">
        <v>4263</v>
      </c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</row>
    <row r="175">
      <c r="A175" s="12">
        <v>171.0</v>
      </c>
      <c r="B175" s="106" t="s">
        <v>4264</v>
      </c>
      <c r="C175" s="106" t="s">
        <v>4265</v>
      </c>
      <c r="D175" s="106" t="s">
        <v>4266</v>
      </c>
      <c r="E175" s="106" t="s">
        <v>4267</v>
      </c>
      <c r="F175" s="106" t="s">
        <v>4268</v>
      </c>
      <c r="G175" s="106">
        <v>1.0</v>
      </c>
      <c r="H175" s="106" t="s">
        <v>1874</v>
      </c>
      <c r="I175" s="665">
        <v>46184.0</v>
      </c>
      <c r="J175" s="317">
        <v>46190.0</v>
      </c>
      <c r="K175" s="89">
        <v>188.0</v>
      </c>
      <c r="L175" s="467">
        <v>6.0</v>
      </c>
      <c r="M175" s="89">
        <f>K175*6</f>
        <v>1128</v>
      </c>
      <c r="N175" s="86" t="s">
        <v>71</v>
      </c>
      <c r="O175" s="86" t="s">
        <v>91</v>
      </c>
      <c r="P175" s="86" t="s">
        <v>72</v>
      </c>
      <c r="Q175" s="106">
        <v>3281.0</v>
      </c>
      <c r="R175" s="86" t="s">
        <v>233</v>
      </c>
      <c r="S175" s="86" t="s">
        <v>31</v>
      </c>
      <c r="T175" s="722" t="s">
        <v>4269</v>
      </c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</row>
    <row r="176">
      <c r="A176" s="12">
        <v>172.0</v>
      </c>
      <c r="B176" s="106" t="s">
        <v>4270</v>
      </c>
      <c r="C176" s="106" t="s">
        <v>4271</v>
      </c>
      <c r="D176" s="106" t="s">
        <v>4266</v>
      </c>
      <c r="E176" s="106" t="s">
        <v>4267</v>
      </c>
      <c r="F176" s="106" t="s">
        <v>4268</v>
      </c>
      <c r="G176" s="106">
        <v>2.0</v>
      </c>
      <c r="H176" s="106" t="s">
        <v>1874</v>
      </c>
      <c r="I176" s="665">
        <v>46184.0</v>
      </c>
      <c r="J176" s="317">
        <v>46190.0</v>
      </c>
      <c r="K176" s="89">
        <v>150.0</v>
      </c>
      <c r="L176" s="467">
        <v>12.0</v>
      </c>
      <c r="M176" s="89">
        <f>K176*12</f>
        <v>1800</v>
      </c>
      <c r="N176" s="86" t="s">
        <v>71</v>
      </c>
      <c r="O176" s="86" t="s">
        <v>91</v>
      </c>
      <c r="P176" s="86" t="s">
        <v>72</v>
      </c>
      <c r="Q176" s="106">
        <v>3284.0</v>
      </c>
      <c r="R176" s="86" t="s">
        <v>233</v>
      </c>
      <c r="S176" s="86" t="s">
        <v>31</v>
      </c>
      <c r="T176" s="722" t="s">
        <v>4272</v>
      </c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</row>
    <row r="177">
      <c r="A177" s="12">
        <v>173.0</v>
      </c>
      <c r="B177" s="107" t="s">
        <v>4273</v>
      </c>
      <c r="C177" s="107" t="s">
        <v>4274</v>
      </c>
      <c r="D177" s="107" t="s">
        <v>4235</v>
      </c>
      <c r="E177" s="107" t="s">
        <v>4275</v>
      </c>
      <c r="F177" s="107" t="s">
        <v>4237</v>
      </c>
      <c r="G177" s="107">
        <v>4.0</v>
      </c>
      <c r="H177" s="107" t="s">
        <v>711</v>
      </c>
      <c r="I177" s="247">
        <v>46183.0</v>
      </c>
      <c r="J177" s="247">
        <v>46191.0</v>
      </c>
      <c r="K177" s="238">
        <v>200.0</v>
      </c>
      <c r="L177" s="556">
        <v>3.0</v>
      </c>
      <c r="M177" s="238">
        <f>K177*3</f>
        <v>600</v>
      </c>
      <c r="N177" s="110" t="s">
        <v>71</v>
      </c>
      <c r="O177" s="110" t="s">
        <v>91</v>
      </c>
      <c r="P177" s="110" t="s">
        <v>72</v>
      </c>
      <c r="Q177" s="167">
        <v>3313.0</v>
      </c>
      <c r="R177" s="110" t="s">
        <v>73</v>
      </c>
      <c r="S177" s="110" t="s">
        <v>148</v>
      </c>
      <c r="T177" s="740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</row>
    <row r="178">
      <c r="A178" s="12">
        <v>174.0</v>
      </c>
      <c r="B178" s="681" t="s">
        <v>4276</v>
      </c>
      <c r="C178" s="681" t="s">
        <v>4277</v>
      </c>
      <c r="D178" s="681" t="s">
        <v>1438</v>
      </c>
      <c r="E178" s="682" t="s">
        <v>3958</v>
      </c>
      <c r="F178" s="681" t="s">
        <v>1422</v>
      </c>
      <c r="G178" s="681">
        <v>20.0</v>
      </c>
      <c r="H178" s="683" t="s">
        <v>711</v>
      </c>
      <c r="I178" s="684">
        <v>46191.0</v>
      </c>
      <c r="J178" s="684">
        <v>46192.0</v>
      </c>
      <c r="K178" s="685" t="s">
        <v>1268</v>
      </c>
      <c r="L178" s="686">
        <v>1.0</v>
      </c>
      <c r="M178" s="685">
        <v>600.0</v>
      </c>
      <c r="N178" s="687" t="s">
        <v>71</v>
      </c>
      <c r="O178" s="687" t="s">
        <v>91</v>
      </c>
      <c r="P178" s="687" t="s">
        <v>72</v>
      </c>
      <c r="Q178" s="687">
        <v>3319.0</v>
      </c>
      <c r="R178" s="687" t="s">
        <v>73</v>
      </c>
      <c r="S178" s="687" t="s">
        <v>599</v>
      </c>
      <c r="T178" s="741"/>
      <c r="U178" s="689"/>
      <c r="V178" s="689"/>
      <c r="W178" s="689"/>
      <c r="X178" s="689"/>
      <c r="Y178" s="689"/>
      <c r="Z178" s="689"/>
      <c r="AA178" s="689"/>
      <c r="AB178" s="689"/>
      <c r="AC178" s="689"/>
      <c r="AD178" s="689"/>
      <c r="AE178" s="689"/>
      <c r="AF178" s="689"/>
      <c r="AG178" s="689"/>
      <c r="AH178" s="689"/>
      <c r="AI178" s="689"/>
      <c r="AJ178" s="689"/>
      <c r="AK178" s="689"/>
    </row>
    <row r="179">
      <c r="A179" s="12">
        <v>175.0</v>
      </c>
      <c r="B179" s="681" t="s">
        <v>4278</v>
      </c>
      <c r="C179" s="681" t="s">
        <v>1437</v>
      </c>
      <c r="D179" s="681" t="s">
        <v>1438</v>
      </c>
      <c r="E179" s="682" t="s">
        <v>3958</v>
      </c>
      <c r="F179" s="681" t="s">
        <v>1422</v>
      </c>
      <c r="G179" s="681">
        <v>29.0</v>
      </c>
      <c r="H179" s="683" t="s">
        <v>711</v>
      </c>
      <c r="I179" s="684">
        <v>46191.0</v>
      </c>
      <c r="J179" s="684">
        <v>46192.0</v>
      </c>
      <c r="K179" s="685" t="s">
        <v>1268</v>
      </c>
      <c r="L179" s="686">
        <v>1.0</v>
      </c>
      <c r="M179" s="685">
        <v>600.0</v>
      </c>
      <c r="N179" s="687" t="s">
        <v>71</v>
      </c>
      <c r="O179" s="687" t="s">
        <v>91</v>
      </c>
      <c r="P179" s="687" t="s">
        <v>72</v>
      </c>
      <c r="Q179" s="687">
        <v>3320.0</v>
      </c>
      <c r="R179" s="687" t="s">
        <v>73</v>
      </c>
      <c r="S179" s="687" t="s">
        <v>599</v>
      </c>
      <c r="T179" s="741"/>
      <c r="U179" s="689"/>
      <c r="V179" s="689"/>
      <c r="W179" s="689"/>
      <c r="X179" s="689"/>
      <c r="Y179" s="689"/>
      <c r="Z179" s="689"/>
      <c r="AA179" s="689"/>
      <c r="AB179" s="689"/>
      <c r="AC179" s="689"/>
      <c r="AD179" s="689"/>
      <c r="AE179" s="689"/>
      <c r="AF179" s="689"/>
      <c r="AG179" s="689"/>
      <c r="AH179" s="689"/>
      <c r="AI179" s="689"/>
      <c r="AJ179" s="689"/>
      <c r="AK179" s="689"/>
    </row>
    <row r="180" ht="15.0" customHeight="1">
      <c r="A180" s="12">
        <v>176.0</v>
      </c>
      <c r="B180" s="681" t="s">
        <v>4279</v>
      </c>
      <c r="C180" s="681" t="s">
        <v>4280</v>
      </c>
      <c r="D180" s="681" t="s">
        <v>1438</v>
      </c>
      <c r="E180" s="682" t="s">
        <v>3958</v>
      </c>
      <c r="F180" s="681" t="s">
        <v>1422</v>
      </c>
      <c r="G180" s="681">
        <v>8.0</v>
      </c>
      <c r="H180" s="683" t="s">
        <v>711</v>
      </c>
      <c r="I180" s="684">
        <v>46191.0</v>
      </c>
      <c r="J180" s="684">
        <v>46192.0</v>
      </c>
      <c r="K180" s="685" t="s">
        <v>1268</v>
      </c>
      <c r="L180" s="686">
        <v>1.0</v>
      </c>
      <c r="M180" s="685">
        <v>500.0</v>
      </c>
      <c r="N180" s="687" t="s">
        <v>71</v>
      </c>
      <c r="O180" s="687" t="s">
        <v>91</v>
      </c>
      <c r="P180" s="687" t="s">
        <v>72</v>
      </c>
      <c r="Q180" s="687">
        <v>3322.0</v>
      </c>
      <c r="R180" s="687" t="s">
        <v>73</v>
      </c>
      <c r="S180" s="687" t="s">
        <v>599</v>
      </c>
      <c r="T180" s="741"/>
      <c r="U180" s="689"/>
      <c r="V180" s="689"/>
      <c r="W180" s="689"/>
      <c r="X180" s="689"/>
      <c r="Y180" s="689"/>
      <c r="Z180" s="689"/>
      <c r="AA180" s="689"/>
      <c r="AB180" s="689"/>
      <c r="AC180" s="689"/>
      <c r="AD180" s="689"/>
      <c r="AE180" s="689"/>
      <c r="AF180" s="689"/>
      <c r="AG180" s="689"/>
      <c r="AH180" s="689"/>
      <c r="AI180" s="689"/>
      <c r="AJ180" s="689"/>
      <c r="AK180" s="689"/>
    </row>
    <row r="181" ht="15.0" customHeight="1">
      <c r="A181" s="12">
        <v>177.0</v>
      </c>
      <c r="B181" s="434" t="s">
        <v>4281</v>
      </c>
      <c r="C181" s="434" t="s">
        <v>4282</v>
      </c>
      <c r="D181" s="434" t="s">
        <v>1438</v>
      </c>
      <c r="E181" s="742" t="s">
        <v>3958</v>
      </c>
      <c r="F181" s="434" t="s">
        <v>1422</v>
      </c>
      <c r="G181" s="434">
        <v>28.0</v>
      </c>
      <c r="H181" s="107" t="s">
        <v>711</v>
      </c>
      <c r="I181" s="435">
        <v>46191.0</v>
      </c>
      <c r="J181" s="435">
        <v>46192.0</v>
      </c>
      <c r="K181" s="436" t="s">
        <v>1268</v>
      </c>
      <c r="L181" s="700">
        <v>1.0</v>
      </c>
      <c r="M181" s="436">
        <v>600.0</v>
      </c>
      <c r="N181" s="545" t="s">
        <v>71</v>
      </c>
      <c r="O181" s="545" t="s">
        <v>91</v>
      </c>
      <c r="P181" s="545" t="s">
        <v>72</v>
      </c>
      <c r="Q181" s="545">
        <v>3323.0</v>
      </c>
      <c r="R181" s="545" t="s">
        <v>73</v>
      </c>
      <c r="S181" s="545" t="s">
        <v>599</v>
      </c>
      <c r="T181" s="740"/>
      <c r="U181" s="412"/>
      <c r="V181" s="412"/>
      <c r="W181" s="412"/>
      <c r="X181" s="412"/>
      <c r="Y181" s="412"/>
      <c r="Z181" s="412"/>
      <c r="AA181" s="412"/>
      <c r="AB181" s="412"/>
      <c r="AC181" s="412"/>
      <c r="AD181" s="412"/>
      <c r="AE181" s="412"/>
      <c r="AF181" s="412"/>
      <c r="AG181" s="412"/>
      <c r="AH181" s="412"/>
      <c r="AI181" s="412"/>
      <c r="AJ181" s="412"/>
      <c r="AK181" s="412"/>
    </row>
    <row r="182">
      <c r="A182" s="12">
        <v>178.0</v>
      </c>
      <c r="B182" s="97" t="s">
        <v>4283</v>
      </c>
      <c r="C182" s="97" t="s">
        <v>4284</v>
      </c>
      <c r="D182" s="97" t="s">
        <v>4285</v>
      </c>
      <c r="E182" s="181" t="s">
        <v>4286</v>
      </c>
      <c r="F182" s="97" t="s">
        <v>4287</v>
      </c>
      <c r="G182" s="97">
        <v>3.0</v>
      </c>
      <c r="H182" s="97" t="s">
        <v>343</v>
      </c>
      <c r="I182" s="298">
        <v>46161.0</v>
      </c>
      <c r="J182" s="298">
        <v>46195.0</v>
      </c>
      <c r="K182" s="102">
        <v>700.0</v>
      </c>
      <c r="L182" s="479">
        <v>4.0</v>
      </c>
      <c r="M182" s="102">
        <f>K182*4</f>
        <v>2800</v>
      </c>
      <c r="N182" s="161" t="s">
        <v>71</v>
      </c>
      <c r="O182" s="161" t="s">
        <v>91</v>
      </c>
      <c r="P182" s="161" t="s">
        <v>72</v>
      </c>
      <c r="Q182" s="161">
        <v>3312.0</v>
      </c>
      <c r="R182" s="161" t="s">
        <v>73</v>
      </c>
      <c r="S182" s="161" t="s">
        <v>2208</v>
      </c>
      <c r="T182" s="607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</row>
    <row r="183">
      <c r="A183" s="12">
        <v>179.0</v>
      </c>
      <c r="B183" s="97" t="s">
        <v>4288</v>
      </c>
      <c r="C183" s="97" t="s">
        <v>4289</v>
      </c>
      <c r="D183" s="97" t="s">
        <v>4290</v>
      </c>
      <c r="E183" s="181" t="s">
        <v>4291</v>
      </c>
      <c r="F183" s="97" t="s">
        <v>4292</v>
      </c>
      <c r="G183" s="97">
        <v>218.0</v>
      </c>
      <c r="H183" s="97" t="s">
        <v>4293</v>
      </c>
      <c r="I183" s="298">
        <v>46192.0</v>
      </c>
      <c r="J183" s="81"/>
      <c r="K183" s="125">
        <v>4302.0</v>
      </c>
      <c r="L183" s="479">
        <v>1.0</v>
      </c>
      <c r="M183" s="89">
        <f>K183*L183</f>
        <v>4302</v>
      </c>
      <c r="N183" s="161" t="s">
        <v>58</v>
      </c>
      <c r="O183" s="161" t="s">
        <v>29</v>
      </c>
      <c r="P183" s="161" t="s">
        <v>40</v>
      </c>
      <c r="Q183" s="166"/>
      <c r="R183" s="161" t="s">
        <v>73</v>
      </c>
      <c r="S183" s="86" t="s">
        <v>31</v>
      </c>
      <c r="T183" s="611" t="s">
        <v>4294</v>
      </c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</row>
    <row r="184">
      <c r="A184" s="12">
        <v>180.0</v>
      </c>
      <c r="B184" s="103" t="s">
        <v>4295</v>
      </c>
      <c r="C184" s="103" t="s">
        <v>4296</v>
      </c>
      <c r="D184" s="103" t="s">
        <v>4297</v>
      </c>
      <c r="E184" s="182" t="s">
        <v>4298</v>
      </c>
      <c r="F184" s="103" t="s">
        <v>4299</v>
      </c>
      <c r="G184" s="103" t="s">
        <v>399</v>
      </c>
      <c r="H184" s="303" t="s">
        <v>711</v>
      </c>
      <c r="I184" s="174">
        <v>46192.0</v>
      </c>
      <c r="J184" s="174">
        <v>46203.0</v>
      </c>
      <c r="K184" s="128">
        <v>1000.0</v>
      </c>
      <c r="L184" s="480">
        <v>1.0</v>
      </c>
      <c r="M184" s="128">
        <v>1000.0</v>
      </c>
      <c r="N184" s="185" t="s">
        <v>71</v>
      </c>
      <c r="O184" s="185" t="s">
        <v>91</v>
      </c>
      <c r="P184" s="185" t="s">
        <v>72</v>
      </c>
      <c r="Q184" s="353">
        <v>3376.0</v>
      </c>
      <c r="R184" s="185" t="s">
        <v>73</v>
      </c>
      <c r="S184" s="548" t="s">
        <v>31</v>
      </c>
      <c r="T184" s="626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</row>
    <row r="185">
      <c r="A185" s="12">
        <v>181.0</v>
      </c>
      <c r="B185" s="743" t="s">
        <v>4300</v>
      </c>
      <c r="C185" s="743" t="s">
        <v>4301</v>
      </c>
      <c r="D185" s="743" t="s">
        <v>4302</v>
      </c>
      <c r="E185" s="744" t="s">
        <v>4303</v>
      </c>
      <c r="F185" s="743" t="s">
        <v>4304</v>
      </c>
      <c r="G185" s="743">
        <v>2.0</v>
      </c>
      <c r="H185" s="743" t="s">
        <v>4305</v>
      </c>
      <c r="I185" s="745">
        <v>46192.0</v>
      </c>
      <c r="J185" s="746"/>
      <c r="K185" s="747">
        <v>3200.0</v>
      </c>
      <c r="L185" s="748">
        <v>1.0</v>
      </c>
      <c r="M185" s="749">
        <f t="shared" ref="M185:M186" si="23">K185*L185</f>
        <v>3200</v>
      </c>
      <c r="N185" s="750" t="s">
        <v>58</v>
      </c>
      <c r="O185" s="750" t="s">
        <v>91</v>
      </c>
      <c r="P185" s="750" t="s">
        <v>40</v>
      </c>
      <c r="Q185" s="751"/>
      <c r="R185" s="750" t="s">
        <v>73</v>
      </c>
      <c r="S185" s="752" t="s">
        <v>31</v>
      </c>
      <c r="T185" s="753" t="s">
        <v>4306</v>
      </c>
      <c r="U185" s="754"/>
      <c r="V185" s="754"/>
      <c r="W185" s="754"/>
      <c r="X185" s="754"/>
      <c r="Y185" s="754"/>
      <c r="Z185" s="754"/>
      <c r="AA185" s="754"/>
      <c r="AB185" s="754"/>
      <c r="AC185" s="754"/>
      <c r="AD185" s="754"/>
      <c r="AE185" s="754"/>
      <c r="AF185" s="754"/>
      <c r="AG185" s="754"/>
      <c r="AH185" s="754"/>
      <c r="AI185" s="754"/>
      <c r="AJ185" s="754"/>
      <c r="AK185" s="754"/>
    </row>
    <row r="186">
      <c r="A186" s="12">
        <v>182.0</v>
      </c>
      <c r="B186" s="97" t="s">
        <v>4307</v>
      </c>
      <c r="C186" s="97" t="s">
        <v>4308</v>
      </c>
      <c r="D186" s="97" t="s">
        <v>3931</v>
      </c>
      <c r="E186" s="470"/>
      <c r="F186" s="97" t="s">
        <v>4309</v>
      </c>
      <c r="G186" s="97">
        <v>15.0</v>
      </c>
      <c r="H186" s="106" t="s">
        <v>1874</v>
      </c>
      <c r="I186" s="298">
        <v>46192.0</v>
      </c>
      <c r="J186" s="81"/>
      <c r="K186" s="125">
        <v>230.0</v>
      </c>
      <c r="L186" s="479">
        <v>12.0</v>
      </c>
      <c r="M186" s="89">
        <f t="shared" si="23"/>
        <v>2760</v>
      </c>
      <c r="N186" s="161" t="s">
        <v>58</v>
      </c>
      <c r="O186" s="161" t="s">
        <v>29</v>
      </c>
      <c r="P186" s="161" t="s">
        <v>40</v>
      </c>
      <c r="Q186" s="166"/>
      <c r="R186" s="161" t="s">
        <v>73</v>
      </c>
      <c r="S186" s="86" t="s">
        <v>31</v>
      </c>
      <c r="T186" s="615" t="s">
        <v>4310</v>
      </c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</row>
    <row r="187">
      <c r="A187" s="12">
        <v>183.0</v>
      </c>
      <c r="B187" s="755" t="s">
        <v>4311</v>
      </c>
      <c r="C187" s="434" t="s">
        <v>4312</v>
      </c>
      <c r="D187" s="434" t="s">
        <v>4313</v>
      </c>
      <c r="E187" s="742" t="s">
        <v>4314</v>
      </c>
      <c r="F187" s="434" t="s">
        <v>4315</v>
      </c>
      <c r="G187" s="434">
        <v>2.0</v>
      </c>
      <c r="H187" s="434" t="s">
        <v>254</v>
      </c>
      <c r="I187" s="435">
        <v>46189.0</v>
      </c>
      <c r="J187" s="435">
        <v>46192.0</v>
      </c>
      <c r="K187" s="436">
        <v>200.0</v>
      </c>
      <c r="L187" s="700">
        <v>3.0</v>
      </c>
      <c r="M187" s="436">
        <f>K187*3</f>
        <v>600</v>
      </c>
      <c r="N187" s="545" t="s">
        <v>71</v>
      </c>
      <c r="O187" s="545" t="s">
        <v>91</v>
      </c>
      <c r="P187" s="545" t="s">
        <v>72</v>
      </c>
      <c r="Q187" s="545">
        <v>3324.0</v>
      </c>
      <c r="R187" s="545" t="s">
        <v>41</v>
      </c>
      <c r="S187" s="545" t="s">
        <v>599</v>
      </c>
      <c r="T187" s="740"/>
      <c r="U187" s="412"/>
      <c r="V187" s="412"/>
      <c r="W187" s="412"/>
      <c r="X187" s="412"/>
      <c r="Y187" s="412"/>
      <c r="Z187" s="412"/>
      <c r="AA187" s="412"/>
      <c r="AB187" s="412"/>
      <c r="AC187" s="412"/>
      <c r="AD187" s="412"/>
      <c r="AE187" s="412"/>
      <c r="AF187" s="412"/>
      <c r="AG187" s="412"/>
      <c r="AH187" s="412"/>
      <c r="AI187" s="412"/>
      <c r="AJ187" s="412"/>
      <c r="AK187" s="412"/>
    </row>
    <row r="188">
      <c r="A188" s="12">
        <v>184.0</v>
      </c>
      <c r="B188" s="97" t="s">
        <v>4316</v>
      </c>
      <c r="C188" s="97" t="s">
        <v>4317</v>
      </c>
      <c r="D188" s="97" t="s">
        <v>4318</v>
      </c>
      <c r="E188" s="470" t="s">
        <v>4319</v>
      </c>
      <c r="F188" s="97" t="s">
        <v>4320</v>
      </c>
      <c r="G188" s="97">
        <v>4.0</v>
      </c>
      <c r="H188" s="97" t="s">
        <v>2816</v>
      </c>
      <c r="I188" s="298">
        <v>46161.0</v>
      </c>
      <c r="J188" s="298">
        <v>46195.0</v>
      </c>
      <c r="K188" s="102">
        <v>157.0</v>
      </c>
      <c r="L188" s="479">
        <v>12.0</v>
      </c>
      <c r="M188" s="102">
        <f>K188*12</f>
        <v>1884</v>
      </c>
      <c r="N188" s="161" t="s">
        <v>71</v>
      </c>
      <c r="O188" s="161" t="s">
        <v>29</v>
      </c>
      <c r="P188" s="161" t="s">
        <v>72</v>
      </c>
      <c r="Q188" s="545">
        <v>3328.0</v>
      </c>
      <c r="R188" s="406" t="s">
        <v>1979</v>
      </c>
      <c r="S188" s="161" t="s">
        <v>2208</v>
      </c>
      <c r="T188" s="607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</row>
    <row r="189">
      <c r="A189" s="12">
        <v>185.0</v>
      </c>
      <c r="B189" s="97" t="s">
        <v>4321</v>
      </c>
      <c r="C189" s="97" t="s">
        <v>4322</v>
      </c>
      <c r="D189" s="97" t="s">
        <v>4323</v>
      </c>
      <c r="E189" s="470" t="s">
        <v>4324</v>
      </c>
      <c r="F189" s="97" t="s">
        <v>4325</v>
      </c>
      <c r="G189" s="97">
        <v>8.0</v>
      </c>
      <c r="H189" s="97" t="s">
        <v>254</v>
      </c>
      <c r="I189" s="298">
        <v>46192.0</v>
      </c>
      <c r="J189" s="298">
        <v>46196.0</v>
      </c>
      <c r="K189" s="102" t="s">
        <v>1268</v>
      </c>
      <c r="L189" s="479">
        <v>1.0</v>
      </c>
      <c r="M189" s="102">
        <v>800.0</v>
      </c>
      <c r="N189" s="161" t="s">
        <v>71</v>
      </c>
      <c r="O189" s="161" t="s">
        <v>91</v>
      </c>
      <c r="P189" s="161" t="s">
        <v>72</v>
      </c>
      <c r="Q189" s="545">
        <v>3321.0</v>
      </c>
      <c r="R189" s="161" t="s">
        <v>233</v>
      </c>
      <c r="S189" s="161" t="s">
        <v>129</v>
      </c>
      <c r="T189" s="607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</row>
    <row r="190">
      <c r="A190" s="12">
        <v>186.0</v>
      </c>
      <c r="B190" s="97" t="s">
        <v>4326</v>
      </c>
      <c r="C190" s="97" t="s">
        <v>4327</v>
      </c>
      <c r="D190" s="97" t="s">
        <v>4328</v>
      </c>
      <c r="E190" s="470">
        <v>1.9997459928E10</v>
      </c>
      <c r="F190" s="97" t="s">
        <v>4329</v>
      </c>
      <c r="G190" s="97">
        <v>40.0</v>
      </c>
      <c r="H190" s="97" t="s">
        <v>4330</v>
      </c>
      <c r="I190" s="298">
        <v>46196.0</v>
      </c>
      <c r="J190" s="81"/>
      <c r="K190" s="102" t="s">
        <v>1268</v>
      </c>
      <c r="L190" s="479">
        <v>1.0</v>
      </c>
      <c r="M190" s="102">
        <v>1600.0</v>
      </c>
      <c r="N190" s="161" t="s">
        <v>28</v>
      </c>
      <c r="O190" s="161" t="s">
        <v>29</v>
      </c>
      <c r="P190" s="161" t="s">
        <v>40</v>
      </c>
      <c r="Q190" s="166"/>
      <c r="R190" s="161" t="s">
        <v>73</v>
      </c>
      <c r="S190" s="161" t="s">
        <v>129</v>
      </c>
      <c r="T190" s="611" t="s">
        <v>4331</v>
      </c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</row>
    <row r="191">
      <c r="A191" s="12">
        <v>187.0</v>
      </c>
      <c r="B191" s="97" t="s">
        <v>4332</v>
      </c>
      <c r="C191" s="97" t="s">
        <v>4333</v>
      </c>
      <c r="D191" s="97" t="s">
        <v>4334</v>
      </c>
      <c r="E191" s="470" t="s">
        <v>4335</v>
      </c>
      <c r="F191" s="386" t="s">
        <v>4336</v>
      </c>
      <c r="G191" s="97">
        <v>2.0</v>
      </c>
      <c r="H191" s="97" t="s">
        <v>2837</v>
      </c>
      <c r="I191" s="298">
        <v>46196.0</v>
      </c>
      <c r="J191" s="81"/>
      <c r="K191" s="164">
        <v>1000.0</v>
      </c>
      <c r="L191" s="479">
        <v>1.0</v>
      </c>
      <c r="M191" s="102">
        <v>1000.0</v>
      </c>
      <c r="N191" s="161" t="s">
        <v>58</v>
      </c>
      <c r="O191" s="161" t="s">
        <v>29</v>
      </c>
      <c r="P191" s="161" t="s">
        <v>40</v>
      </c>
      <c r="Q191" s="166"/>
      <c r="R191" s="161" t="s">
        <v>73</v>
      </c>
      <c r="S191" s="161" t="s">
        <v>129</v>
      </c>
      <c r="T191" s="611" t="s">
        <v>4337</v>
      </c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</row>
    <row r="192">
      <c r="A192" s="12">
        <v>188.0</v>
      </c>
      <c r="B192" s="103" t="s">
        <v>4338</v>
      </c>
      <c r="C192" s="103" t="s">
        <v>4296</v>
      </c>
      <c r="D192" s="103" t="s">
        <v>4339</v>
      </c>
      <c r="E192" s="182" t="s">
        <v>4340</v>
      </c>
      <c r="F192" s="103" t="s">
        <v>4341</v>
      </c>
      <c r="G192" s="103" t="s">
        <v>399</v>
      </c>
      <c r="H192" s="103" t="s">
        <v>254</v>
      </c>
      <c r="I192" s="174">
        <v>46192.0</v>
      </c>
      <c r="J192" s="104"/>
      <c r="K192" s="756">
        <v>1000.0</v>
      </c>
      <c r="L192" s="480">
        <v>1.0</v>
      </c>
      <c r="M192" s="175">
        <f t="shared" ref="M192:M195" si="24">K192*1</f>
        <v>1000</v>
      </c>
      <c r="N192" s="185" t="s">
        <v>58</v>
      </c>
      <c r="O192" s="185" t="s">
        <v>91</v>
      </c>
      <c r="P192" s="185" t="s">
        <v>40</v>
      </c>
      <c r="Q192" s="475"/>
      <c r="R192" s="185" t="s">
        <v>73</v>
      </c>
      <c r="S192" s="185" t="s">
        <v>31</v>
      </c>
      <c r="T192" s="626" t="s">
        <v>4342</v>
      </c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</row>
    <row r="193">
      <c r="A193" s="12">
        <v>189.0</v>
      </c>
      <c r="B193" s="97" t="s">
        <v>4343</v>
      </c>
      <c r="C193" s="97" t="s">
        <v>4344</v>
      </c>
      <c r="D193" s="97" t="s">
        <v>4345</v>
      </c>
      <c r="E193" s="181" t="s">
        <v>4346</v>
      </c>
      <c r="F193" s="97" t="s">
        <v>4347</v>
      </c>
      <c r="G193" s="97" t="s">
        <v>399</v>
      </c>
      <c r="H193" s="97" t="s">
        <v>254</v>
      </c>
      <c r="I193" s="298">
        <v>46195.0</v>
      </c>
      <c r="J193" s="81"/>
      <c r="K193" s="164">
        <v>1000.0</v>
      </c>
      <c r="L193" s="709">
        <v>1.0</v>
      </c>
      <c r="M193" s="111">
        <f t="shared" si="24"/>
        <v>1000</v>
      </c>
      <c r="N193" s="161" t="s">
        <v>58</v>
      </c>
      <c r="O193" s="161" t="s">
        <v>91</v>
      </c>
      <c r="P193" s="161" t="s">
        <v>40</v>
      </c>
      <c r="Q193" s="166"/>
      <c r="R193" s="161" t="s">
        <v>41</v>
      </c>
      <c r="S193" s="161" t="s">
        <v>31</v>
      </c>
      <c r="T193" s="611" t="s">
        <v>4348</v>
      </c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</row>
    <row r="194">
      <c r="A194" s="12">
        <v>190.0</v>
      </c>
      <c r="B194" s="97" t="s">
        <v>4349</v>
      </c>
      <c r="C194" s="97" t="s">
        <v>4350</v>
      </c>
      <c r="D194" s="97" t="s">
        <v>4345</v>
      </c>
      <c r="E194" s="181" t="s">
        <v>4346</v>
      </c>
      <c r="F194" s="97" t="s">
        <v>4347</v>
      </c>
      <c r="G194" s="97" t="s">
        <v>399</v>
      </c>
      <c r="H194" s="97" t="s">
        <v>254</v>
      </c>
      <c r="I194" s="298">
        <v>46195.0</v>
      </c>
      <c r="J194" s="81"/>
      <c r="K194" s="164">
        <v>1000.0</v>
      </c>
      <c r="L194" s="709">
        <v>1.0</v>
      </c>
      <c r="M194" s="111">
        <f t="shared" si="24"/>
        <v>1000</v>
      </c>
      <c r="N194" s="161" t="s">
        <v>58</v>
      </c>
      <c r="O194" s="161" t="s">
        <v>91</v>
      </c>
      <c r="P194" s="161" t="s">
        <v>40</v>
      </c>
      <c r="Q194" s="166"/>
      <c r="R194" s="161" t="s">
        <v>41</v>
      </c>
      <c r="S194" s="161" t="s">
        <v>31</v>
      </c>
      <c r="T194" s="611" t="s">
        <v>4351</v>
      </c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</row>
    <row r="195">
      <c r="A195" s="12">
        <v>191.0</v>
      </c>
      <c r="B195" s="97" t="s">
        <v>2524</v>
      </c>
      <c r="C195" s="97" t="s">
        <v>2525</v>
      </c>
      <c r="D195" s="97" t="s">
        <v>4352</v>
      </c>
      <c r="E195" s="184" t="s">
        <v>4353</v>
      </c>
      <c r="F195" s="97" t="s">
        <v>2528</v>
      </c>
      <c r="G195" s="97">
        <v>50.0</v>
      </c>
      <c r="H195" s="97" t="s">
        <v>4354</v>
      </c>
      <c r="I195" s="298">
        <v>46195.0</v>
      </c>
      <c r="J195" s="81"/>
      <c r="K195" s="164">
        <v>2500.0</v>
      </c>
      <c r="L195" s="479">
        <v>1.0</v>
      </c>
      <c r="M195" s="111">
        <f t="shared" si="24"/>
        <v>2500</v>
      </c>
      <c r="N195" s="161" t="s">
        <v>58</v>
      </c>
      <c r="O195" s="161" t="s">
        <v>29</v>
      </c>
      <c r="P195" s="161" t="s">
        <v>40</v>
      </c>
      <c r="Q195" s="166"/>
      <c r="R195" s="161" t="s">
        <v>73</v>
      </c>
      <c r="S195" s="161" t="s">
        <v>31</v>
      </c>
      <c r="T195" s="611" t="s">
        <v>4355</v>
      </c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</row>
    <row r="196">
      <c r="A196" s="12">
        <v>192.0</v>
      </c>
      <c r="B196" s="97" t="s">
        <v>4356</v>
      </c>
      <c r="C196" s="97" t="s">
        <v>4357</v>
      </c>
      <c r="D196" s="97" t="s">
        <v>4358</v>
      </c>
      <c r="E196" s="181" t="s">
        <v>4359</v>
      </c>
      <c r="F196" s="97" t="s">
        <v>4360</v>
      </c>
      <c r="G196" s="97">
        <v>3.0</v>
      </c>
      <c r="H196" s="97" t="s">
        <v>254</v>
      </c>
      <c r="I196" s="298">
        <v>46196.0</v>
      </c>
      <c r="J196" s="298">
        <v>46196.0</v>
      </c>
      <c r="K196" s="102" t="s">
        <v>57</v>
      </c>
      <c r="L196" s="479">
        <v>1.0</v>
      </c>
      <c r="M196" s="102">
        <v>800.0</v>
      </c>
      <c r="N196" s="161" t="s">
        <v>71</v>
      </c>
      <c r="O196" s="161" t="s">
        <v>91</v>
      </c>
      <c r="P196" s="161" t="s">
        <v>72</v>
      </c>
      <c r="Q196" s="161">
        <v>3327.0</v>
      </c>
      <c r="R196" s="161" t="s">
        <v>233</v>
      </c>
      <c r="S196" s="161" t="s">
        <v>599</v>
      </c>
      <c r="T196" s="607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</row>
    <row r="197">
      <c r="A197" s="12">
        <v>193.0</v>
      </c>
      <c r="B197" s="97" t="s">
        <v>4361</v>
      </c>
      <c r="C197" s="97" t="s">
        <v>4362</v>
      </c>
      <c r="D197" s="97" t="s">
        <v>2617</v>
      </c>
      <c r="E197" s="181" t="s">
        <v>4363</v>
      </c>
      <c r="F197" s="97" t="s">
        <v>4364</v>
      </c>
      <c r="G197" s="97">
        <v>6.0</v>
      </c>
      <c r="H197" s="97" t="s">
        <v>2816</v>
      </c>
      <c r="I197" s="298">
        <v>46196.0</v>
      </c>
      <c r="J197" s="298">
        <v>46197.0</v>
      </c>
      <c r="K197" s="102">
        <v>220.0</v>
      </c>
      <c r="L197" s="479">
        <v>12.0</v>
      </c>
      <c r="M197" s="102">
        <f>K197*12</f>
        <v>2640</v>
      </c>
      <c r="N197" s="161" t="s">
        <v>71</v>
      </c>
      <c r="O197" s="161" t="s">
        <v>29</v>
      </c>
      <c r="P197" s="161" t="s">
        <v>72</v>
      </c>
      <c r="Q197" s="161">
        <v>3335.0</v>
      </c>
      <c r="R197" s="161" t="s">
        <v>233</v>
      </c>
      <c r="S197" s="161" t="s">
        <v>2208</v>
      </c>
      <c r="T197" s="607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</row>
    <row r="198">
      <c r="A198" s="12">
        <v>194.0</v>
      </c>
      <c r="B198" s="106" t="s">
        <v>4365</v>
      </c>
      <c r="C198" s="106" t="s">
        <v>4366</v>
      </c>
      <c r="D198" s="106" t="s">
        <v>4367</v>
      </c>
      <c r="E198" s="106">
        <v>1.1992447287E10</v>
      </c>
      <c r="F198" s="173" t="s">
        <v>2438</v>
      </c>
      <c r="G198" s="106" t="s">
        <v>26</v>
      </c>
      <c r="H198" s="106" t="s">
        <v>4368</v>
      </c>
      <c r="I198" s="108">
        <v>46184.0</v>
      </c>
      <c r="J198" s="109"/>
      <c r="K198" s="265">
        <v>500.0</v>
      </c>
      <c r="L198" s="254" t="s">
        <v>1191</v>
      </c>
      <c r="M198" s="89">
        <f>K198*3</f>
        <v>1500</v>
      </c>
      <c r="N198" s="86" t="s">
        <v>58</v>
      </c>
      <c r="O198" s="86" t="s">
        <v>29</v>
      </c>
      <c r="P198" s="86" t="s">
        <v>40</v>
      </c>
      <c r="Q198" s="90"/>
      <c r="R198" s="86" t="s">
        <v>233</v>
      </c>
      <c r="S198" s="86" t="s">
        <v>110</v>
      </c>
      <c r="T198" s="722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</row>
    <row r="199">
      <c r="A199" s="12">
        <v>195.0</v>
      </c>
      <c r="B199" s="106" t="s">
        <v>4369</v>
      </c>
      <c r="C199" s="106" t="s">
        <v>4370</v>
      </c>
      <c r="D199" s="106" t="s">
        <v>4371</v>
      </c>
      <c r="E199" s="106" t="s">
        <v>4372</v>
      </c>
      <c r="F199" s="106" t="s">
        <v>4373</v>
      </c>
      <c r="G199" s="106">
        <v>110.0</v>
      </c>
      <c r="H199" s="106" t="s">
        <v>3839</v>
      </c>
      <c r="I199" s="108">
        <v>46192.0</v>
      </c>
      <c r="J199" s="109"/>
      <c r="K199" s="89">
        <f>M199/4</f>
        <v>400</v>
      </c>
      <c r="L199" s="254" t="s">
        <v>1278</v>
      </c>
      <c r="M199" s="89">
        <v>1600.0</v>
      </c>
      <c r="N199" s="86" t="s">
        <v>58</v>
      </c>
      <c r="O199" s="86" t="s">
        <v>29</v>
      </c>
      <c r="P199" s="86" t="s">
        <v>40</v>
      </c>
      <c r="Q199" s="90"/>
      <c r="R199" s="86" t="s">
        <v>233</v>
      </c>
      <c r="S199" s="86" t="s">
        <v>110</v>
      </c>
      <c r="T199" s="722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</row>
    <row r="200">
      <c r="A200" s="12">
        <v>196.0</v>
      </c>
      <c r="B200" s="106" t="s">
        <v>3110</v>
      </c>
      <c r="C200" s="106" t="s">
        <v>3111</v>
      </c>
      <c r="D200" s="106" t="s">
        <v>3112</v>
      </c>
      <c r="E200" s="106" t="s">
        <v>3113</v>
      </c>
      <c r="F200" s="106" t="s">
        <v>3114</v>
      </c>
      <c r="G200" s="106">
        <v>1.0</v>
      </c>
      <c r="H200" s="86" t="s">
        <v>123</v>
      </c>
      <c r="I200" s="108">
        <v>46148.0</v>
      </c>
      <c r="J200" s="109"/>
      <c r="K200" s="89">
        <v>139.0</v>
      </c>
      <c r="L200" s="254" t="s">
        <v>1178</v>
      </c>
      <c r="M200" s="89">
        <f t="shared" ref="M200:M201" si="25">K200*12</f>
        <v>1668</v>
      </c>
      <c r="N200" s="86" t="s">
        <v>58</v>
      </c>
      <c r="O200" s="86" t="s">
        <v>29</v>
      </c>
      <c r="P200" s="86" t="s">
        <v>40</v>
      </c>
      <c r="Q200" s="90"/>
      <c r="R200" s="86" t="s">
        <v>73</v>
      </c>
      <c r="S200" s="86" t="s">
        <v>110</v>
      </c>
      <c r="T200" s="722" t="s">
        <v>4141</v>
      </c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</row>
    <row r="201">
      <c r="A201" s="12">
        <v>197.0</v>
      </c>
      <c r="B201" s="24" t="s">
        <v>4374</v>
      </c>
      <c r="C201" s="106" t="s">
        <v>4375</v>
      </c>
      <c r="D201" s="106" t="s">
        <v>4376</v>
      </c>
      <c r="E201" s="106">
        <v>1.1942036669E10</v>
      </c>
      <c r="F201" s="91"/>
      <c r="G201" s="106">
        <v>1.0</v>
      </c>
      <c r="H201" s="106" t="s">
        <v>123</v>
      </c>
      <c r="I201" s="108">
        <v>46195.0</v>
      </c>
      <c r="J201" s="109"/>
      <c r="K201" s="89">
        <v>139.0</v>
      </c>
      <c r="L201" s="254" t="s">
        <v>1178</v>
      </c>
      <c r="M201" s="89">
        <f t="shared" si="25"/>
        <v>1668</v>
      </c>
      <c r="N201" s="86" t="s">
        <v>58</v>
      </c>
      <c r="O201" s="86" t="s">
        <v>29</v>
      </c>
      <c r="P201" s="86" t="s">
        <v>40</v>
      </c>
      <c r="Q201" s="90"/>
      <c r="R201" s="86" t="s">
        <v>233</v>
      </c>
      <c r="S201" s="86" t="s">
        <v>110</v>
      </c>
      <c r="T201" s="722" t="s">
        <v>4377</v>
      </c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</row>
    <row r="202">
      <c r="A202" s="12">
        <v>198.0</v>
      </c>
      <c r="B202" s="97" t="s">
        <v>2827</v>
      </c>
      <c r="C202" s="97" t="s">
        <v>4378</v>
      </c>
      <c r="D202" s="97" t="s">
        <v>4379</v>
      </c>
      <c r="E202" s="181" t="s">
        <v>4380</v>
      </c>
      <c r="F202" s="727" t="s">
        <v>4381</v>
      </c>
      <c r="G202" s="97" t="s">
        <v>26</v>
      </c>
      <c r="H202" s="97" t="s">
        <v>4382</v>
      </c>
      <c r="I202" s="298">
        <v>46198.0</v>
      </c>
      <c r="J202" s="298">
        <v>46198.0</v>
      </c>
      <c r="K202" s="102">
        <v>700.0</v>
      </c>
      <c r="L202" s="479">
        <v>2.0</v>
      </c>
      <c r="M202" s="102">
        <f>K202*2</f>
        <v>1400</v>
      </c>
      <c r="N202" s="161" t="s">
        <v>71</v>
      </c>
      <c r="O202" s="161" t="s">
        <v>91</v>
      </c>
      <c r="P202" s="161" t="s">
        <v>72</v>
      </c>
      <c r="Q202" s="161">
        <v>3352.0</v>
      </c>
      <c r="R202" s="161" t="s">
        <v>73</v>
      </c>
      <c r="S202" s="161" t="s">
        <v>2208</v>
      </c>
      <c r="T202" s="607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</row>
    <row r="203">
      <c r="A203" s="12">
        <v>199.0</v>
      </c>
      <c r="B203" s="106" t="s">
        <v>4383</v>
      </c>
      <c r="C203" s="106" t="s">
        <v>4384</v>
      </c>
      <c r="D203" s="547" t="s">
        <v>4385</v>
      </c>
      <c r="E203" s="106">
        <v>1.1993855766E10</v>
      </c>
      <c r="F203" s="173" t="s">
        <v>4386</v>
      </c>
      <c r="G203" s="106">
        <v>3.0</v>
      </c>
      <c r="H203" s="106" t="s">
        <v>123</v>
      </c>
      <c r="I203" s="108">
        <v>46163.0</v>
      </c>
      <c r="J203" s="109"/>
      <c r="K203" s="89">
        <v>151.0</v>
      </c>
      <c r="L203" s="254" t="s">
        <v>1178</v>
      </c>
      <c r="M203" s="89">
        <f t="shared" ref="M203:M206" si="26">K203*12</f>
        <v>1812</v>
      </c>
      <c r="N203" s="86" t="s">
        <v>58</v>
      </c>
      <c r="O203" s="86" t="s">
        <v>29</v>
      </c>
      <c r="P203" s="86" t="s">
        <v>40</v>
      </c>
      <c r="Q203" s="90"/>
      <c r="R203" s="86" t="s">
        <v>233</v>
      </c>
      <c r="S203" s="86" t="s">
        <v>110</v>
      </c>
      <c r="T203" s="722" t="s">
        <v>4387</v>
      </c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</row>
    <row r="204">
      <c r="A204" s="12">
        <v>200.0</v>
      </c>
      <c r="B204" s="106" t="s">
        <v>3150</v>
      </c>
      <c r="C204" s="106" t="s">
        <v>3151</v>
      </c>
      <c r="D204" s="106" t="s">
        <v>3152</v>
      </c>
      <c r="E204" s="106" t="s">
        <v>3153</v>
      </c>
      <c r="F204" s="106" t="s">
        <v>3154</v>
      </c>
      <c r="G204" s="106">
        <v>12.0</v>
      </c>
      <c r="H204" s="106" t="s">
        <v>123</v>
      </c>
      <c r="I204" s="108">
        <v>46153.0</v>
      </c>
      <c r="J204" s="109"/>
      <c r="K204" s="89">
        <v>205.0</v>
      </c>
      <c r="L204" s="254" t="s">
        <v>1178</v>
      </c>
      <c r="M204" s="89">
        <f t="shared" si="26"/>
        <v>2460</v>
      </c>
      <c r="N204" s="86" t="s">
        <v>58</v>
      </c>
      <c r="O204" s="86" t="s">
        <v>29</v>
      </c>
      <c r="P204" s="86" t="s">
        <v>40</v>
      </c>
      <c r="Q204" s="90"/>
      <c r="R204" s="86" t="s">
        <v>233</v>
      </c>
      <c r="S204" s="86" t="s">
        <v>110</v>
      </c>
      <c r="T204" s="722" t="s">
        <v>4387</v>
      </c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</row>
    <row r="205">
      <c r="A205" s="12">
        <v>201.0</v>
      </c>
      <c r="B205" s="106" t="s">
        <v>4388</v>
      </c>
      <c r="C205" s="106" t="s">
        <v>4389</v>
      </c>
      <c r="D205" s="106" t="s">
        <v>4390</v>
      </c>
      <c r="E205" s="106">
        <v>1.198326371E10</v>
      </c>
      <c r="F205" s="106" t="s">
        <v>4391</v>
      </c>
      <c r="G205" s="106">
        <v>15.0</v>
      </c>
      <c r="H205" s="106" t="s">
        <v>123</v>
      </c>
      <c r="I205" s="108">
        <v>46168.0</v>
      </c>
      <c r="J205" s="109"/>
      <c r="K205" s="265">
        <v>217.0</v>
      </c>
      <c r="L205" s="254" t="s">
        <v>1178</v>
      </c>
      <c r="M205" s="89">
        <f t="shared" si="26"/>
        <v>2604</v>
      </c>
      <c r="N205" s="86" t="s">
        <v>58</v>
      </c>
      <c r="O205" s="86" t="s">
        <v>29</v>
      </c>
      <c r="P205" s="86" t="s">
        <v>40</v>
      </c>
      <c r="Q205" s="90"/>
      <c r="R205" s="86" t="s">
        <v>233</v>
      </c>
      <c r="S205" s="86" t="s">
        <v>110</v>
      </c>
      <c r="T205" s="722" t="s">
        <v>4392</v>
      </c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</row>
    <row r="206">
      <c r="A206" s="12">
        <v>202.0</v>
      </c>
      <c r="B206" s="106" t="s">
        <v>4393</v>
      </c>
      <c r="C206" s="106" t="s">
        <v>4394</v>
      </c>
      <c r="D206" s="106" t="s">
        <v>4395</v>
      </c>
      <c r="E206" s="106">
        <v>1.1943668165E10</v>
      </c>
      <c r="F206" s="173" t="s">
        <v>4396</v>
      </c>
      <c r="G206" s="106">
        <v>15.0</v>
      </c>
      <c r="H206" s="106" t="s">
        <v>123</v>
      </c>
      <c r="I206" s="108">
        <v>46169.0</v>
      </c>
      <c r="J206" s="109"/>
      <c r="K206" s="89">
        <v>223.0</v>
      </c>
      <c r="L206" s="254" t="s">
        <v>1178</v>
      </c>
      <c r="M206" s="89">
        <f t="shared" si="26"/>
        <v>2676</v>
      </c>
      <c r="N206" s="86" t="s">
        <v>58</v>
      </c>
      <c r="O206" s="86" t="s">
        <v>29</v>
      </c>
      <c r="P206" s="86" t="s">
        <v>40</v>
      </c>
      <c r="Q206" s="90"/>
      <c r="R206" s="86" t="s">
        <v>233</v>
      </c>
      <c r="S206" s="86" t="s">
        <v>110</v>
      </c>
      <c r="T206" s="722" t="s">
        <v>4392</v>
      </c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</row>
    <row r="207">
      <c r="A207" s="12">
        <v>203.0</v>
      </c>
      <c r="B207" s="97" t="s">
        <v>4397</v>
      </c>
      <c r="C207" s="97" t="s">
        <v>4398</v>
      </c>
      <c r="D207" s="97" t="s">
        <v>4399</v>
      </c>
      <c r="E207" s="181">
        <v>1.1994900636E10</v>
      </c>
      <c r="F207" s="97" t="s">
        <v>4400</v>
      </c>
      <c r="G207" s="97">
        <v>7.0</v>
      </c>
      <c r="H207" s="97" t="s">
        <v>254</v>
      </c>
      <c r="I207" s="298">
        <v>46184.0</v>
      </c>
      <c r="J207" s="298">
        <v>46199.0</v>
      </c>
      <c r="K207" s="102">
        <v>333.33</v>
      </c>
      <c r="L207" s="479">
        <v>3.0</v>
      </c>
      <c r="M207" s="102">
        <v>1000.0</v>
      </c>
      <c r="N207" s="161" t="s">
        <v>71</v>
      </c>
      <c r="O207" s="161" t="s">
        <v>91</v>
      </c>
      <c r="P207" s="161" t="s">
        <v>72</v>
      </c>
      <c r="Q207" s="161">
        <v>3358.0</v>
      </c>
      <c r="R207" s="161" t="s">
        <v>41</v>
      </c>
      <c r="S207" s="161" t="s">
        <v>599</v>
      </c>
      <c r="T207" s="607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</row>
    <row r="208">
      <c r="A208" s="12">
        <v>204.0</v>
      </c>
      <c r="B208" s="123" t="s">
        <v>4401</v>
      </c>
      <c r="C208" s="123" t="s">
        <v>4402</v>
      </c>
      <c r="D208" s="97" t="s">
        <v>4403</v>
      </c>
      <c r="E208" s="123" t="s">
        <v>4404</v>
      </c>
      <c r="F208" s="123" t="s">
        <v>4405</v>
      </c>
      <c r="G208" s="97">
        <v>7.0</v>
      </c>
      <c r="H208" s="97" t="s">
        <v>254</v>
      </c>
      <c r="I208" s="298">
        <v>46198.0</v>
      </c>
      <c r="J208" s="298">
        <v>46198.0</v>
      </c>
      <c r="K208" s="102" t="s">
        <v>4406</v>
      </c>
      <c r="L208" s="479">
        <v>3.0</v>
      </c>
      <c r="M208" s="102">
        <v>1000.0</v>
      </c>
      <c r="N208" s="161" t="s">
        <v>71</v>
      </c>
      <c r="O208" s="161" t="s">
        <v>91</v>
      </c>
      <c r="P208" s="161" t="s">
        <v>72</v>
      </c>
      <c r="Q208" s="161">
        <v>3360.0</v>
      </c>
      <c r="R208" s="161" t="s">
        <v>41</v>
      </c>
      <c r="S208" s="161" t="s">
        <v>4407</v>
      </c>
      <c r="T208" s="607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</row>
    <row r="209">
      <c r="A209" s="12">
        <v>205.0</v>
      </c>
      <c r="B209" s="123" t="s">
        <v>4408</v>
      </c>
      <c r="C209" s="123" t="s">
        <v>4409</v>
      </c>
      <c r="D209" s="97" t="s">
        <v>4403</v>
      </c>
      <c r="E209" s="123" t="s">
        <v>4410</v>
      </c>
      <c r="F209" s="123" t="s">
        <v>4405</v>
      </c>
      <c r="G209" s="97">
        <v>2.0</v>
      </c>
      <c r="H209" s="97" t="s">
        <v>254</v>
      </c>
      <c r="I209" s="298">
        <v>46198.0</v>
      </c>
      <c r="J209" s="298">
        <v>46198.0</v>
      </c>
      <c r="K209" s="102">
        <v>200.0</v>
      </c>
      <c r="L209" s="479">
        <v>3.0</v>
      </c>
      <c r="M209" s="102">
        <f>K209*3</f>
        <v>600</v>
      </c>
      <c r="N209" s="161" t="s">
        <v>71</v>
      </c>
      <c r="O209" s="161" t="s">
        <v>91</v>
      </c>
      <c r="P209" s="161" t="s">
        <v>72</v>
      </c>
      <c r="Q209" s="161">
        <v>3359.0</v>
      </c>
      <c r="R209" s="161" t="s">
        <v>41</v>
      </c>
      <c r="S209" s="161" t="s">
        <v>4407</v>
      </c>
      <c r="T209" s="607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</row>
    <row r="210" ht="16.5" customHeight="1">
      <c r="A210" s="12">
        <v>206.0</v>
      </c>
      <c r="B210" s="365" t="s">
        <v>4411</v>
      </c>
      <c r="C210" s="365" t="s">
        <v>4412</v>
      </c>
      <c r="D210" s="365" t="s">
        <v>4413</v>
      </c>
      <c r="E210" s="365" t="s">
        <v>4414</v>
      </c>
      <c r="F210" s="365" t="s">
        <v>4415</v>
      </c>
      <c r="G210" s="103">
        <v>1.0</v>
      </c>
      <c r="H210" s="103" t="s">
        <v>459</v>
      </c>
      <c r="I210" s="174">
        <v>46199.0</v>
      </c>
      <c r="J210" s="174">
        <v>46202.0</v>
      </c>
      <c r="K210" s="197">
        <v>550.0</v>
      </c>
      <c r="L210" s="480">
        <v>2.0</v>
      </c>
      <c r="M210" s="175">
        <f>K210*2</f>
        <v>1100</v>
      </c>
      <c r="N210" s="185" t="s">
        <v>71</v>
      </c>
      <c r="O210" s="185" t="s">
        <v>91</v>
      </c>
      <c r="P210" s="185" t="s">
        <v>72</v>
      </c>
      <c r="Q210" s="185">
        <v>3378.0</v>
      </c>
      <c r="R210" s="185" t="s">
        <v>233</v>
      </c>
      <c r="S210" s="185" t="s">
        <v>31</v>
      </c>
      <c r="T210" s="757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</row>
    <row r="211">
      <c r="A211" s="12">
        <v>207.0</v>
      </c>
      <c r="B211" s="106" t="s">
        <v>4416</v>
      </c>
      <c r="C211" s="106" t="s">
        <v>4417</v>
      </c>
      <c r="D211" s="106" t="s">
        <v>4418</v>
      </c>
      <c r="E211" s="106">
        <v>1.1974951466E10</v>
      </c>
      <c r="F211" s="303" t="s">
        <v>4419</v>
      </c>
      <c r="G211" s="106">
        <v>1.0</v>
      </c>
      <c r="H211" s="106" t="s">
        <v>4420</v>
      </c>
      <c r="I211" s="108">
        <v>46198.0</v>
      </c>
      <c r="J211" s="108">
        <v>46198.0</v>
      </c>
      <c r="K211" s="89">
        <v>300.0</v>
      </c>
      <c r="L211" s="254" t="s">
        <v>1278</v>
      </c>
      <c r="M211" s="89">
        <f t="shared" ref="M211:M212" si="27">K211*4</f>
        <v>1200</v>
      </c>
      <c r="N211" s="86" t="s">
        <v>71</v>
      </c>
      <c r="O211" s="86" t="s">
        <v>29</v>
      </c>
      <c r="P211" s="86" t="s">
        <v>72</v>
      </c>
      <c r="Q211" s="106">
        <v>3362.0</v>
      </c>
      <c r="R211" s="86" t="s">
        <v>233</v>
      </c>
      <c r="S211" s="86" t="s">
        <v>110</v>
      </c>
      <c r="T211" s="722" t="s">
        <v>4421</v>
      </c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</row>
    <row r="212">
      <c r="A212" s="12">
        <v>208.0</v>
      </c>
      <c r="B212" s="106" t="s">
        <v>4422</v>
      </c>
      <c r="C212" s="24" t="s">
        <v>4423</v>
      </c>
      <c r="D212" s="106" t="s">
        <v>4424</v>
      </c>
      <c r="E212" s="106">
        <v>3.93927373996E11</v>
      </c>
      <c r="F212" s="303" t="s">
        <v>4425</v>
      </c>
      <c r="G212" s="106">
        <v>4.0</v>
      </c>
      <c r="H212" s="106" t="s">
        <v>3839</v>
      </c>
      <c r="I212" s="108">
        <v>46199.0</v>
      </c>
      <c r="J212" s="108">
        <v>46199.0</v>
      </c>
      <c r="K212" s="89">
        <v>250.0</v>
      </c>
      <c r="L212" s="254" t="s">
        <v>1278</v>
      </c>
      <c r="M212" s="89">
        <f t="shared" si="27"/>
        <v>1000</v>
      </c>
      <c r="N212" s="86" t="s">
        <v>71</v>
      </c>
      <c r="O212" s="86" t="s">
        <v>91</v>
      </c>
      <c r="P212" s="86" t="s">
        <v>72</v>
      </c>
      <c r="Q212" s="106">
        <v>3366.0</v>
      </c>
      <c r="R212" s="86" t="s">
        <v>233</v>
      </c>
      <c r="S212" s="86" t="s">
        <v>110</v>
      </c>
      <c r="T212" s="722" t="s">
        <v>4426</v>
      </c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</row>
    <row r="213">
      <c r="A213" s="12">
        <v>209.0</v>
      </c>
      <c r="B213" s="106" t="s">
        <v>4427</v>
      </c>
      <c r="C213" s="106" t="s">
        <v>4428</v>
      </c>
      <c r="D213" s="106" t="s">
        <v>4429</v>
      </c>
      <c r="E213" s="106">
        <v>1.1939322909E10</v>
      </c>
      <c r="F213" s="303" t="s">
        <v>4430</v>
      </c>
      <c r="G213" s="106">
        <v>10.0</v>
      </c>
      <c r="H213" s="106" t="s">
        <v>123</v>
      </c>
      <c r="I213" s="108">
        <v>46199.0</v>
      </c>
      <c r="J213" s="108">
        <v>46199.0</v>
      </c>
      <c r="K213" s="89">
        <v>193.0</v>
      </c>
      <c r="L213" s="254" t="s">
        <v>1178</v>
      </c>
      <c r="M213" s="89">
        <f>K213*12</f>
        <v>2316</v>
      </c>
      <c r="N213" s="86" t="s">
        <v>71</v>
      </c>
      <c r="O213" s="86" t="s">
        <v>29</v>
      </c>
      <c r="P213" s="86" t="s">
        <v>72</v>
      </c>
      <c r="Q213" s="106">
        <v>3367.0</v>
      </c>
      <c r="R213" s="86" t="s">
        <v>233</v>
      </c>
      <c r="S213" s="86" t="s">
        <v>110</v>
      </c>
      <c r="T213" s="722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</row>
    <row r="214">
      <c r="A214" s="12">
        <v>210.0</v>
      </c>
      <c r="B214" s="97" t="s">
        <v>4431</v>
      </c>
      <c r="C214" s="97" t="s">
        <v>4432</v>
      </c>
      <c r="D214" s="97" t="s">
        <v>4433</v>
      </c>
      <c r="E214" s="758" t="s">
        <v>4434</v>
      </c>
      <c r="F214" s="97" t="s">
        <v>4435</v>
      </c>
      <c r="G214" s="97">
        <v>3.0</v>
      </c>
      <c r="H214" s="97" t="s">
        <v>4436</v>
      </c>
      <c r="I214" s="298">
        <v>46199.0</v>
      </c>
      <c r="J214" s="298">
        <v>46199.0</v>
      </c>
      <c r="K214" s="102" t="s">
        <v>211</v>
      </c>
      <c r="L214" s="479">
        <v>1.0</v>
      </c>
      <c r="M214" s="102">
        <v>800.0</v>
      </c>
      <c r="N214" s="161" t="s">
        <v>71</v>
      </c>
      <c r="O214" s="161" t="s">
        <v>91</v>
      </c>
      <c r="P214" s="161" t="s">
        <v>72</v>
      </c>
      <c r="Q214" s="161">
        <v>3364.0</v>
      </c>
      <c r="R214" s="161" t="s">
        <v>233</v>
      </c>
      <c r="S214" s="161" t="s">
        <v>2208</v>
      </c>
      <c r="T214" s="607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</row>
    <row r="215">
      <c r="A215" s="12">
        <v>211.0</v>
      </c>
      <c r="B215" s="97" t="s">
        <v>4437</v>
      </c>
      <c r="C215" s="97" t="s">
        <v>4438</v>
      </c>
      <c r="D215" s="97" t="s">
        <v>4439</v>
      </c>
      <c r="E215" s="181" t="s">
        <v>4440</v>
      </c>
      <c r="F215" s="97" t="s">
        <v>4441</v>
      </c>
      <c r="G215" s="97">
        <v>3.0</v>
      </c>
      <c r="H215" s="97" t="s">
        <v>2772</v>
      </c>
      <c r="I215" s="298">
        <v>46199.0</v>
      </c>
      <c r="J215" s="298">
        <v>46202.0</v>
      </c>
      <c r="K215" s="102" t="s">
        <v>344</v>
      </c>
      <c r="L215" s="479">
        <v>1.0</v>
      </c>
      <c r="M215" s="102">
        <v>700.0</v>
      </c>
      <c r="N215" s="161" t="s">
        <v>71</v>
      </c>
      <c r="O215" s="161" t="s">
        <v>91</v>
      </c>
      <c r="P215" s="161" t="s">
        <v>72</v>
      </c>
      <c r="Q215" s="161">
        <v>3363.0</v>
      </c>
      <c r="R215" s="161" t="s">
        <v>41</v>
      </c>
      <c r="S215" s="161" t="s">
        <v>4407</v>
      </c>
      <c r="T215" s="607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</row>
    <row r="216">
      <c r="A216" s="12">
        <v>212.0</v>
      </c>
      <c r="B216" s="97" t="s">
        <v>4437</v>
      </c>
      <c r="C216" s="97" t="s">
        <v>4442</v>
      </c>
      <c r="D216" s="97" t="s">
        <v>4439</v>
      </c>
      <c r="E216" s="181" t="s">
        <v>4440</v>
      </c>
      <c r="F216" s="97" t="s">
        <v>4441</v>
      </c>
      <c r="G216" s="97">
        <v>3.0</v>
      </c>
      <c r="H216" s="97" t="s">
        <v>2772</v>
      </c>
      <c r="I216" s="298">
        <v>46199.0</v>
      </c>
      <c r="J216" s="298">
        <v>46202.0</v>
      </c>
      <c r="K216" s="102" t="s">
        <v>344</v>
      </c>
      <c r="L216" s="479">
        <v>1.0</v>
      </c>
      <c r="M216" s="102">
        <v>700.0</v>
      </c>
      <c r="N216" s="161" t="s">
        <v>71</v>
      </c>
      <c r="O216" s="161" t="s">
        <v>91</v>
      </c>
      <c r="P216" s="161" t="s">
        <v>72</v>
      </c>
      <c r="Q216" s="161">
        <v>3365.0</v>
      </c>
      <c r="R216" s="161" t="s">
        <v>41</v>
      </c>
      <c r="S216" s="161" t="s">
        <v>4407</v>
      </c>
      <c r="T216" s="607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</row>
    <row r="217">
      <c r="A217" s="12">
        <v>213.0</v>
      </c>
      <c r="B217" s="759" t="s">
        <v>4443</v>
      </c>
      <c r="C217" s="97" t="s">
        <v>4444</v>
      </c>
      <c r="D217" s="97" t="s">
        <v>4445</v>
      </c>
      <c r="E217" s="181" t="s">
        <v>4446</v>
      </c>
      <c r="F217" s="97" t="s">
        <v>4447</v>
      </c>
      <c r="G217" s="97">
        <v>6.0</v>
      </c>
      <c r="H217" s="97" t="s">
        <v>254</v>
      </c>
      <c r="I217" s="298">
        <v>46202.0</v>
      </c>
      <c r="J217" s="298">
        <v>46203.0</v>
      </c>
      <c r="K217" s="102">
        <v>300.0</v>
      </c>
      <c r="L217" s="479">
        <v>2.0</v>
      </c>
      <c r="M217" s="102">
        <v>600.0</v>
      </c>
      <c r="N217" s="161" t="s">
        <v>71</v>
      </c>
      <c r="O217" s="161" t="s">
        <v>91</v>
      </c>
      <c r="P217" s="161" t="s">
        <v>72</v>
      </c>
      <c r="Q217" s="545">
        <v>3396.0</v>
      </c>
      <c r="R217" s="161" t="s">
        <v>233</v>
      </c>
      <c r="S217" s="161" t="s">
        <v>599</v>
      </c>
      <c r="T217" s="607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</row>
    <row r="218">
      <c r="A218" s="12">
        <v>214.0</v>
      </c>
      <c r="B218" s="97" t="s">
        <v>4448</v>
      </c>
      <c r="C218" s="97" t="s">
        <v>4449</v>
      </c>
      <c r="D218" s="97" t="s">
        <v>4450</v>
      </c>
      <c r="E218" s="737" t="s">
        <v>4451</v>
      </c>
      <c r="F218" s="97" t="s">
        <v>4452</v>
      </c>
      <c r="G218" s="97">
        <v>2.0</v>
      </c>
      <c r="H218" s="97" t="s">
        <v>1874</v>
      </c>
      <c r="I218" s="298">
        <v>46202.0</v>
      </c>
      <c r="J218" s="298">
        <v>46202.0</v>
      </c>
      <c r="K218" s="102">
        <v>145.0</v>
      </c>
      <c r="L218" s="479">
        <v>12.0</v>
      </c>
      <c r="M218" s="102">
        <f>K218*12</f>
        <v>1740</v>
      </c>
      <c r="N218" s="161" t="s">
        <v>71</v>
      </c>
      <c r="O218" s="161" t="s">
        <v>29</v>
      </c>
      <c r="P218" s="161" t="s">
        <v>72</v>
      </c>
      <c r="Q218" s="545">
        <v>3370.0</v>
      </c>
      <c r="R218" s="161" t="s">
        <v>1979</v>
      </c>
      <c r="S218" s="161" t="s">
        <v>2208</v>
      </c>
      <c r="T218" s="607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</row>
    <row r="219">
      <c r="A219" s="12" t="s">
        <v>4453</v>
      </c>
      <c r="B219" s="106" t="s">
        <v>4454</v>
      </c>
      <c r="C219" s="106" t="s">
        <v>4455</v>
      </c>
      <c r="D219" s="106" t="s">
        <v>4456</v>
      </c>
      <c r="E219" s="106">
        <v>4.3991919617E10</v>
      </c>
      <c r="F219" s="310" t="s">
        <v>4457</v>
      </c>
      <c r="G219" s="106">
        <v>30.0</v>
      </c>
      <c r="H219" s="106" t="s">
        <v>123</v>
      </c>
      <c r="I219" s="108">
        <v>46199.0</v>
      </c>
      <c r="J219" s="108">
        <v>46202.0</v>
      </c>
      <c r="K219" s="125">
        <v>291.67</v>
      </c>
      <c r="L219" s="254" t="s">
        <v>1178</v>
      </c>
      <c r="M219" s="89">
        <v>3500.0</v>
      </c>
      <c r="N219" s="86" t="s">
        <v>71</v>
      </c>
      <c r="O219" s="86" t="s">
        <v>91</v>
      </c>
      <c r="P219" s="86" t="s">
        <v>72</v>
      </c>
      <c r="Q219" s="120">
        <v>3368.0</v>
      </c>
      <c r="R219" s="86" t="s">
        <v>233</v>
      </c>
      <c r="S219" s="86" t="s">
        <v>110</v>
      </c>
      <c r="T219" s="722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</row>
    <row r="220">
      <c r="A220" s="12">
        <v>216.0</v>
      </c>
      <c r="B220" s="97" t="s">
        <v>4458</v>
      </c>
      <c r="C220" s="97" t="s">
        <v>4459</v>
      </c>
      <c r="D220" s="219" t="s">
        <v>190</v>
      </c>
      <c r="E220" s="181" t="s">
        <v>4460</v>
      </c>
      <c r="F220" s="97" t="s">
        <v>4461</v>
      </c>
      <c r="G220" s="97">
        <v>5.0</v>
      </c>
      <c r="H220" s="97" t="s">
        <v>711</v>
      </c>
      <c r="I220" s="298">
        <v>46203.0</v>
      </c>
      <c r="J220" s="298">
        <v>46203.0</v>
      </c>
      <c r="K220" s="102" t="s">
        <v>4462</v>
      </c>
      <c r="L220" s="479">
        <v>1.0</v>
      </c>
      <c r="M220" s="102">
        <v>700.0</v>
      </c>
      <c r="N220" s="161" t="s">
        <v>71</v>
      </c>
      <c r="O220" s="161" t="s">
        <v>91</v>
      </c>
      <c r="P220" s="161" t="s">
        <v>72</v>
      </c>
      <c r="Q220" s="161">
        <v>3377.0</v>
      </c>
      <c r="R220" s="161" t="s">
        <v>41</v>
      </c>
      <c r="S220" s="161" t="s">
        <v>4407</v>
      </c>
      <c r="T220" s="61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</row>
    <row r="221">
      <c r="A221" s="12">
        <v>217.0</v>
      </c>
      <c r="B221" s="97" t="s">
        <v>4463</v>
      </c>
      <c r="C221" s="97" t="s">
        <v>4464</v>
      </c>
      <c r="D221" s="97" t="s">
        <v>2109</v>
      </c>
      <c r="E221" s="181" t="s">
        <v>4465</v>
      </c>
      <c r="F221" s="97" t="s">
        <v>4466</v>
      </c>
      <c r="G221" s="97">
        <v>7.0</v>
      </c>
      <c r="H221" s="97" t="s">
        <v>2709</v>
      </c>
      <c r="I221" s="298">
        <v>46199.0</v>
      </c>
      <c r="J221" s="298">
        <v>46203.0</v>
      </c>
      <c r="K221" s="102">
        <v>266.66</v>
      </c>
      <c r="L221" s="479">
        <v>3.0</v>
      </c>
      <c r="M221" s="102">
        <f>K221*3</f>
        <v>799.98</v>
      </c>
      <c r="N221" s="161" t="s">
        <v>71</v>
      </c>
      <c r="O221" s="161" t="s">
        <v>91</v>
      </c>
      <c r="P221" s="161" t="s">
        <v>72</v>
      </c>
      <c r="Q221" s="161">
        <v>3381.0</v>
      </c>
      <c r="R221" s="161" t="s">
        <v>73</v>
      </c>
      <c r="S221" s="161" t="s">
        <v>129</v>
      </c>
      <c r="T221" s="607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</row>
    <row r="222">
      <c r="A222" s="12">
        <v>218.0</v>
      </c>
      <c r="B222" s="106" t="s">
        <v>4467</v>
      </c>
      <c r="C222" s="106" t="s">
        <v>4468</v>
      </c>
      <c r="D222" s="106" t="s">
        <v>4469</v>
      </c>
      <c r="E222" s="106" t="s">
        <v>4470</v>
      </c>
      <c r="F222" s="303" t="s">
        <v>4471</v>
      </c>
      <c r="G222" s="106">
        <v>1.0</v>
      </c>
      <c r="H222" s="106" t="s">
        <v>3839</v>
      </c>
      <c r="I222" s="108">
        <v>46203.0</v>
      </c>
      <c r="J222" s="108">
        <v>46203.0</v>
      </c>
      <c r="K222" s="89" t="s">
        <v>211</v>
      </c>
      <c r="L222" s="254" t="s">
        <v>1218</v>
      </c>
      <c r="M222" s="89">
        <v>500.0</v>
      </c>
      <c r="N222" s="86" t="s">
        <v>71</v>
      </c>
      <c r="O222" s="86" t="s">
        <v>91</v>
      </c>
      <c r="P222" s="86" t="s">
        <v>72</v>
      </c>
      <c r="Q222" s="106">
        <v>3375.0</v>
      </c>
      <c r="R222" s="86" t="s">
        <v>41</v>
      </c>
      <c r="S222" s="86" t="s">
        <v>110</v>
      </c>
      <c r="T222" s="722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</row>
    <row r="223">
      <c r="A223" s="12">
        <v>219.0</v>
      </c>
      <c r="B223" s="97" t="s">
        <v>4472</v>
      </c>
      <c r="C223" s="97" t="s">
        <v>4473</v>
      </c>
      <c r="D223" s="97" t="s">
        <v>4474</v>
      </c>
      <c r="E223" s="181" t="s">
        <v>4475</v>
      </c>
      <c r="F223" s="97" t="s">
        <v>4476</v>
      </c>
      <c r="G223" s="97">
        <v>14.0</v>
      </c>
      <c r="H223" s="97" t="s">
        <v>711</v>
      </c>
      <c r="I223" s="298">
        <v>46192.0</v>
      </c>
      <c r="J223" s="298">
        <v>46203.0</v>
      </c>
      <c r="K223" s="102">
        <v>250.0</v>
      </c>
      <c r="L223" s="479">
        <v>4.0</v>
      </c>
      <c r="M223" s="102">
        <v>1000.0</v>
      </c>
      <c r="N223" s="161" t="s">
        <v>71</v>
      </c>
      <c r="O223" s="161" t="s">
        <v>91</v>
      </c>
      <c r="P223" s="161" t="s">
        <v>72</v>
      </c>
      <c r="Q223" s="161">
        <v>3394.0</v>
      </c>
      <c r="R223" s="161" t="s">
        <v>233</v>
      </c>
      <c r="S223" s="161" t="s">
        <v>2208</v>
      </c>
      <c r="T223" s="607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</row>
    <row r="224">
      <c r="A224" s="12">
        <v>220.0</v>
      </c>
      <c r="B224" s="106" t="s">
        <v>4477</v>
      </c>
      <c r="C224" s="106" t="s">
        <v>4478</v>
      </c>
      <c r="D224" s="106" t="s">
        <v>4479</v>
      </c>
      <c r="E224" s="106" t="s">
        <v>4480</v>
      </c>
      <c r="F224" s="106" t="s">
        <v>4481</v>
      </c>
      <c r="G224" s="106">
        <v>20.0</v>
      </c>
      <c r="H224" s="106" t="s">
        <v>711</v>
      </c>
      <c r="I224" s="108">
        <v>46176.0</v>
      </c>
      <c r="J224" s="109"/>
      <c r="K224" s="89">
        <v>253.0</v>
      </c>
      <c r="L224" s="254" t="s">
        <v>1178</v>
      </c>
      <c r="M224" s="89">
        <f>K224*12</f>
        <v>3036</v>
      </c>
      <c r="N224" s="86" t="s">
        <v>58</v>
      </c>
      <c r="O224" s="86" t="s">
        <v>29</v>
      </c>
      <c r="P224" s="86" t="s">
        <v>40</v>
      </c>
      <c r="Q224" s="91"/>
      <c r="R224" s="86" t="s">
        <v>233</v>
      </c>
      <c r="S224" s="86" t="s">
        <v>110</v>
      </c>
      <c r="T224" s="722" t="s">
        <v>4387</v>
      </c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</row>
    <row r="225">
      <c r="A225" s="12">
        <v>221.0</v>
      </c>
      <c r="B225" s="106" t="s">
        <v>4482</v>
      </c>
      <c r="C225" s="106" t="s">
        <v>4483</v>
      </c>
      <c r="D225" s="106" t="s">
        <v>4484</v>
      </c>
      <c r="E225" s="106" t="s">
        <v>4485</v>
      </c>
      <c r="F225" s="106" t="s">
        <v>4486</v>
      </c>
      <c r="G225" s="106">
        <v>7.0</v>
      </c>
      <c r="H225" s="106" t="s">
        <v>4487</v>
      </c>
      <c r="I225" s="108">
        <v>46160.0</v>
      </c>
      <c r="J225" s="109"/>
      <c r="K225" s="89" t="s">
        <v>211</v>
      </c>
      <c r="L225" s="254" t="s">
        <v>1218</v>
      </c>
      <c r="M225" s="89">
        <v>3100.0</v>
      </c>
      <c r="N225" s="86" t="s">
        <v>58</v>
      </c>
      <c r="O225" s="86" t="s">
        <v>29</v>
      </c>
      <c r="P225" s="86" t="s">
        <v>40</v>
      </c>
      <c r="Q225" s="91"/>
      <c r="R225" s="86" t="s">
        <v>73</v>
      </c>
      <c r="S225" s="86" t="s">
        <v>110</v>
      </c>
      <c r="T225" s="722" t="s">
        <v>4387</v>
      </c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</row>
    <row r="226">
      <c r="A226" s="12">
        <v>222.0</v>
      </c>
      <c r="B226" s="106" t="s">
        <v>4488</v>
      </c>
      <c r="C226" s="24" t="s">
        <v>4489</v>
      </c>
      <c r="D226" s="106" t="s">
        <v>4490</v>
      </c>
      <c r="E226" s="106">
        <v>4.8991715174E10</v>
      </c>
      <c r="F226" s="106" t="s">
        <v>4491</v>
      </c>
      <c r="G226" s="106">
        <v>45.0</v>
      </c>
      <c r="H226" s="106" t="s">
        <v>123</v>
      </c>
      <c r="I226" s="108">
        <v>46191.0</v>
      </c>
      <c r="J226" s="109"/>
      <c r="K226" s="89">
        <v>403.0</v>
      </c>
      <c r="L226" s="254" t="s">
        <v>1178</v>
      </c>
      <c r="M226" s="89">
        <f t="shared" ref="M226:M229" si="28">K226*12</f>
        <v>4836</v>
      </c>
      <c r="N226" s="86" t="s">
        <v>58</v>
      </c>
      <c r="O226" s="86" t="s">
        <v>29</v>
      </c>
      <c r="P226" s="86" t="s">
        <v>40</v>
      </c>
      <c r="Q226" s="91"/>
      <c r="R226" s="86" t="s">
        <v>233</v>
      </c>
      <c r="S226" s="86" t="s">
        <v>110</v>
      </c>
      <c r="T226" s="722" t="s">
        <v>4387</v>
      </c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</row>
    <row r="227">
      <c r="A227" s="12">
        <v>223.0</v>
      </c>
      <c r="B227" s="106" t="s">
        <v>3192</v>
      </c>
      <c r="C227" s="106" t="s">
        <v>3193</v>
      </c>
      <c r="D227" s="106" t="s">
        <v>3194</v>
      </c>
      <c r="E227" s="106" t="s">
        <v>3195</v>
      </c>
      <c r="F227" s="106" t="s">
        <v>3196</v>
      </c>
      <c r="G227" s="106">
        <v>37.0</v>
      </c>
      <c r="H227" s="106" t="s">
        <v>123</v>
      </c>
      <c r="I227" s="108">
        <v>46155.0</v>
      </c>
      <c r="J227" s="109"/>
      <c r="K227" s="89">
        <v>419.95</v>
      </c>
      <c r="L227" s="254" t="s">
        <v>1178</v>
      </c>
      <c r="M227" s="89">
        <f t="shared" si="28"/>
        <v>5039.4</v>
      </c>
      <c r="N227" s="86" t="s">
        <v>58</v>
      </c>
      <c r="O227" s="86" t="s">
        <v>29</v>
      </c>
      <c r="P227" s="86" t="s">
        <v>40</v>
      </c>
      <c r="Q227" s="91"/>
      <c r="R227" s="86" t="s">
        <v>233</v>
      </c>
      <c r="S227" s="86" t="s">
        <v>110</v>
      </c>
      <c r="T227" s="722" t="s">
        <v>4492</v>
      </c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</row>
    <row r="228">
      <c r="A228" s="12">
        <v>224.0</v>
      </c>
      <c r="B228" s="106" t="s">
        <v>3170</v>
      </c>
      <c r="C228" s="24" t="s">
        <v>3171</v>
      </c>
      <c r="D228" s="106" t="s">
        <v>3172</v>
      </c>
      <c r="E228" s="24" t="s">
        <v>3173</v>
      </c>
      <c r="F228" s="173" t="s">
        <v>3174</v>
      </c>
      <c r="G228" s="106">
        <v>70.0</v>
      </c>
      <c r="H228" s="106" t="s">
        <v>123</v>
      </c>
      <c r="I228" s="108">
        <v>46154.0</v>
      </c>
      <c r="J228" s="109"/>
      <c r="K228" s="89">
        <v>735.0</v>
      </c>
      <c r="L228" s="254" t="s">
        <v>1178</v>
      </c>
      <c r="M228" s="89">
        <f t="shared" si="28"/>
        <v>8820</v>
      </c>
      <c r="N228" s="86" t="s">
        <v>58</v>
      </c>
      <c r="O228" s="86" t="s">
        <v>29</v>
      </c>
      <c r="P228" s="86" t="s">
        <v>40</v>
      </c>
      <c r="Q228" s="91"/>
      <c r="R228" s="86" t="s">
        <v>73</v>
      </c>
      <c r="S228" s="86" t="s">
        <v>110</v>
      </c>
      <c r="T228" s="722" t="s">
        <v>4493</v>
      </c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</row>
    <row r="229">
      <c r="A229" s="12">
        <v>225.0</v>
      </c>
      <c r="B229" s="106" t="s">
        <v>3067</v>
      </c>
      <c r="C229" s="106" t="s">
        <v>3068</v>
      </c>
      <c r="D229" s="106" t="s">
        <v>3069</v>
      </c>
      <c r="E229" s="106" t="s">
        <v>3070</v>
      </c>
      <c r="F229" s="106" t="s">
        <v>3071</v>
      </c>
      <c r="G229" s="106">
        <v>150.0</v>
      </c>
      <c r="H229" s="106" t="s">
        <v>123</v>
      </c>
      <c r="I229" s="108">
        <v>46142.0</v>
      </c>
      <c r="J229" s="109"/>
      <c r="K229" s="89">
        <v>1551.3</v>
      </c>
      <c r="L229" s="254" t="s">
        <v>1178</v>
      </c>
      <c r="M229" s="89">
        <f t="shared" si="28"/>
        <v>18615.6</v>
      </c>
      <c r="N229" s="86" t="s">
        <v>58</v>
      </c>
      <c r="O229" s="86" t="s">
        <v>29</v>
      </c>
      <c r="P229" s="86" t="s">
        <v>40</v>
      </c>
      <c r="Q229" s="91"/>
      <c r="R229" s="86" t="s">
        <v>73</v>
      </c>
      <c r="S229" s="86" t="s">
        <v>110</v>
      </c>
      <c r="T229" s="722" t="s">
        <v>4494</v>
      </c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</row>
    <row r="230">
      <c r="A230" s="12">
        <v>226.0</v>
      </c>
      <c r="B230" s="106" t="s">
        <v>4495</v>
      </c>
      <c r="C230" s="106" t="s">
        <v>4496</v>
      </c>
      <c r="D230" s="106" t="s">
        <v>4497</v>
      </c>
      <c r="E230" s="106" t="s">
        <v>4498</v>
      </c>
      <c r="F230" s="173" t="s">
        <v>4499</v>
      </c>
      <c r="G230" s="106" t="s">
        <v>26</v>
      </c>
      <c r="H230" s="106" t="s">
        <v>4500</v>
      </c>
      <c r="I230" s="108">
        <v>46185.0</v>
      </c>
      <c r="J230" s="109"/>
      <c r="K230" s="89" t="s">
        <v>4501</v>
      </c>
      <c r="L230" s="254" t="s">
        <v>399</v>
      </c>
      <c r="M230" s="89">
        <v>5000.0</v>
      </c>
      <c r="N230" s="86" t="s">
        <v>58</v>
      </c>
      <c r="O230" s="86" t="s">
        <v>29</v>
      </c>
      <c r="P230" s="86" t="s">
        <v>40</v>
      </c>
      <c r="Q230" s="91"/>
      <c r="R230" s="86" t="s">
        <v>73</v>
      </c>
      <c r="S230" s="86" t="s">
        <v>110</v>
      </c>
      <c r="T230" s="722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</row>
    <row r="231">
      <c r="A231" s="12">
        <v>227.0</v>
      </c>
      <c r="B231" s="106" t="s">
        <v>4502</v>
      </c>
      <c r="C231" s="106">
        <v>3.784896000135E12</v>
      </c>
      <c r="D231" s="106" t="s">
        <v>4503</v>
      </c>
      <c r="E231" s="106">
        <v>1.2997285131E10</v>
      </c>
      <c r="F231" s="106" t="s">
        <v>4504</v>
      </c>
      <c r="G231" s="106">
        <v>25.0</v>
      </c>
      <c r="H231" s="106" t="s">
        <v>123</v>
      </c>
      <c r="I231" s="108">
        <v>46199.0</v>
      </c>
      <c r="J231" s="109"/>
      <c r="K231" s="89" t="s">
        <v>26</v>
      </c>
      <c r="L231" s="254" t="s">
        <v>26</v>
      </c>
      <c r="M231" s="89" t="s">
        <v>26</v>
      </c>
      <c r="N231" s="106" t="s">
        <v>58</v>
      </c>
      <c r="O231" s="106" t="s">
        <v>29</v>
      </c>
      <c r="P231" s="106" t="s">
        <v>40</v>
      </c>
      <c r="Q231" s="91"/>
      <c r="R231" s="106" t="s">
        <v>233</v>
      </c>
      <c r="S231" s="106" t="s">
        <v>110</v>
      </c>
      <c r="T231" s="722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</row>
    <row r="232">
      <c r="A232" s="31"/>
      <c r="B232" s="31"/>
      <c r="C232" s="31"/>
      <c r="D232" s="31"/>
      <c r="E232" s="187"/>
      <c r="F232" s="31"/>
      <c r="G232" s="31"/>
      <c r="H232" s="31"/>
      <c r="I232" s="31"/>
      <c r="J232" s="31"/>
      <c r="K232" s="760"/>
      <c r="L232" s="761"/>
      <c r="M232" s="760"/>
      <c r="N232" s="31"/>
      <c r="O232" s="31"/>
      <c r="P232" s="31"/>
      <c r="Q232" s="31"/>
      <c r="R232" s="31"/>
      <c r="S232" s="31"/>
      <c r="T232" s="762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</row>
    <row r="233">
      <c r="A233" s="31"/>
      <c r="B233" s="31"/>
      <c r="C233" s="31"/>
      <c r="D233" s="31"/>
      <c r="E233" s="187"/>
      <c r="F233" s="31"/>
      <c r="G233" s="31"/>
      <c r="H233" s="31"/>
      <c r="I233" s="31"/>
      <c r="J233" s="31"/>
      <c r="K233" s="760"/>
      <c r="L233" s="761"/>
      <c r="M233" s="760"/>
      <c r="N233" s="31"/>
      <c r="O233" s="31"/>
      <c r="P233" s="31"/>
      <c r="Q233" s="31"/>
      <c r="R233" s="31"/>
      <c r="S233" s="31"/>
      <c r="T233" s="762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</row>
    <row r="234">
      <c r="A234" s="31"/>
      <c r="B234" s="31"/>
      <c r="C234" s="31"/>
      <c r="D234" s="31"/>
      <c r="E234" s="187"/>
      <c r="F234" s="31"/>
      <c r="G234" s="31"/>
      <c r="H234" s="31"/>
      <c r="I234" s="31"/>
      <c r="J234" s="31"/>
      <c r="K234" s="760"/>
      <c r="L234" s="761"/>
      <c r="M234" s="760"/>
      <c r="N234" s="31"/>
      <c r="O234" s="31"/>
      <c r="P234" s="31"/>
      <c r="Q234" s="31"/>
      <c r="R234" s="31"/>
      <c r="S234" s="31"/>
      <c r="T234" s="762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</row>
    <row r="235">
      <c r="A235" s="31"/>
      <c r="B235" s="31"/>
      <c r="C235" s="31"/>
      <c r="D235" s="31"/>
      <c r="E235" s="187"/>
      <c r="F235" s="31"/>
      <c r="G235" s="31"/>
      <c r="H235" s="31"/>
      <c r="I235" s="31"/>
      <c r="J235" s="31"/>
      <c r="K235" s="760"/>
      <c r="L235" s="761"/>
      <c r="M235" s="760"/>
      <c r="N235" s="31"/>
      <c r="O235" s="31"/>
      <c r="P235" s="31"/>
      <c r="Q235" s="31"/>
      <c r="R235" s="31"/>
      <c r="S235" s="31"/>
      <c r="T235" s="762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</row>
    <row r="236">
      <c r="A236" s="31"/>
      <c r="B236" s="31"/>
      <c r="C236" s="31"/>
      <c r="D236" s="31"/>
      <c r="E236" s="187"/>
      <c r="F236" s="31"/>
      <c r="G236" s="31"/>
      <c r="H236" s="31"/>
      <c r="I236" s="31"/>
      <c r="J236" s="31"/>
      <c r="K236" s="760"/>
      <c r="L236" s="761"/>
      <c r="M236" s="760"/>
      <c r="N236" s="31"/>
      <c r="O236" s="31"/>
      <c r="P236" s="31"/>
      <c r="Q236" s="31"/>
      <c r="R236" s="31"/>
      <c r="S236" s="31"/>
      <c r="T236" s="762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</row>
    <row r="237">
      <c r="A237" s="31"/>
      <c r="B237" s="31"/>
      <c r="C237" s="31"/>
      <c r="D237" s="31"/>
      <c r="E237" s="187"/>
      <c r="F237" s="31"/>
      <c r="G237" s="31"/>
      <c r="H237" s="31"/>
      <c r="I237" s="31"/>
      <c r="J237" s="31"/>
      <c r="K237" s="760"/>
      <c r="L237" s="761"/>
      <c r="M237" s="760"/>
      <c r="N237" s="31"/>
      <c r="O237" s="31"/>
      <c r="P237" s="31"/>
      <c r="Q237" s="31"/>
      <c r="R237" s="31"/>
      <c r="S237" s="31"/>
      <c r="T237" s="762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</row>
    <row r="238">
      <c r="A238" s="31"/>
      <c r="B238" s="31"/>
      <c r="C238" s="31"/>
      <c r="D238" s="31"/>
      <c r="E238" s="187"/>
      <c r="F238" s="31"/>
      <c r="G238" s="31"/>
      <c r="H238" s="31"/>
      <c r="I238" s="31"/>
      <c r="J238" s="31"/>
      <c r="K238" s="760"/>
      <c r="L238" s="761"/>
      <c r="M238" s="760"/>
      <c r="N238" s="31"/>
      <c r="O238" s="31"/>
      <c r="P238" s="31"/>
      <c r="Q238" s="31"/>
      <c r="R238" s="31"/>
      <c r="S238" s="31"/>
      <c r="T238" s="762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</row>
    <row r="239">
      <c r="A239" s="31"/>
      <c r="B239" s="31"/>
      <c r="C239" s="31"/>
      <c r="D239" s="31"/>
      <c r="E239" s="187"/>
      <c r="F239" s="31"/>
      <c r="G239" s="31"/>
      <c r="H239" s="31"/>
      <c r="I239" s="31"/>
      <c r="J239" s="31"/>
      <c r="K239" s="760"/>
      <c r="L239" s="761"/>
      <c r="M239" s="760"/>
      <c r="N239" s="31"/>
      <c r="O239" s="31"/>
      <c r="P239" s="31"/>
      <c r="Q239" s="31"/>
      <c r="R239" s="31"/>
      <c r="S239" s="31"/>
      <c r="T239" s="762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</row>
    <row r="240">
      <c r="A240" s="31"/>
      <c r="B240" s="31"/>
      <c r="C240" s="31"/>
      <c r="D240" s="31"/>
      <c r="E240" s="187"/>
      <c r="F240" s="31"/>
      <c r="G240" s="31"/>
      <c r="H240" s="31"/>
      <c r="I240" s="31"/>
      <c r="J240" s="31"/>
      <c r="K240" s="760"/>
      <c r="L240" s="761"/>
      <c r="M240" s="760"/>
      <c r="N240" s="31"/>
      <c r="O240" s="31"/>
      <c r="P240" s="31"/>
      <c r="Q240" s="31"/>
      <c r="R240" s="31"/>
      <c r="S240" s="31"/>
      <c r="T240" s="762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</row>
    <row r="241">
      <c r="A241" s="31"/>
      <c r="B241" s="31"/>
      <c r="C241" s="31"/>
      <c r="D241" s="31"/>
      <c r="E241" s="187"/>
      <c r="F241" s="31"/>
      <c r="G241" s="31"/>
      <c r="H241" s="31"/>
      <c r="I241" s="31"/>
      <c r="J241" s="31"/>
      <c r="K241" s="760"/>
      <c r="L241" s="761"/>
      <c r="M241" s="760"/>
      <c r="N241" s="31"/>
      <c r="O241" s="31"/>
      <c r="P241" s="31"/>
      <c r="Q241" s="31"/>
      <c r="R241" s="31"/>
      <c r="S241" s="31"/>
      <c r="T241" s="762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</row>
    <row r="242">
      <c r="A242" s="31"/>
      <c r="B242" s="31"/>
      <c r="C242" s="31"/>
      <c r="D242" s="31"/>
      <c r="E242" s="187"/>
      <c r="F242" s="31"/>
      <c r="G242" s="31"/>
      <c r="H242" s="31"/>
      <c r="I242" s="31"/>
      <c r="J242" s="31"/>
      <c r="K242" s="760"/>
      <c r="L242" s="761"/>
      <c r="M242" s="760"/>
      <c r="N242" s="31"/>
      <c r="O242" s="31"/>
      <c r="P242" s="31"/>
      <c r="Q242" s="31"/>
      <c r="R242" s="31"/>
      <c r="S242" s="31"/>
      <c r="T242" s="762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</row>
    <row r="243">
      <c r="A243" s="31"/>
      <c r="B243" s="31"/>
      <c r="C243" s="31"/>
      <c r="D243" s="31"/>
      <c r="E243" s="187"/>
      <c r="F243" s="31"/>
      <c r="G243" s="31"/>
      <c r="H243" s="31"/>
      <c r="I243" s="31"/>
      <c r="J243" s="31"/>
      <c r="K243" s="760"/>
      <c r="L243" s="761"/>
      <c r="M243" s="760"/>
      <c r="N243" s="31"/>
      <c r="O243" s="31"/>
      <c r="P243" s="31"/>
      <c r="Q243" s="31"/>
      <c r="R243" s="31"/>
      <c r="S243" s="31"/>
      <c r="T243" s="762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</row>
    <row r="244">
      <c r="A244" s="31"/>
      <c r="B244" s="31"/>
      <c r="C244" s="31"/>
      <c r="D244" s="31"/>
      <c r="E244" s="187"/>
      <c r="F244" s="31"/>
      <c r="G244" s="31"/>
      <c r="H244" s="31"/>
      <c r="I244" s="31"/>
      <c r="J244" s="31"/>
      <c r="K244" s="760"/>
      <c r="L244" s="761"/>
      <c r="M244" s="760"/>
      <c r="N244" s="31"/>
      <c r="O244" s="31"/>
      <c r="P244" s="31"/>
      <c r="Q244" s="31"/>
      <c r="R244" s="31"/>
      <c r="S244" s="31"/>
      <c r="T244" s="762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</row>
    <row r="245">
      <c r="A245" s="31"/>
      <c r="B245" s="31"/>
      <c r="C245" s="31"/>
      <c r="D245" s="31"/>
      <c r="E245" s="187"/>
      <c r="F245" s="31"/>
      <c r="G245" s="31"/>
      <c r="H245" s="31"/>
      <c r="I245" s="31"/>
      <c r="J245" s="31"/>
      <c r="K245" s="760"/>
      <c r="L245" s="761"/>
      <c r="M245" s="760"/>
      <c r="N245" s="31"/>
      <c r="O245" s="31"/>
      <c r="P245" s="31"/>
      <c r="Q245" s="31"/>
      <c r="R245" s="31"/>
      <c r="S245" s="31"/>
      <c r="T245" s="762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</row>
    <row r="246">
      <c r="A246" s="31"/>
      <c r="B246" s="31"/>
      <c r="C246" s="31"/>
      <c r="D246" s="31"/>
      <c r="E246" s="187"/>
      <c r="F246" s="31"/>
      <c r="G246" s="31"/>
      <c r="H246" s="31"/>
      <c r="I246" s="31"/>
      <c r="J246" s="31"/>
      <c r="K246" s="760"/>
      <c r="L246" s="761"/>
      <c r="M246" s="760"/>
      <c r="N246" s="31"/>
      <c r="O246" s="31"/>
      <c r="P246" s="31"/>
      <c r="Q246" s="31"/>
      <c r="R246" s="31"/>
      <c r="S246" s="31"/>
      <c r="T246" s="762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</row>
    <row r="247">
      <c r="A247" s="31"/>
      <c r="B247" s="31"/>
      <c r="C247" s="31"/>
      <c r="D247" s="31"/>
      <c r="E247" s="187"/>
      <c r="F247" s="31"/>
      <c r="G247" s="31"/>
      <c r="H247" s="31"/>
      <c r="I247" s="31"/>
      <c r="J247" s="31"/>
      <c r="K247" s="760"/>
      <c r="L247" s="761"/>
      <c r="M247" s="760"/>
      <c r="N247" s="31"/>
      <c r="O247" s="31"/>
      <c r="P247" s="31"/>
      <c r="Q247" s="31"/>
      <c r="R247" s="31"/>
      <c r="S247" s="31"/>
      <c r="T247" s="762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</row>
    <row r="248">
      <c r="A248" s="31"/>
      <c r="B248" s="31"/>
      <c r="C248" s="31"/>
      <c r="D248" s="31"/>
      <c r="E248" s="187"/>
      <c r="F248" s="31"/>
      <c r="G248" s="31"/>
      <c r="H248" s="31"/>
      <c r="I248" s="31"/>
      <c r="J248" s="31"/>
      <c r="K248" s="760"/>
      <c r="L248" s="761"/>
      <c r="M248" s="760"/>
      <c r="N248" s="31"/>
      <c r="O248" s="31"/>
      <c r="P248" s="31"/>
      <c r="Q248" s="31"/>
      <c r="R248" s="31"/>
      <c r="S248" s="31"/>
      <c r="T248" s="762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</row>
    <row r="249">
      <c r="A249" s="31"/>
      <c r="B249" s="31"/>
      <c r="C249" s="31"/>
      <c r="D249" s="31"/>
      <c r="E249" s="187"/>
      <c r="F249" s="31"/>
      <c r="G249" s="31"/>
      <c r="H249" s="31"/>
      <c r="I249" s="31"/>
      <c r="J249" s="31"/>
      <c r="K249" s="760"/>
      <c r="L249" s="761"/>
      <c r="M249" s="760"/>
      <c r="N249" s="31"/>
      <c r="O249" s="31"/>
      <c r="P249" s="31"/>
      <c r="Q249" s="31"/>
      <c r="R249" s="31"/>
      <c r="S249" s="31"/>
      <c r="T249" s="762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</row>
    <row r="250">
      <c r="A250" s="31"/>
      <c r="B250" s="31"/>
      <c r="C250" s="31"/>
      <c r="D250" s="31"/>
      <c r="E250" s="187"/>
      <c r="F250" s="31"/>
      <c r="G250" s="31"/>
      <c r="H250" s="31"/>
      <c r="I250" s="31"/>
      <c r="J250" s="31"/>
      <c r="K250" s="760"/>
      <c r="L250" s="761"/>
      <c r="M250" s="760"/>
      <c r="N250" s="31"/>
      <c r="O250" s="31"/>
      <c r="P250" s="31"/>
      <c r="Q250" s="31"/>
      <c r="R250" s="31"/>
      <c r="S250" s="31"/>
      <c r="T250" s="762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</row>
    <row r="251">
      <c r="A251" s="31"/>
      <c r="B251" s="31"/>
      <c r="C251" s="31"/>
      <c r="D251" s="31"/>
      <c r="E251" s="187"/>
      <c r="F251" s="31"/>
      <c r="G251" s="31"/>
      <c r="H251" s="31"/>
      <c r="I251" s="31"/>
      <c r="J251" s="31"/>
      <c r="K251" s="760"/>
      <c r="L251" s="761"/>
      <c r="M251" s="760"/>
      <c r="N251" s="31"/>
      <c r="O251" s="31"/>
      <c r="P251" s="31"/>
      <c r="Q251" s="31"/>
      <c r="R251" s="31"/>
      <c r="S251" s="31"/>
      <c r="T251" s="762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</row>
    <row r="252">
      <c r="A252" s="31"/>
      <c r="B252" s="31"/>
      <c r="C252" s="31"/>
      <c r="D252" s="31"/>
      <c r="E252" s="187"/>
      <c r="F252" s="31"/>
      <c r="G252" s="31"/>
      <c r="H252" s="31"/>
      <c r="I252" s="31"/>
      <c r="J252" s="31"/>
      <c r="K252" s="760"/>
      <c r="L252" s="761"/>
      <c r="M252" s="760"/>
      <c r="N252" s="31"/>
      <c r="O252" s="31"/>
      <c r="P252" s="31"/>
      <c r="Q252" s="31"/>
      <c r="R252" s="31"/>
      <c r="S252" s="31"/>
      <c r="T252" s="762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</row>
    <row r="253">
      <c r="A253" s="31"/>
      <c r="B253" s="31"/>
      <c r="C253" s="31"/>
      <c r="D253" s="31"/>
      <c r="E253" s="187"/>
      <c r="F253" s="31"/>
      <c r="G253" s="31"/>
      <c r="H253" s="31"/>
      <c r="I253" s="31"/>
      <c r="J253" s="31"/>
      <c r="K253" s="760"/>
      <c r="L253" s="761"/>
      <c r="M253" s="760"/>
      <c r="N253" s="31"/>
      <c r="O253" s="31"/>
      <c r="P253" s="31"/>
      <c r="Q253" s="31"/>
      <c r="R253" s="31"/>
      <c r="S253" s="31"/>
      <c r="T253" s="762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</row>
    <row r="254">
      <c r="A254" s="31"/>
      <c r="B254" s="31"/>
      <c r="C254" s="31"/>
      <c r="D254" s="31"/>
      <c r="E254" s="187"/>
      <c r="F254" s="31"/>
      <c r="G254" s="31"/>
      <c r="H254" s="31"/>
      <c r="I254" s="31"/>
      <c r="J254" s="31"/>
      <c r="K254" s="760"/>
      <c r="L254" s="761"/>
      <c r="M254" s="760"/>
      <c r="N254" s="31"/>
      <c r="O254" s="31"/>
      <c r="P254" s="31"/>
      <c r="Q254" s="31"/>
      <c r="R254" s="31"/>
      <c r="S254" s="31"/>
      <c r="T254" s="762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</row>
    <row r="255">
      <c r="A255" s="31"/>
      <c r="B255" s="31"/>
      <c r="C255" s="31"/>
      <c r="D255" s="31"/>
      <c r="E255" s="187"/>
      <c r="F255" s="31"/>
      <c r="G255" s="31"/>
      <c r="H255" s="31"/>
      <c r="I255" s="31"/>
      <c r="J255" s="31"/>
      <c r="K255" s="760"/>
      <c r="L255" s="761"/>
      <c r="M255" s="760"/>
      <c r="N255" s="31"/>
      <c r="O255" s="31"/>
      <c r="P255" s="31"/>
      <c r="Q255" s="31"/>
      <c r="R255" s="31"/>
      <c r="S255" s="31"/>
      <c r="T255" s="762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</row>
    <row r="256">
      <c r="A256" s="31"/>
      <c r="B256" s="31"/>
      <c r="C256" s="31"/>
      <c r="D256" s="31"/>
      <c r="E256" s="187"/>
      <c r="F256" s="31"/>
      <c r="G256" s="31"/>
      <c r="H256" s="31"/>
      <c r="I256" s="31"/>
      <c r="J256" s="31"/>
      <c r="K256" s="760"/>
      <c r="L256" s="761"/>
      <c r="M256" s="760"/>
      <c r="N256" s="31"/>
      <c r="O256" s="31"/>
      <c r="P256" s="31"/>
      <c r="Q256" s="31"/>
      <c r="R256" s="31"/>
      <c r="S256" s="31"/>
      <c r="T256" s="762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</row>
    <row r="257">
      <c r="A257" s="31"/>
      <c r="B257" s="31"/>
      <c r="C257" s="31"/>
      <c r="D257" s="31"/>
      <c r="E257" s="187"/>
      <c r="F257" s="31"/>
      <c r="G257" s="31"/>
      <c r="H257" s="31"/>
      <c r="I257" s="31"/>
      <c r="J257" s="31"/>
      <c r="K257" s="760"/>
      <c r="L257" s="761"/>
      <c r="M257" s="760"/>
      <c r="N257" s="31"/>
      <c r="O257" s="31"/>
      <c r="P257" s="31"/>
      <c r="Q257" s="31"/>
      <c r="R257" s="31"/>
      <c r="S257" s="31"/>
      <c r="T257" s="762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</row>
    <row r="258">
      <c r="A258" s="31"/>
      <c r="B258" s="31"/>
      <c r="C258" s="31"/>
      <c r="D258" s="31"/>
      <c r="E258" s="187"/>
      <c r="F258" s="31"/>
      <c r="G258" s="31"/>
      <c r="H258" s="31"/>
      <c r="I258" s="31"/>
      <c r="J258" s="31"/>
      <c r="K258" s="760"/>
      <c r="L258" s="761"/>
      <c r="M258" s="760"/>
      <c r="N258" s="31"/>
      <c r="O258" s="31"/>
      <c r="P258" s="31"/>
      <c r="Q258" s="31"/>
      <c r="R258" s="31"/>
      <c r="S258" s="31"/>
      <c r="T258" s="762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</row>
    <row r="259">
      <c r="A259" s="31"/>
      <c r="B259" s="31"/>
      <c r="C259" s="31"/>
      <c r="D259" s="31"/>
      <c r="E259" s="187"/>
      <c r="F259" s="31"/>
      <c r="G259" s="31"/>
      <c r="H259" s="31"/>
      <c r="I259" s="31"/>
      <c r="J259" s="31"/>
      <c r="K259" s="760"/>
      <c r="L259" s="761"/>
      <c r="M259" s="760"/>
      <c r="N259" s="31"/>
      <c r="O259" s="31"/>
      <c r="P259" s="31"/>
      <c r="Q259" s="31"/>
      <c r="R259" s="31"/>
      <c r="S259" s="31"/>
      <c r="T259" s="762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</row>
    <row r="260">
      <c r="A260" s="31"/>
      <c r="B260" s="31"/>
      <c r="C260" s="31"/>
      <c r="D260" s="31"/>
      <c r="E260" s="187"/>
      <c r="F260" s="31"/>
      <c r="G260" s="31"/>
      <c r="H260" s="31"/>
      <c r="I260" s="31"/>
      <c r="J260" s="31"/>
      <c r="K260" s="760"/>
      <c r="L260" s="761"/>
      <c r="M260" s="760"/>
      <c r="N260" s="31"/>
      <c r="O260" s="31"/>
      <c r="P260" s="31"/>
      <c r="Q260" s="31"/>
      <c r="R260" s="31"/>
      <c r="S260" s="31"/>
      <c r="T260" s="762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</row>
    <row r="261">
      <c r="A261" s="31"/>
      <c r="B261" s="31"/>
      <c r="C261" s="31"/>
      <c r="D261" s="31"/>
      <c r="E261" s="187"/>
      <c r="F261" s="31"/>
      <c r="G261" s="31"/>
      <c r="H261" s="31"/>
      <c r="I261" s="31"/>
      <c r="J261" s="31"/>
      <c r="K261" s="760"/>
      <c r="L261" s="761"/>
      <c r="M261" s="760"/>
      <c r="N261" s="31"/>
      <c r="O261" s="31"/>
      <c r="P261" s="31"/>
      <c r="Q261" s="31"/>
      <c r="R261" s="31"/>
      <c r="S261" s="31"/>
      <c r="T261" s="762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</row>
    <row r="262">
      <c r="A262" s="31"/>
      <c r="B262" s="31"/>
      <c r="C262" s="31"/>
      <c r="D262" s="31"/>
      <c r="E262" s="187"/>
      <c r="F262" s="31"/>
      <c r="G262" s="31"/>
      <c r="H262" s="31"/>
      <c r="I262" s="31"/>
      <c r="J262" s="31"/>
      <c r="K262" s="760"/>
      <c r="L262" s="761"/>
      <c r="M262" s="760"/>
      <c r="N262" s="31"/>
      <c r="O262" s="31"/>
      <c r="P262" s="31"/>
      <c r="Q262" s="31"/>
      <c r="R262" s="31"/>
      <c r="S262" s="31"/>
      <c r="T262" s="762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</row>
    <row r="263">
      <c r="A263" s="31"/>
      <c r="B263" s="31"/>
      <c r="C263" s="31"/>
      <c r="D263" s="31"/>
      <c r="E263" s="187"/>
      <c r="F263" s="31"/>
      <c r="G263" s="31"/>
      <c r="H263" s="31"/>
      <c r="I263" s="31"/>
      <c r="J263" s="31"/>
      <c r="K263" s="760"/>
      <c r="L263" s="761"/>
      <c r="M263" s="760"/>
      <c r="N263" s="31"/>
      <c r="O263" s="31"/>
      <c r="P263" s="31"/>
      <c r="Q263" s="31"/>
      <c r="R263" s="31"/>
      <c r="S263" s="31"/>
      <c r="T263" s="762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</row>
    <row r="264">
      <c r="A264" s="31"/>
      <c r="B264" s="31"/>
      <c r="C264" s="31"/>
      <c r="D264" s="31"/>
      <c r="E264" s="187"/>
      <c r="F264" s="31"/>
      <c r="G264" s="31"/>
      <c r="H264" s="31"/>
      <c r="I264" s="31"/>
      <c r="J264" s="31"/>
      <c r="K264" s="760"/>
      <c r="L264" s="761"/>
      <c r="M264" s="760"/>
      <c r="N264" s="31"/>
      <c r="O264" s="31"/>
      <c r="P264" s="31"/>
      <c r="Q264" s="31"/>
      <c r="R264" s="31"/>
      <c r="S264" s="31"/>
      <c r="T264" s="762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</row>
    <row r="265">
      <c r="A265" s="31"/>
      <c r="B265" s="31"/>
      <c r="C265" s="31"/>
      <c r="D265" s="31"/>
      <c r="E265" s="187"/>
      <c r="F265" s="31"/>
      <c r="G265" s="31"/>
      <c r="H265" s="31"/>
      <c r="I265" s="31"/>
      <c r="J265" s="31"/>
      <c r="K265" s="760"/>
      <c r="L265" s="761"/>
      <c r="M265" s="760"/>
      <c r="N265" s="31"/>
      <c r="O265" s="31"/>
      <c r="P265" s="31"/>
      <c r="Q265" s="31"/>
      <c r="R265" s="31"/>
      <c r="S265" s="31"/>
      <c r="T265" s="762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</row>
    <row r="266">
      <c r="A266" s="31"/>
      <c r="B266" s="31"/>
      <c r="C266" s="31"/>
      <c r="D266" s="31"/>
      <c r="E266" s="187"/>
      <c r="F266" s="31"/>
      <c r="G266" s="31"/>
      <c r="H266" s="31"/>
      <c r="I266" s="31"/>
      <c r="J266" s="31"/>
      <c r="K266" s="760"/>
      <c r="L266" s="761"/>
      <c r="M266" s="760"/>
      <c r="N266" s="31"/>
      <c r="O266" s="31"/>
      <c r="P266" s="31"/>
      <c r="Q266" s="31"/>
      <c r="R266" s="31"/>
      <c r="S266" s="31"/>
      <c r="T266" s="762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</row>
    <row r="267">
      <c r="A267" s="31"/>
      <c r="B267" s="31"/>
      <c r="C267" s="31"/>
      <c r="D267" s="31"/>
      <c r="E267" s="187"/>
      <c r="F267" s="31"/>
      <c r="G267" s="31"/>
      <c r="H267" s="31"/>
      <c r="I267" s="31"/>
      <c r="J267" s="31"/>
      <c r="K267" s="760"/>
      <c r="L267" s="761"/>
      <c r="M267" s="760"/>
      <c r="N267" s="31"/>
      <c r="O267" s="31"/>
      <c r="P267" s="31"/>
      <c r="Q267" s="31"/>
      <c r="R267" s="31"/>
      <c r="S267" s="31"/>
      <c r="T267" s="762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</row>
    <row r="268">
      <c r="A268" s="31"/>
      <c r="B268" s="31"/>
      <c r="C268" s="31"/>
      <c r="D268" s="31"/>
      <c r="E268" s="187"/>
      <c r="F268" s="31"/>
      <c r="G268" s="31"/>
      <c r="H268" s="31"/>
      <c r="I268" s="31"/>
      <c r="J268" s="31"/>
      <c r="K268" s="760"/>
      <c r="L268" s="761"/>
      <c r="M268" s="760"/>
      <c r="N268" s="31"/>
      <c r="O268" s="31"/>
      <c r="P268" s="31"/>
      <c r="Q268" s="31"/>
      <c r="R268" s="31"/>
      <c r="S268" s="31"/>
      <c r="T268" s="762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</row>
    <row r="269">
      <c r="A269" s="31"/>
      <c r="B269" s="31"/>
      <c r="C269" s="31"/>
      <c r="D269" s="31"/>
      <c r="E269" s="187"/>
      <c r="F269" s="31"/>
      <c r="G269" s="31"/>
      <c r="H269" s="31"/>
      <c r="I269" s="31"/>
      <c r="J269" s="31"/>
      <c r="K269" s="760"/>
      <c r="L269" s="761"/>
      <c r="M269" s="760"/>
      <c r="N269" s="31"/>
      <c r="O269" s="31"/>
      <c r="P269" s="31"/>
      <c r="Q269" s="31"/>
      <c r="R269" s="31"/>
      <c r="S269" s="31"/>
      <c r="T269" s="762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</row>
    <row r="270">
      <c r="A270" s="31"/>
      <c r="B270" s="31"/>
      <c r="C270" s="31"/>
      <c r="D270" s="31"/>
      <c r="E270" s="187"/>
      <c r="F270" s="31"/>
      <c r="G270" s="31"/>
      <c r="H270" s="31"/>
      <c r="I270" s="31"/>
      <c r="J270" s="31"/>
      <c r="K270" s="760"/>
      <c r="L270" s="761"/>
      <c r="M270" s="760"/>
      <c r="N270" s="31"/>
      <c r="O270" s="31"/>
      <c r="P270" s="31"/>
      <c r="Q270" s="31"/>
      <c r="R270" s="31"/>
      <c r="S270" s="31"/>
      <c r="T270" s="762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</row>
    <row r="271">
      <c r="A271" s="31"/>
      <c r="B271" s="31"/>
      <c r="C271" s="31"/>
      <c r="D271" s="31"/>
      <c r="E271" s="187"/>
      <c r="F271" s="31"/>
      <c r="G271" s="31"/>
      <c r="H271" s="31"/>
      <c r="I271" s="31"/>
      <c r="J271" s="31"/>
      <c r="K271" s="760"/>
      <c r="L271" s="761"/>
      <c r="M271" s="760"/>
      <c r="N271" s="31"/>
      <c r="O271" s="31"/>
      <c r="P271" s="31"/>
      <c r="Q271" s="31"/>
      <c r="R271" s="31"/>
      <c r="S271" s="31"/>
      <c r="T271" s="762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</row>
    <row r="272">
      <c r="A272" s="31"/>
      <c r="B272" s="31"/>
      <c r="C272" s="31"/>
      <c r="D272" s="31"/>
      <c r="E272" s="187"/>
      <c r="F272" s="31"/>
      <c r="G272" s="31"/>
      <c r="H272" s="31"/>
      <c r="I272" s="31"/>
      <c r="J272" s="31"/>
      <c r="K272" s="760"/>
      <c r="L272" s="761"/>
      <c r="M272" s="760"/>
      <c r="N272" s="31"/>
      <c r="O272" s="31"/>
      <c r="P272" s="31"/>
      <c r="Q272" s="31"/>
      <c r="R272" s="31"/>
      <c r="S272" s="31"/>
      <c r="T272" s="762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</row>
    <row r="273">
      <c r="A273" s="31"/>
      <c r="B273" s="31"/>
      <c r="C273" s="31"/>
      <c r="D273" s="31"/>
      <c r="E273" s="187"/>
      <c r="F273" s="31"/>
      <c r="G273" s="31"/>
      <c r="H273" s="31"/>
      <c r="I273" s="31"/>
      <c r="J273" s="31"/>
      <c r="K273" s="760"/>
      <c r="L273" s="761"/>
      <c r="M273" s="760"/>
      <c r="N273" s="31"/>
      <c r="O273" s="31"/>
      <c r="P273" s="31"/>
      <c r="Q273" s="31"/>
      <c r="R273" s="31"/>
      <c r="S273" s="31"/>
      <c r="T273" s="762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</row>
    <row r="274">
      <c r="A274" s="31"/>
      <c r="B274" s="31"/>
      <c r="C274" s="31"/>
      <c r="D274" s="31"/>
      <c r="E274" s="187"/>
      <c r="F274" s="31"/>
      <c r="G274" s="31"/>
      <c r="H274" s="31"/>
      <c r="I274" s="31"/>
      <c r="J274" s="31"/>
      <c r="K274" s="760"/>
      <c r="L274" s="761"/>
      <c r="M274" s="760"/>
      <c r="N274" s="31"/>
      <c r="O274" s="31"/>
      <c r="P274" s="31"/>
      <c r="Q274" s="31"/>
      <c r="R274" s="31"/>
      <c r="S274" s="31"/>
      <c r="T274" s="762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</row>
    <row r="275">
      <c r="A275" s="31"/>
      <c r="B275" s="31"/>
      <c r="C275" s="31"/>
      <c r="D275" s="31"/>
      <c r="E275" s="187"/>
      <c r="F275" s="31"/>
      <c r="G275" s="31"/>
      <c r="H275" s="31"/>
      <c r="I275" s="31"/>
      <c r="J275" s="31"/>
      <c r="K275" s="760"/>
      <c r="L275" s="761"/>
      <c r="M275" s="760"/>
      <c r="N275" s="31"/>
      <c r="O275" s="31"/>
      <c r="P275" s="31"/>
      <c r="Q275" s="31"/>
      <c r="R275" s="31"/>
      <c r="S275" s="31"/>
      <c r="T275" s="762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</row>
    <row r="276">
      <c r="A276" s="31"/>
      <c r="B276" s="31"/>
      <c r="C276" s="31"/>
      <c r="D276" s="31"/>
      <c r="E276" s="187"/>
      <c r="F276" s="31"/>
      <c r="G276" s="31"/>
      <c r="H276" s="31"/>
      <c r="I276" s="31"/>
      <c r="J276" s="31"/>
      <c r="K276" s="760"/>
      <c r="L276" s="761"/>
      <c r="M276" s="760"/>
      <c r="N276" s="31"/>
      <c r="O276" s="31"/>
      <c r="P276" s="31"/>
      <c r="Q276" s="31"/>
      <c r="R276" s="31"/>
      <c r="S276" s="31"/>
      <c r="T276" s="762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</row>
    <row r="277">
      <c r="A277" s="31"/>
      <c r="B277" s="31"/>
      <c r="C277" s="31"/>
      <c r="D277" s="31"/>
      <c r="E277" s="187"/>
      <c r="F277" s="31"/>
      <c r="G277" s="31"/>
      <c r="H277" s="31"/>
      <c r="I277" s="31"/>
      <c r="J277" s="31"/>
      <c r="K277" s="760"/>
      <c r="L277" s="761"/>
      <c r="M277" s="760"/>
      <c r="N277" s="31"/>
      <c r="O277" s="31"/>
      <c r="P277" s="31"/>
      <c r="Q277" s="31"/>
      <c r="R277" s="31"/>
      <c r="S277" s="31"/>
      <c r="T277" s="762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</row>
    <row r="278">
      <c r="A278" s="31"/>
      <c r="B278" s="31"/>
      <c r="C278" s="31"/>
      <c r="D278" s="31"/>
      <c r="E278" s="187"/>
      <c r="F278" s="31"/>
      <c r="G278" s="31"/>
      <c r="H278" s="31"/>
      <c r="I278" s="31"/>
      <c r="J278" s="31"/>
      <c r="K278" s="760"/>
      <c r="L278" s="761"/>
      <c r="M278" s="760"/>
      <c r="N278" s="31"/>
      <c r="O278" s="31"/>
      <c r="P278" s="31"/>
      <c r="Q278" s="31"/>
      <c r="R278" s="31"/>
      <c r="S278" s="31"/>
      <c r="T278" s="762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</row>
    <row r="279">
      <c r="A279" s="31"/>
      <c r="B279" s="31"/>
      <c r="C279" s="31"/>
      <c r="D279" s="31"/>
      <c r="E279" s="187"/>
      <c r="F279" s="31"/>
      <c r="G279" s="31"/>
      <c r="H279" s="31"/>
      <c r="I279" s="31"/>
      <c r="J279" s="31"/>
      <c r="K279" s="760"/>
      <c r="L279" s="761"/>
      <c r="M279" s="760"/>
      <c r="N279" s="31"/>
      <c r="O279" s="31"/>
      <c r="P279" s="31"/>
      <c r="Q279" s="31"/>
      <c r="R279" s="31"/>
      <c r="S279" s="31"/>
      <c r="T279" s="762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</row>
    <row r="280">
      <c r="A280" s="31"/>
      <c r="B280" s="31"/>
      <c r="C280" s="31"/>
      <c r="D280" s="31"/>
      <c r="E280" s="187"/>
      <c r="F280" s="31"/>
      <c r="G280" s="31"/>
      <c r="H280" s="31"/>
      <c r="I280" s="31"/>
      <c r="J280" s="31"/>
      <c r="K280" s="760"/>
      <c r="L280" s="761"/>
      <c r="M280" s="760"/>
      <c r="N280" s="31"/>
      <c r="O280" s="31"/>
      <c r="P280" s="31"/>
      <c r="Q280" s="31"/>
      <c r="R280" s="31"/>
      <c r="S280" s="31"/>
      <c r="T280" s="762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</row>
    <row r="281">
      <c r="A281" s="31"/>
      <c r="B281" s="31"/>
      <c r="C281" s="31"/>
      <c r="D281" s="31"/>
      <c r="E281" s="187"/>
      <c r="F281" s="31"/>
      <c r="G281" s="31"/>
      <c r="H281" s="31"/>
      <c r="I281" s="31"/>
      <c r="J281" s="31"/>
      <c r="K281" s="760"/>
      <c r="L281" s="761"/>
      <c r="M281" s="760"/>
      <c r="N281" s="31"/>
      <c r="O281" s="31"/>
      <c r="P281" s="31"/>
      <c r="Q281" s="31"/>
      <c r="R281" s="31"/>
      <c r="S281" s="31"/>
      <c r="T281" s="762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</row>
    <row r="282">
      <c r="A282" s="31"/>
      <c r="B282" s="31"/>
      <c r="C282" s="31"/>
      <c r="D282" s="31"/>
      <c r="E282" s="187"/>
      <c r="F282" s="31"/>
      <c r="G282" s="31"/>
      <c r="H282" s="31"/>
      <c r="I282" s="31"/>
      <c r="J282" s="31"/>
      <c r="K282" s="760"/>
      <c r="L282" s="761"/>
      <c r="M282" s="760"/>
      <c r="N282" s="31"/>
      <c r="O282" s="31"/>
      <c r="P282" s="31"/>
      <c r="Q282" s="31"/>
      <c r="R282" s="31"/>
      <c r="S282" s="31"/>
      <c r="T282" s="762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</row>
    <row r="283">
      <c r="A283" s="31"/>
      <c r="B283" s="31"/>
      <c r="C283" s="31"/>
      <c r="D283" s="31"/>
      <c r="E283" s="187"/>
      <c r="F283" s="31"/>
      <c r="G283" s="31"/>
      <c r="H283" s="31"/>
      <c r="I283" s="31"/>
      <c r="J283" s="31"/>
      <c r="K283" s="760"/>
      <c r="L283" s="761"/>
      <c r="M283" s="760"/>
      <c r="N283" s="31"/>
      <c r="O283" s="31"/>
      <c r="P283" s="31"/>
      <c r="Q283" s="31"/>
      <c r="R283" s="31"/>
      <c r="S283" s="31"/>
      <c r="T283" s="762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</row>
    <row r="284">
      <c r="A284" s="31"/>
      <c r="B284" s="31"/>
      <c r="C284" s="31"/>
      <c r="D284" s="31"/>
      <c r="E284" s="187"/>
      <c r="F284" s="31"/>
      <c r="G284" s="31"/>
      <c r="H284" s="31"/>
      <c r="I284" s="31"/>
      <c r="J284" s="31"/>
      <c r="K284" s="760"/>
      <c r="L284" s="761"/>
      <c r="M284" s="760"/>
      <c r="N284" s="31"/>
      <c r="O284" s="31"/>
      <c r="P284" s="31"/>
      <c r="Q284" s="31"/>
      <c r="R284" s="31"/>
      <c r="S284" s="31"/>
      <c r="T284" s="762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</row>
    <row r="285">
      <c r="A285" s="31"/>
      <c r="B285" s="31"/>
      <c r="C285" s="31"/>
      <c r="D285" s="31"/>
      <c r="E285" s="187"/>
      <c r="F285" s="31"/>
      <c r="G285" s="31"/>
      <c r="H285" s="31"/>
      <c r="I285" s="31"/>
      <c r="J285" s="31"/>
      <c r="K285" s="760"/>
      <c r="L285" s="761"/>
      <c r="M285" s="760"/>
      <c r="N285" s="31"/>
      <c r="O285" s="31"/>
      <c r="P285" s="31"/>
      <c r="Q285" s="31"/>
      <c r="R285" s="31"/>
      <c r="S285" s="31"/>
      <c r="T285" s="762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</row>
    <row r="286">
      <c r="A286" s="31"/>
      <c r="B286" s="31"/>
      <c r="C286" s="31"/>
      <c r="D286" s="31"/>
      <c r="E286" s="187"/>
      <c r="F286" s="31"/>
      <c r="G286" s="31"/>
      <c r="H286" s="31"/>
      <c r="I286" s="31"/>
      <c r="J286" s="31"/>
      <c r="K286" s="760"/>
      <c r="L286" s="761"/>
      <c r="M286" s="760"/>
      <c r="N286" s="31"/>
      <c r="O286" s="31"/>
      <c r="P286" s="31"/>
      <c r="Q286" s="31"/>
      <c r="R286" s="31"/>
      <c r="S286" s="31"/>
      <c r="T286" s="762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</row>
    <row r="287">
      <c r="A287" s="31"/>
      <c r="B287" s="31"/>
      <c r="C287" s="31"/>
      <c r="D287" s="31"/>
      <c r="E287" s="187"/>
      <c r="F287" s="31"/>
      <c r="G287" s="31"/>
      <c r="H287" s="31"/>
      <c r="I287" s="31"/>
      <c r="J287" s="31"/>
      <c r="K287" s="760"/>
      <c r="L287" s="761"/>
      <c r="M287" s="760"/>
      <c r="N287" s="31"/>
      <c r="O287" s="31"/>
      <c r="P287" s="31"/>
      <c r="Q287" s="31"/>
      <c r="R287" s="31"/>
      <c r="S287" s="31"/>
      <c r="T287" s="762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</row>
    <row r="288">
      <c r="A288" s="31"/>
      <c r="B288" s="31"/>
      <c r="C288" s="31"/>
      <c r="D288" s="31"/>
      <c r="E288" s="187"/>
      <c r="F288" s="31"/>
      <c r="G288" s="31"/>
      <c r="H288" s="31"/>
      <c r="I288" s="31"/>
      <c r="J288" s="31"/>
      <c r="K288" s="760"/>
      <c r="L288" s="761"/>
      <c r="M288" s="760"/>
      <c r="N288" s="31"/>
      <c r="O288" s="31"/>
      <c r="P288" s="31"/>
      <c r="Q288" s="31"/>
      <c r="R288" s="31"/>
      <c r="S288" s="31"/>
      <c r="T288" s="762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</row>
    <row r="289">
      <c r="A289" s="31"/>
      <c r="B289" s="31"/>
      <c r="C289" s="31"/>
      <c r="D289" s="31"/>
      <c r="E289" s="187"/>
      <c r="F289" s="31"/>
      <c r="G289" s="31"/>
      <c r="H289" s="31"/>
      <c r="I289" s="31"/>
      <c r="J289" s="31"/>
      <c r="K289" s="760"/>
      <c r="L289" s="761"/>
      <c r="M289" s="760"/>
      <c r="N289" s="31"/>
      <c r="O289" s="31"/>
      <c r="P289" s="31"/>
      <c r="Q289" s="31"/>
      <c r="R289" s="31"/>
      <c r="S289" s="31"/>
      <c r="T289" s="762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</row>
    <row r="290">
      <c r="A290" s="31"/>
      <c r="B290" s="31"/>
      <c r="C290" s="31"/>
      <c r="D290" s="31"/>
      <c r="E290" s="187"/>
      <c r="F290" s="31"/>
      <c r="G290" s="31"/>
      <c r="H290" s="31"/>
      <c r="I290" s="31"/>
      <c r="J290" s="31"/>
      <c r="K290" s="760"/>
      <c r="L290" s="761"/>
      <c r="M290" s="760"/>
      <c r="N290" s="31"/>
      <c r="O290" s="31"/>
      <c r="P290" s="31"/>
      <c r="Q290" s="31"/>
      <c r="R290" s="31"/>
      <c r="S290" s="31"/>
      <c r="T290" s="762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</row>
    <row r="291">
      <c r="A291" s="31"/>
      <c r="B291" s="31"/>
      <c r="C291" s="31"/>
      <c r="D291" s="31"/>
      <c r="E291" s="187"/>
      <c r="F291" s="31"/>
      <c r="G291" s="31"/>
      <c r="H291" s="31"/>
      <c r="I291" s="31"/>
      <c r="J291" s="31"/>
      <c r="K291" s="760"/>
      <c r="L291" s="761"/>
      <c r="M291" s="760"/>
      <c r="N291" s="31"/>
      <c r="O291" s="31"/>
      <c r="P291" s="31"/>
      <c r="Q291" s="31"/>
      <c r="R291" s="31"/>
      <c r="S291" s="31"/>
      <c r="T291" s="762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</row>
    <row r="292">
      <c r="A292" s="31"/>
      <c r="B292" s="31"/>
      <c r="C292" s="31"/>
      <c r="D292" s="31"/>
      <c r="E292" s="187"/>
      <c r="F292" s="31"/>
      <c r="G292" s="31"/>
      <c r="H292" s="31"/>
      <c r="I292" s="31"/>
      <c r="J292" s="31"/>
      <c r="K292" s="760"/>
      <c r="L292" s="761"/>
      <c r="M292" s="760"/>
      <c r="N292" s="31"/>
      <c r="O292" s="31"/>
      <c r="P292" s="31"/>
      <c r="Q292" s="31"/>
      <c r="R292" s="31"/>
      <c r="S292" s="31"/>
      <c r="T292" s="762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</row>
    <row r="293">
      <c r="A293" s="31"/>
      <c r="B293" s="31"/>
      <c r="C293" s="31"/>
      <c r="D293" s="31"/>
      <c r="E293" s="187"/>
      <c r="F293" s="31"/>
      <c r="G293" s="31"/>
      <c r="H293" s="31"/>
      <c r="I293" s="31"/>
      <c r="J293" s="31"/>
      <c r="K293" s="760"/>
      <c r="L293" s="761"/>
      <c r="M293" s="760"/>
      <c r="N293" s="31"/>
      <c r="O293" s="31"/>
      <c r="P293" s="31"/>
      <c r="Q293" s="31"/>
      <c r="R293" s="31"/>
      <c r="S293" s="31"/>
      <c r="T293" s="762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</row>
    <row r="294">
      <c r="A294" s="31"/>
      <c r="B294" s="31"/>
      <c r="C294" s="31"/>
      <c r="D294" s="31"/>
      <c r="E294" s="187"/>
      <c r="F294" s="31"/>
      <c r="G294" s="31"/>
      <c r="H294" s="31"/>
      <c r="I294" s="31"/>
      <c r="J294" s="31"/>
      <c r="K294" s="760"/>
      <c r="L294" s="761"/>
      <c r="M294" s="760"/>
      <c r="N294" s="31"/>
      <c r="O294" s="31"/>
      <c r="P294" s="31"/>
      <c r="Q294" s="31"/>
      <c r="R294" s="31"/>
      <c r="S294" s="31"/>
      <c r="T294" s="762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</row>
    <row r="295">
      <c r="A295" s="31"/>
      <c r="B295" s="31"/>
      <c r="C295" s="31"/>
      <c r="D295" s="31"/>
      <c r="E295" s="187"/>
      <c r="F295" s="31"/>
      <c r="G295" s="31"/>
      <c r="H295" s="31"/>
      <c r="I295" s="31"/>
      <c r="J295" s="31"/>
      <c r="K295" s="760"/>
      <c r="L295" s="761"/>
      <c r="M295" s="760"/>
      <c r="N295" s="31"/>
      <c r="O295" s="31"/>
      <c r="P295" s="31"/>
      <c r="Q295" s="31"/>
      <c r="R295" s="31"/>
      <c r="S295" s="31"/>
      <c r="T295" s="762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</row>
    <row r="296">
      <c r="A296" s="31"/>
      <c r="B296" s="31"/>
      <c r="C296" s="31"/>
      <c r="D296" s="31"/>
      <c r="E296" s="187"/>
      <c r="F296" s="31"/>
      <c r="G296" s="31"/>
      <c r="H296" s="31"/>
      <c r="I296" s="31"/>
      <c r="J296" s="31"/>
      <c r="K296" s="760"/>
      <c r="L296" s="761"/>
      <c r="M296" s="760"/>
      <c r="N296" s="31"/>
      <c r="O296" s="31"/>
      <c r="P296" s="31"/>
      <c r="Q296" s="31"/>
      <c r="R296" s="31"/>
      <c r="S296" s="31"/>
      <c r="T296" s="762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</row>
    <row r="297">
      <c r="A297" s="31"/>
      <c r="B297" s="31"/>
      <c r="C297" s="31"/>
      <c r="D297" s="31"/>
      <c r="E297" s="187"/>
      <c r="F297" s="31"/>
      <c r="G297" s="31"/>
      <c r="H297" s="31"/>
      <c r="I297" s="31"/>
      <c r="J297" s="31"/>
      <c r="K297" s="760"/>
      <c r="L297" s="761"/>
      <c r="M297" s="760"/>
      <c r="N297" s="31"/>
      <c r="O297" s="31"/>
      <c r="P297" s="31"/>
      <c r="Q297" s="31"/>
      <c r="R297" s="31"/>
      <c r="S297" s="31"/>
      <c r="T297" s="762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</row>
    <row r="298">
      <c r="A298" s="31"/>
      <c r="B298" s="31"/>
      <c r="C298" s="31"/>
      <c r="D298" s="31"/>
      <c r="E298" s="187"/>
      <c r="F298" s="31"/>
      <c r="G298" s="31"/>
      <c r="H298" s="31"/>
      <c r="I298" s="31"/>
      <c r="J298" s="31"/>
      <c r="K298" s="760"/>
      <c r="L298" s="761"/>
      <c r="M298" s="760"/>
      <c r="N298" s="31"/>
      <c r="O298" s="31"/>
      <c r="P298" s="31"/>
      <c r="Q298" s="31"/>
      <c r="R298" s="31"/>
      <c r="S298" s="31"/>
      <c r="T298" s="762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</row>
    <row r="299">
      <c r="A299" s="31"/>
      <c r="B299" s="31"/>
      <c r="C299" s="31"/>
      <c r="D299" s="31"/>
      <c r="E299" s="187"/>
      <c r="F299" s="31"/>
      <c r="G299" s="31"/>
      <c r="H299" s="31"/>
      <c r="I299" s="31"/>
      <c r="J299" s="31"/>
      <c r="K299" s="760"/>
      <c r="L299" s="761"/>
      <c r="M299" s="760"/>
      <c r="N299" s="31"/>
      <c r="O299" s="31"/>
      <c r="P299" s="31"/>
      <c r="Q299" s="31"/>
      <c r="R299" s="31"/>
      <c r="S299" s="31"/>
      <c r="T299" s="762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</row>
    <row r="300">
      <c r="A300" s="31"/>
      <c r="B300" s="31"/>
      <c r="C300" s="31"/>
      <c r="D300" s="31"/>
      <c r="E300" s="187"/>
      <c r="F300" s="31"/>
      <c r="G300" s="31"/>
      <c r="H300" s="31"/>
      <c r="I300" s="31"/>
      <c r="J300" s="31"/>
      <c r="K300" s="760"/>
      <c r="L300" s="761"/>
      <c r="M300" s="760"/>
      <c r="N300" s="31"/>
      <c r="O300" s="31"/>
      <c r="P300" s="31"/>
      <c r="Q300" s="31"/>
      <c r="R300" s="31"/>
      <c r="S300" s="31"/>
      <c r="T300" s="762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</row>
    <row r="301">
      <c r="A301" s="31"/>
      <c r="B301" s="31"/>
      <c r="C301" s="31"/>
      <c r="D301" s="31"/>
      <c r="E301" s="187"/>
      <c r="F301" s="31"/>
      <c r="G301" s="31"/>
      <c r="H301" s="31"/>
      <c r="I301" s="31"/>
      <c r="J301" s="31"/>
      <c r="K301" s="760"/>
      <c r="L301" s="761"/>
      <c r="M301" s="760"/>
      <c r="N301" s="31"/>
      <c r="O301" s="31"/>
      <c r="P301" s="31"/>
      <c r="Q301" s="31"/>
      <c r="R301" s="31"/>
      <c r="S301" s="31"/>
      <c r="T301" s="762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</row>
    <row r="302">
      <c r="A302" s="31"/>
      <c r="B302" s="31"/>
      <c r="C302" s="31"/>
      <c r="D302" s="31"/>
      <c r="E302" s="187"/>
      <c r="F302" s="31"/>
      <c r="G302" s="31"/>
      <c r="H302" s="31"/>
      <c r="I302" s="31"/>
      <c r="J302" s="31"/>
      <c r="K302" s="760"/>
      <c r="L302" s="761"/>
      <c r="M302" s="760"/>
      <c r="N302" s="31"/>
      <c r="O302" s="31"/>
      <c r="P302" s="31"/>
      <c r="Q302" s="31"/>
      <c r="R302" s="31"/>
      <c r="S302" s="31"/>
      <c r="T302" s="762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</row>
    <row r="303">
      <c r="A303" s="31"/>
      <c r="B303" s="31"/>
      <c r="C303" s="31"/>
      <c r="D303" s="31"/>
      <c r="E303" s="187"/>
      <c r="F303" s="31"/>
      <c r="G303" s="31"/>
      <c r="H303" s="31"/>
      <c r="I303" s="31"/>
      <c r="J303" s="31"/>
      <c r="K303" s="760"/>
      <c r="L303" s="761"/>
      <c r="M303" s="760"/>
      <c r="N303" s="31"/>
      <c r="O303" s="31"/>
      <c r="P303" s="31"/>
      <c r="Q303" s="31"/>
      <c r="R303" s="31"/>
      <c r="S303" s="31"/>
      <c r="T303" s="762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</row>
    <row r="304">
      <c r="A304" s="31"/>
      <c r="B304" s="31"/>
      <c r="C304" s="31"/>
      <c r="D304" s="31"/>
      <c r="E304" s="187"/>
      <c r="F304" s="31"/>
      <c r="G304" s="31"/>
      <c r="H304" s="31"/>
      <c r="I304" s="31"/>
      <c r="J304" s="31"/>
      <c r="K304" s="760"/>
      <c r="L304" s="761"/>
      <c r="M304" s="760"/>
      <c r="N304" s="31"/>
      <c r="O304" s="31"/>
      <c r="P304" s="31"/>
      <c r="Q304" s="31"/>
      <c r="R304" s="31"/>
      <c r="S304" s="31"/>
      <c r="T304" s="762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</row>
    <row r="305">
      <c r="A305" s="31"/>
      <c r="B305" s="31"/>
      <c r="C305" s="31"/>
      <c r="D305" s="31"/>
      <c r="E305" s="187"/>
      <c r="F305" s="31"/>
      <c r="G305" s="31"/>
      <c r="H305" s="31"/>
      <c r="I305" s="31"/>
      <c r="J305" s="31"/>
      <c r="K305" s="760"/>
      <c r="L305" s="761"/>
      <c r="M305" s="760"/>
      <c r="N305" s="31"/>
      <c r="O305" s="31"/>
      <c r="P305" s="31"/>
      <c r="Q305" s="31"/>
      <c r="R305" s="31"/>
      <c r="S305" s="31"/>
      <c r="T305" s="762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</row>
    <row r="306">
      <c r="A306" s="31"/>
      <c r="B306" s="31"/>
      <c r="C306" s="31"/>
      <c r="D306" s="31"/>
      <c r="E306" s="187"/>
      <c r="F306" s="31"/>
      <c r="G306" s="31"/>
      <c r="H306" s="31"/>
      <c r="I306" s="31"/>
      <c r="J306" s="31"/>
      <c r="K306" s="760"/>
      <c r="L306" s="761"/>
      <c r="M306" s="760"/>
      <c r="N306" s="31"/>
      <c r="O306" s="31"/>
      <c r="P306" s="31"/>
      <c r="Q306" s="31"/>
      <c r="R306" s="31"/>
      <c r="S306" s="31"/>
      <c r="T306" s="762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</row>
    <row r="307">
      <c r="A307" s="31"/>
      <c r="B307" s="31"/>
      <c r="C307" s="31"/>
      <c r="D307" s="31"/>
      <c r="E307" s="187"/>
      <c r="F307" s="31"/>
      <c r="G307" s="31"/>
      <c r="H307" s="31"/>
      <c r="I307" s="31"/>
      <c r="J307" s="31"/>
      <c r="K307" s="760"/>
      <c r="L307" s="761"/>
      <c r="M307" s="760"/>
      <c r="N307" s="31"/>
      <c r="O307" s="31"/>
      <c r="P307" s="31"/>
      <c r="Q307" s="31"/>
      <c r="R307" s="31"/>
      <c r="S307" s="31"/>
      <c r="T307" s="762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</row>
    <row r="308">
      <c r="A308" s="31"/>
      <c r="B308" s="31"/>
      <c r="C308" s="31"/>
      <c r="D308" s="31"/>
      <c r="E308" s="187"/>
      <c r="F308" s="31"/>
      <c r="G308" s="31"/>
      <c r="H308" s="31"/>
      <c r="I308" s="31"/>
      <c r="J308" s="31"/>
      <c r="K308" s="760"/>
      <c r="L308" s="761"/>
      <c r="M308" s="760"/>
      <c r="N308" s="31"/>
      <c r="O308" s="31"/>
      <c r="P308" s="31"/>
      <c r="Q308" s="31"/>
      <c r="R308" s="31"/>
      <c r="S308" s="31"/>
      <c r="T308" s="762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</row>
    <row r="309">
      <c r="A309" s="31"/>
      <c r="B309" s="31"/>
      <c r="C309" s="31"/>
      <c r="D309" s="31"/>
      <c r="E309" s="187"/>
      <c r="F309" s="31"/>
      <c r="G309" s="31"/>
      <c r="H309" s="31"/>
      <c r="I309" s="31"/>
      <c r="J309" s="31"/>
      <c r="K309" s="760"/>
      <c r="L309" s="761"/>
      <c r="M309" s="760"/>
      <c r="N309" s="31"/>
      <c r="O309" s="31"/>
      <c r="P309" s="31"/>
      <c r="Q309" s="31"/>
      <c r="R309" s="31"/>
      <c r="S309" s="31"/>
      <c r="T309" s="762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</row>
    <row r="310">
      <c r="A310" s="31"/>
      <c r="B310" s="31"/>
      <c r="C310" s="31"/>
      <c r="D310" s="31"/>
      <c r="E310" s="187"/>
      <c r="F310" s="31"/>
      <c r="G310" s="31"/>
      <c r="H310" s="31"/>
      <c r="I310" s="31"/>
      <c r="J310" s="31"/>
      <c r="K310" s="760"/>
      <c r="L310" s="761"/>
      <c r="M310" s="760"/>
      <c r="N310" s="31"/>
      <c r="O310" s="31"/>
      <c r="P310" s="31"/>
      <c r="Q310" s="31"/>
      <c r="R310" s="31"/>
      <c r="S310" s="31"/>
      <c r="T310" s="762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</row>
    <row r="311">
      <c r="A311" s="31"/>
      <c r="B311" s="31"/>
      <c r="C311" s="31"/>
      <c r="D311" s="31"/>
      <c r="E311" s="187"/>
      <c r="F311" s="31"/>
      <c r="G311" s="31"/>
      <c r="H311" s="31"/>
      <c r="I311" s="31"/>
      <c r="J311" s="31"/>
      <c r="K311" s="760"/>
      <c r="L311" s="761"/>
      <c r="M311" s="760"/>
      <c r="N311" s="31"/>
      <c r="O311" s="31"/>
      <c r="P311" s="31"/>
      <c r="Q311" s="31"/>
      <c r="R311" s="31"/>
      <c r="S311" s="31"/>
      <c r="T311" s="762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</row>
    <row r="312">
      <c r="A312" s="31"/>
      <c r="B312" s="31"/>
      <c r="C312" s="31"/>
      <c r="D312" s="31"/>
      <c r="E312" s="187"/>
      <c r="F312" s="31"/>
      <c r="G312" s="31"/>
      <c r="H312" s="31"/>
      <c r="I312" s="31"/>
      <c r="J312" s="31"/>
      <c r="K312" s="760"/>
      <c r="L312" s="761"/>
      <c r="M312" s="760"/>
      <c r="N312" s="31"/>
      <c r="O312" s="31"/>
      <c r="P312" s="31"/>
      <c r="Q312" s="31"/>
      <c r="R312" s="31"/>
      <c r="S312" s="31"/>
      <c r="T312" s="762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</row>
    <row r="313">
      <c r="A313" s="31"/>
      <c r="B313" s="31"/>
      <c r="C313" s="31"/>
      <c r="D313" s="31"/>
      <c r="E313" s="187"/>
      <c r="F313" s="31"/>
      <c r="G313" s="31"/>
      <c r="H313" s="31"/>
      <c r="I313" s="31"/>
      <c r="J313" s="31"/>
      <c r="K313" s="760"/>
      <c r="L313" s="761"/>
      <c r="M313" s="760"/>
      <c r="N313" s="31"/>
      <c r="O313" s="31"/>
      <c r="P313" s="31"/>
      <c r="Q313" s="31"/>
      <c r="R313" s="31"/>
      <c r="S313" s="31"/>
      <c r="T313" s="762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</row>
    <row r="314">
      <c r="A314" s="31"/>
      <c r="B314" s="31"/>
      <c r="C314" s="31"/>
      <c r="D314" s="31"/>
      <c r="E314" s="187"/>
      <c r="F314" s="31"/>
      <c r="G314" s="31"/>
      <c r="H314" s="31"/>
      <c r="I314" s="31"/>
      <c r="J314" s="31"/>
      <c r="K314" s="760"/>
      <c r="L314" s="761"/>
      <c r="M314" s="760"/>
      <c r="N314" s="31"/>
      <c r="O314" s="31"/>
      <c r="P314" s="31"/>
      <c r="Q314" s="31"/>
      <c r="R314" s="31"/>
      <c r="S314" s="31"/>
      <c r="T314" s="762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</row>
    <row r="315">
      <c r="A315" s="31"/>
      <c r="B315" s="31"/>
      <c r="C315" s="31"/>
      <c r="D315" s="31"/>
      <c r="E315" s="187"/>
      <c r="F315" s="31"/>
      <c r="G315" s="31"/>
      <c r="H315" s="31"/>
      <c r="I315" s="31"/>
      <c r="J315" s="31"/>
      <c r="K315" s="760"/>
      <c r="L315" s="761"/>
      <c r="M315" s="760"/>
      <c r="N315" s="31"/>
      <c r="O315" s="31"/>
      <c r="P315" s="31"/>
      <c r="Q315" s="31"/>
      <c r="R315" s="31"/>
      <c r="S315" s="31"/>
      <c r="T315" s="762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</row>
    <row r="316">
      <c r="A316" s="31"/>
      <c r="B316" s="31"/>
      <c r="C316" s="31"/>
      <c r="D316" s="31"/>
      <c r="E316" s="187"/>
      <c r="F316" s="31"/>
      <c r="G316" s="31"/>
      <c r="H316" s="31"/>
      <c r="I316" s="31"/>
      <c r="J316" s="31"/>
      <c r="K316" s="760"/>
      <c r="L316" s="761"/>
      <c r="M316" s="760"/>
      <c r="N316" s="31"/>
      <c r="O316" s="31"/>
      <c r="P316" s="31"/>
      <c r="Q316" s="31"/>
      <c r="R316" s="31"/>
      <c r="S316" s="31"/>
      <c r="T316" s="762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</row>
    <row r="317">
      <c r="A317" s="31"/>
      <c r="B317" s="31"/>
      <c r="C317" s="31"/>
      <c r="D317" s="31"/>
      <c r="E317" s="187"/>
      <c r="F317" s="31"/>
      <c r="G317" s="31"/>
      <c r="H317" s="31"/>
      <c r="I317" s="31"/>
      <c r="J317" s="31"/>
      <c r="K317" s="760"/>
      <c r="L317" s="761"/>
      <c r="M317" s="760"/>
      <c r="N317" s="31"/>
      <c r="O317" s="31"/>
      <c r="P317" s="31"/>
      <c r="Q317" s="31"/>
      <c r="R317" s="31"/>
      <c r="S317" s="31"/>
      <c r="T317" s="762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</row>
    <row r="318">
      <c r="A318" s="31"/>
      <c r="B318" s="31"/>
      <c r="C318" s="31"/>
      <c r="D318" s="31"/>
      <c r="E318" s="187"/>
      <c r="F318" s="31"/>
      <c r="G318" s="31"/>
      <c r="H318" s="31"/>
      <c r="I318" s="31"/>
      <c r="J318" s="31"/>
      <c r="K318" s="760"/>
      <c r="L318" s="761"/>
      <c r="M318" s="760"/>
      <c r="N318" s="31"/>
      <c r="O318" s="31"/>
      <c r="P318" s="31"/>
      <c r="Q318" s="31"/>
      <c r="R318" s="31"/>
      <c r="S318" s="31"/>
      <c r="T318" s="762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</row>
    <row r="319">
      <c r="A319" s="31"/>
      <c r="B319" s="31"/>
      <c r="C319" s="31"/>
      <c r="D319" s="31"/>
      <c r="E319" s="187"/>
      <c r="F319" s="31"/>
      <c r="G319" s="31"/>
      <c r="H319" s="31"/>
      <c r="I319" s="31"/>
      <c r="J319" s="31"/>
      <c r="K319" s="760"/>
      <c r="L319" s="761"/>
      <c r="M319" s="760"/>
      <c r="N319" s="31"/>
      <c r="O319" s="31"/>
      <c r="P319" s="31"/>
      <c r="Q319" s="31"/>
      <c r="R319" s="31"/>
      <c r="S319" s="31"/>
      <c r="T319" s="762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</row>
    <row r="320">
      <c r="A320" s="31"/>
      <c r="B320" s="31"/>
      <c r="C320" s="31"/>
      <c r="D320" s="31"/>
      <c r="E320" s="187"/>
      <c r="F320" s="31"/>
      <c r="G320" s="31"/>
      <c r="H320" s="31"/>
      <c r="I320" s="31"/>
      <c r="J320" s="31"/>
      <c r="K320" s="760"/>
      <c r="L320" s="761"/>
      <c r="M320" s="760"/>
      <c r="N320" s="31"/>
      <c r="O320" s="31"/>
      <c r="P320" s="31"/>
      <c r="Q320" s="31"/>
      <c r="R320" s="31"/>
      <c r="S320" s="31"/>
      <c r="T320" s="762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</row>
    <row r="321">
      <c r="A321" s="31"/>
      <c r="B321" s="31"/>
      <c r="C321" s="31"/>
      <c r="D321" s="31"/>
      <c r="E321" s="187"/>
      <c r="F321" s="31"/>
      <c r="G321" s="31"/>
      <c r="H321" s="31"/>
      <c r="I321" s="31"/>
      <c r="J321" s="31"/>
      <c r="K321" s="760"/>
      <c r="L321" s="761"/>
      <c r="M321" s="760"/>
      <c r="N321" s="31"/>
      <c r="O321" s="31"/>
      <c r="P321" s="31"/>
      <c r="Q321" s="31"/>
      <c r="R321" s="31"/>
      <c r="S321" s="31"/>
      <c r="T321" s="762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</row>
    <row r="322">
      <c r="A322" s="31"/>
      <c r="B322" s="31"/>
      <c r="C322" s="31"/>
      <c r="D322" s="31"/>
      <c r="E322" s="187"/>
      <c r="F322" s="31"/>
      <c r="G322" s="31"/>
      <c r="H322" s="31"/>
      <c r="I322" s="31"/>
      <c r="J322" s="31"/>
      <c r="K322" s="760"/>
      <c r="L322" s="761"/>
      <c r="M322" s="760"/>
      <c r="N322" s="31"/>
      <c r="O322" s="31"/>
      <c r="P322" s="31"/>
      <c r="Q322" s="31"/>
      <c r="R322" s="31"/>
      <c r="S322" s="31"/>
      <c r="T322" s="762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</row>
    <row r="323">
      <c r="A323" s="31"/>
      <c r="B323" s="31"/>
      <c r="C323" s="31"/>
      <c r="D323" s="31"/>
      <c r="E323" s="187"/>
      <c r="F323" s="31"/>
      <c r="G323" s="31"/>
      <c r="H323" s="31"/>
      <c r="I323" s="31"/>
      <c r="J323" s="31"/>
      <c r="K323" s="760"/>
      <c r="L323" s="761"/>
      <c r="M323" s="760"/>
      <c r="N323" s="31"/>
      <c r="O323" s="31"/>
      <c r="P323" s="31"/>
      <c r="Q323" s="31"/>
      <c r="R323" s="31"/>
      <c r="S323" s="31"/>
      <c r="T323" s="762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</row>
    <row r="324">
      <c r="A324" s="31"/>
      <c r="B324" s="31"/>
      <c r="C324" s="31"/>
      <c r="D324" s="31"/>
      <c r="E324" s="187"/>
      <c r="F324" s="31"/>
      <c r="G324" s="31"/>
      <c r="H324" s="31"/>
      <c r="I324" s="31"/>
      <c r="J324" s="31"/>
      <c r="K324" s="760"/>
      <c r="L324" s="761"/>
      <c r="M324" s="760"/>
      <c r="N324" s="31"/>
      <c r="O324" s="31"/>
      <c r="P324" s="31"/>
      <c r="Q324" s="31"/>
      <c r="R324" s="31"/>
      <c r="S324" s="31"/>
      <c r="T324" s="762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</row>
    <row r="325">
      <c r="A325" s="31"/>
      <c r="B325" s="31"/>
      <c r="C325" s="31"/>
      <c r="D325" s="31"/>
      <c r="E325" s="187"/>
      <c r="F325" s="31"/>
      <c r="G325" s="31"/>
      <c r="H325" s="31"/>
      <c r="I325" s="31"/>
      <c r="J325" s="31"/>
      <c r="K325" s="760"/>
      <c r="L325" s="761"/>
      <c r="M325" s="760"/>
      <c r="N325" s="31"/>
      <c r="O325" s="31"/>
      <c r="P325" s="31"/>
      <c r="Q325" s="31"/>
      <c r="R325" s="31"/>
      <c r="S325" s="31"/>
      <c r="T325" s="762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</row>
    <row r="326">
      <c r="A326" s="31"/>
      <c r="B326" s="31"/>
      <c r="C326" s="31"/>
      <c r="D326" s="31"/>
      <c r="E326" s="187"/>
      <c r="F326" s="31"/>
      <c r="G326" s="31"/>
      <c r="H326" s="31"/>
      <c r="I326" s="31"/>
      <c r="J326" s="31"/>
      <c r="K326" s="760"/>
      <c r="L326" s="761"/>
      <c r="M326" s="760"/>
      <c r="N326" s="31"/>
      <c r="O326" s="31"/>
      <c r="P326" s="31"/>
      <c r="Q326" s="31"/>
      <c r="R326" s="31"/>
      <c r="S326" s="31"/>
      <c r="T326" s="762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</row>
    <row r="327">
      <c r="A327" s="31"/>
      <c r="B327" s="31"/>
      <c r="C327" s="31"/>
      <c r="D327" s="31"/>
      <c r="E327" s="187"/>
      <c r="F327" s="31"/>
      <c r="G327" s="31"/>
      <c r="H327" s="31"/>
      <c r="I327" s="31"/>
      <c r="J327" s="31"/>
      <c r="K327" s="760"/>
      <c r="L327" s="761"/>
      <c r="M327" s="760"/>
      <c r="N327" s="31"/>
      <c r="O327" s="31"/>
      <c r="P327" s="31"/>
      <c r="Q327" s="31"/>
      <c r="R327" s="31"/>
      <c r="S327" s="31"/>
      <c r="T327" s="762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</row>
    <row r="328">
      <c r="A328" s="31"/>
      <c r="B328" s="31"/>
      <c r="C328" s="31"/>
      <c r="D328" s="31"/>
      <c r="E328" s="187"/>
      <c r="F328" s="31"/>
      <c r="G328" s="31"/>
      <c r="H328" s="31"/>
      <c r="I328" s="31"/>
      <c r="J328" s="31"/>
      <c r="K328" s="760"/>
      <c r="L328" s="761"/>
      <c r="M328" s="760"/>
      <c r="N328" s="31"/>
      <c r="O328" s="31"/>
      <c r="P328" s="31"/>
      <c r="Q328" s="31"/>
      <c r="R328" s="31"/>
      <c r="S328" s="31"/>
      <c r="T328" s="762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</row>
    <row r="329">
      <c r="A329" s="31"/>
      <c r="B329" s="31"/>
      <c r="C329" s="31"/>
      <c r="D329" s="31"/>
      <c r="E329" s="187"/>
      <c r="F329" s="31"/>
      <c r="G329" s="31"/>
      <c r="H329" s="31"/>
      <c r="I329" s="31"/>
      <c r="J329" s="31"/>
      <c r="K329" s="760"/>
      <c r="L329" s="761"/>
      <c r="M329" s="760"/>
      <c r="N329" s="31"/>
      <c r="O329" s="31"/>
      <c r="P329" s="31"/>
      <c r="Q329" s="31"/>
      <c r="R329" s="31"/>
      <c r="S329" s="31"/>
      <c r="T329" s="762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</row>
    <row r="330">
      <c r="A330" s="31"/>
      <c r="B330" s="31"/>
      <c r="C330" s="31"/>
      <c r="D330" s="31"/>
      <c r="E330" s="187"/>
      <c r="F330" s="31"/>
      <c r="G330" s="31"/>
      <c r="H330" s="31"/>
      <c r="I330" s="31"/>
      <c r="J330" s="31"/>
      <c r="K330" s="760"/>
      <c r="L330" s="761"/>
      <c r="M330" s="760"/>
      <c r="N330" s="31"/>
      <c r="O330" s="31"/>
      <c r="P330" s="31"/>
      <c r="Q330" s="31"/>
      <c r="R330" s="31"/>
      <c r="S330" s="31"/>
      <c r="T330" s="762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</row>
    <row r="331">
      <c r="A331" s="31"/>
      <c r="B331" s="31"/>
      <c r="C331" s="31"/>
      <c r="D331" s="31"/>
      <c r="E331" s="187"/>
      <c r="F331" s="31"/>
      <c r="G331" s="31"/>
      <c r="H331" s="31"/>
      <c r="I331" s="31"/>
      <c r="J331" s="31"/>
      <c r="K331" s="760"/>
      <c r="L331" s="761"/>
      <c r="M331" s="760"/>
      <c r="N331" s="31"/>
      <c r="O331" s="31"/>
      <c r="P331" s="31"/>
      <c r="Q331" s="31"/>
      <c r="R331" s="31"/>
      <c r="S331" s="31"/>
      <c r="T331" s="762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</row>
    <row r="332">
      <c r="A332" s="31"/>
      <c r="B332" s="31"/>
      <c r="C332" s="31"/>
      <c r="D332" s="31"/>
      <c r="E332" s="187"/>
      <c r="F332" s="31"/>
      <c r="G332" s="31"/>
      <c r="H332" s="31"/>
      <c r="I332" s="31"/>
      <c r="J332" s="31"/>
      <c r="K332" s="760"/>
      <c r="L332" s="761"/>
      <c r="M332" s="760"/>
      <c r="N332" s="31"/>
      <c r="O332" s="31"/>
      <c r="P332" s="31"/>
      <c r="Q332" s="31"/>
      <c r="R332" s="31"/>
      <c r="S332" s="31"/>
      <c r="T332" s="762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</row>
    <row r="333">
      <c r="A333" s="31"/>
      <c r="B333" s="31"/>
      <c r="C333" s="31"/>
      <c r="D333" s="31"/>
      <c r="E333" s="187"/>
      <c r="F333" s="31"/>
      <c r="G333" s="31"/>
      <c r="H333" s="31"/>
      <c r="I333" s="31"/>
      <c r="J333" s="31"/>
      <c r="K333" s="760"/>
      <c r="L333" s="761"/>
      <c r="M333" s="760"/>
      <c r="N333" s="31"/>
      <c r="O333" s="31"/>
      <c r="P333" s="31"/>
      <c r="Q333" s="31"/>
      <c r="R333" s="31"/>
      <c r="S333" s="31"/>
      <c r="T333" s="762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</row>
    <row r="334">
      <c r="A334" s="31"/>
      <c r="B334" s="31"/>
      <c r="C334" s="31"/>
      <c r="D334" s="31"/>
      <c r="E334" s="187"/>
      <c r="F334" s="31"/>
      <c r="G334" s="31"/>
      <c r="H334" s="31"/>
      <c r="I334" s="31"/>
      <c r="J334" s="31"/>
      <c r="K334" s="760"/>
      <c r="L334" s="761"/>
      <c r="M334" s="760"/>
      <c r="N334" s="31"/>
      <c r="O334" s="31"/>
      <c r="P334" s="31"/>
      <c r="Q334" s="31"/>
      <c r="R334" s="31"/>
      <c r="S334" s="31"/>
      <c r="T334" s="762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</row>
    <row r="335">
      <c r="A335" s="31"/>
      <c r="B335" s="31"/>
      <c r="C335" s="31"/>
      <c r="D335" s="31"/>
      <c r="E335" s="187"/>
      <c r="F335" s="31"/>
      <c r="G335" s="31"/>
      <c r="H335" s="31"/>
      <c r="I335" s="31"/>
      <c r="J335" s="31"/>
      <c r="K335" s="760"/>
      <c r="L335" s="761"/>
      <c r="M335" s="760"/>
      <c r="N335" s="31"/>
      <c r="O335" s="31"/>
      <c r="P335" s="31"/>
      <c r="Q335" s="31"/>
      <c r="R335" s="31"/>
      <c r="S335" s="31"/>
      <c r="T335" s="762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</row>
    <row r="336">
      <c r="A336" s="31"/>
      <c r="B336" s="31"/>
      <c r="C336" s="31"/>
      <c r="D336" s="31"/>
      <c r="E336" s="187"/>
      <c r="F336" s="31"/>
      <c r="G336" s="31"/>
      <c r="H336" s="31"/>
      <c r="I336" s="31"/>
      <c r="J336" s="31"/>
      <c r="K336" s="760"/>
      <c r="L336" s="761"/>
      <c r="M336" s="760"/>
      <c r="N336" s="31"/>
      <c r="O336" s="31"/>
      <c r="P336" s="31"/>
      <c r="Q336" s="31"/>
      <c r="R336" s="31"/>
      <c r="S336" s="31"/>
      <c r="T336" s="762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</row>
    <row r="337">
      <c r="A337" s="31"/>
      <c r="B337" s="31"/>
      <c r="C337" s="31"/>
      <c r="D337" s="31"/>
      <c r="E337" s="187"/>
      <c r="F337" s="31"/>
      <c r="G337" s="31"/>
      <c r="H337" s="31"/>
      <c r="I337" s="31"/>
      <c r="J337" s="31"/>
      <c r="K337" s="760"/>
      <c r="L337" s="761"/>
      <c r="M337" s="760"/>
      <c r="N337" s="31"/>
      <c r="O337" s="31"/>
      <c r="P337" s="31"/>
      <c r="Q337" s="31"/>
      <c r="R337" s="31"/>
      <c r="S337" s="31"/>
      <c r="T337" s="762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</row>
    <row r="338">
      <c r="A338" s="31"/>
      <c r="B338" s="31"/>
      <c r="C338" s="31"/>
      <c r="D338" s="31"/>
      <c r="E338" s="187"/>
      <c r="F338" s="31"/>
      <c r="G338" s="31"/>
      <c r="H338" s="31"/>
      <c r="I338" s="31"/>
      <c r="J338" s="31"/>
      <c r="K338" s="760"/>
      <c r="L338" s="761"/>
      <c r="M338" s="760"/>
      <c r="N338" s="31"/>
      <c r="O338" s="31"/>
      <c r="P338" s="31"/>
      <c r="Q338" s="31"/>
      <c r="R338" s="31"/>
      <c r="S338" s="31"/>
      <c r="T338" s="762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</row>
    <row r="339">
      <c r="A339" s="31"/>
      <c r="B339" s="31"/>
      <c r="C339" s="31"/>
      <c r="D339" s="31"/>
      <c r="E339" s="187"/>
      <c r="F339" s="31"/>
      <c r="G339" s="31"/>
      <c r="H339" s="31"/>
      <c r="I339" s="31"/>
      <c r="J339" s="31"/>
      <c r="K339" s="760"/>
      <c r="L339" s="761"/>
      <c r="M339" s="760"/>
      <c r="N339" s="31"/>
      <c r="O339" s="31"/>
      <c r="P339" s="31"/>
      <c r="Q339" s="31"/>
      <c r="R339" s="31"/>
      <c r="S339" s="31"/>
      <c r="T339" s="762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</row>
    <row r="340">
      <c r="A340" s="31"/>
      <c r="B340" s="31"/>
      <c r="C340" s="31"/>
      <c r="D340" s="31"/>
      <c r="E340" s="187"/>
      <c r="F340" s="31"/>
      <c r="G340" s="31"/>
      <c r="H340" s="31"/>
      <c r="I340" s="31"/>
      <c r="J340" s="31"/>
      <c r="K340" s="760"/>
      <c r="L340" s="761"/>
      <c r="M340" s="760"/>
      <c r="N340" s="31"/>
      <c r="O340" s="31"/>
      <c r="P340" s="31"/>
      <c r="Q340" s="31"/>
      <c r="R340" s="31"/>
      <c r="S340" s="31"/>
      <c r="T340" s="762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</row>
    <row r="341">
      <c r="A341" s="31"/>
      <c r="B341" s="31"/>
      <c r="C341" s="31"/>
      <c r="D341" s="31"/>
      <c r="E341" s="187"/>
      <c r="F341" s="31"/>
      <c r="G341" s="31"/>
      <c r="H341" s="31"/>
      <c r="I341" s="31"/>
      <c r="J341" s="31"/>
      <c r="K341" s="760"/>
      <c r="L341" s="761"/>
      <c r="M341" s="760"/>
      <c r="N341" s="31"/>
      <c r="O341" s="31"/>
      <c r="P341" s="31"/>
      <c r="Q341" s="31"/>
      <c r="R341" s="31"/>
      <c r="S341" s="31"/>
      <c r="T341" s="762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</row>
    <row r="342">
      <c r="A342" s="31"/>
      <c r="B342" s="31"/>
      <c r="C342" s="31"/>
      <c r="D342" s="31"/>
      <c r="E342" s="187"/>
      <c r="F342" s="31"/>
      <c r="G342" s="31"/>
      <c r="H342" s="31"/>
      <c r="I342" s="31"/>
      <c r="J342" s="31"/>
      <c r="K342" s="760"/>
      <c r="L342" s="761"/>
      <c r="M342" s="760"/>
      <c r="N342" s="31"/>
      <c r="O342" s="31"/>
      <c r="P342" s="31"/>
      <c r="Q342" s="31"/>
      <c r="R342" s="31"/>
      <c r="S342" s="31"/>
      <c r="T342" s="762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</row>
    <row r="343">
      <c r="A343" s="31"/>
      <c r="B343" s="31"/>
      <c r="C343" s="31"/>
      <c r="D343" s="31"/>
      <c r="E343" s="187"/>
      <c r="F343" s="31"/>
      <c r="G343" s="31"/>
      <c r="H343" s="31"/>
      <c r="I343" s="31"/>
      <c r="J343" s="31"/>
      <c r="K343" s="760"/>
      <c r="L343" s="761"/>
      <c r="M343" s="760"/>
      <c r="N343" s="31"/>
      <c r="O343" s="31"/>
      <c r="P343" s="31"/>
      <c r="Q343" s="31"/>
      <c r="R343" s="31"/>
      <c r="S343" s="31"/>
      <c r="T343" s="762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</row>
    <row r="344">
      <c r="A344" s="31"/>
      <c r="B344" s="31"/>
      <c r="C344" s="31"/>
      <c r="D344" s="31"/>
      <c r="E344" s="187"/>
      <c r="F344" s="31"/>
      <c r="G344" s="31"/>
      <c r="H344" s="31"/>
      <c r="I344" s="31"/>
      <c r="J344" s="31"/>
      <c r="K344" s="760"/>
      <c r="L344" s="761"/>
      <c r="M344" s="760"/>
      <c r="N344" s="31"/>
      <c r="O344" s="31"/>
      <c r="P344" s="31"/>
      <c r="Q344" s="31"/>
      <c r="R344" s="31"/>
      <c r="S344" s="31"/>
      <c r="T344" s="762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</row>
    <row r="345">
      <c r="A345" s="31"/>
      <c r="B345" s="31"/>
      <c r="C345" s="31"/>
      <c r="D345" s="31"/>
      <c r="E345" s="187"/>
      <c r="F345" s="31"/>
      <c r="G345" s="31"/>
      <c r="H345" s="31"/>
      <c r="I345" s="31"/>
      <c r="J345" s="31"/>
      <c r="K345" s="760"/>
      <c r="L345" s="761"/>
      <c r="M345" s="760"/>
      <c r="N345" s="31"/>
      <c r="O345" s="31"/>
      <c r="P345" s="31"/>
      <c r="Q345" s="31"/>
      <c r="R345" s="31"/>
      <c r="S345" s="31"/>
      <c r="T345" s="762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</row>
    <row r="346">
      <c r="A346" s="31"/>
      <c r="B346" s="31"/>
      <c r="C346" s="31"/>
      <c r="D346" s="31"/>
      <c r="E346" s="187"/>
      <c r="F346" s="31"/>
      <c r="G346" s="31"/>
      <c r="H346" s="31"/>
      <c r="I346" s="31"/>
      <c r="J346" s="31"/>
      <c r="K346" s="760"/>
      <c r="L346" s="761"/>
      <c r="M346" s="760"/>
      <c r="N346" s="31"/>
      <c r="O346" s="31"/>
      <c r="P346" s="31"/>
      <c r="Q346" s="31"/>
      <c r="R346" s="31"/>
      <c r="S346" s="31"/>
      <c r="T346" s="762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</row>
    <row r="347">
      <c r="A347" s="31"/>
      <c r="B347" s="31"/>
      <c r="C347" s="31"/>
      <c r="D347" s="31"/>
      <c r="E347" s="187"/>
      <c r="F347" s="31"/>
      <c r="G347" s="31"/>
      <c r="H347" s="31"/>
      <c r="I347" s="31"/>
      <c r="J347" s="31"/>
      <c r="K347" s="760"/>
      <c r="L347" s="761"/>
      <c r="M347" s="760"/>
      <c r="N347" s="31"/>
      <c r="O347" s="31"/>
      <c r="P347" s="31"/>
      <c r="Q347" s="31"/>
      <c r="R347" s="31"/>
      <c r="S347" s="31"/>
      <c r="T347" s="762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</row>
    <row r="348">
      <c r="A348" s="31"/>
      <c r="B348" s="31"/>
      <c r="C348" s="31"/>
      <c r="D348" s="31"/>
      <c r="E348" s="187"/>
      <c r="F348" s="31"/>
      <c r="G348" s="31"/>
      <c r="H348" s="31"/>
      <c r="I348" s="31"/>
      <c r="J348" s="31"/>
      <c r="K348" s="760"/>
      <c r="L348" s="761"/>
      <c r="M348" s="760"/>
      <c r="N348" s="31"/>
      <c r="O348" s="31"/>
      <c r="P348" s="31"/>
      <c r="Q348" s="31"/>
      <c r="R348" s="31"/>
      <c r="S348" s="31"/>
      <c r="T348" s="762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</row>
    <row r="349">
      <c r="A349" s="31"/>
      <c r="B349" s="31"/>
      <c r="C349" s="31"/>
      <c r="D349" s="31"/>
      <c r="E349" s="187"/>
      <c r="F349" s="31"/>
      <c r="G349" s="31"/>
      <c r="H349" s="31"/>
      <c r="I349" s="31"/>
      <c r="J349" s="31"/>
      <c r="K349" s="760"/>
      <c r="L349" s="761"/>
      <c r="M349" s="760"/>
      <c r="N349" s="31"/>
      <c r="O349" s="31"/>
      <c r="P349" s="31"/>
      <c r="Q349" s="31"/>
      <c r="R349" s="31"/>
      <c r="S349" s="31"/>
      <c r="T349" s="762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</row>
    <row r="350">
      <c r="A350" s="31"/>
      <c r="B350" s="31"/>
      <c r="C350" s="31"/>
      <c r="D350" s="31"/>
      <c r="E350" s="187"/>
      <c r="F350" s="31"/>
      <c r="G350" s="31"/>
      <c r="H350" s="31"/>
      <c r="I350" s="31"/>
      <c r="J350" s="31"/>
      <c r="K350" s="760"/>
      <c r="L350" s="761"/>
      <c r="M350" s="760"/>
      <c r="N350" s="31"/>
      <c r="O350" s="31"/>
      <c r="P350" s="31"/>
      <c r="Q350" s="31"/>
      <c r="R350" s="31"/>
      <c r="S350" s="31"/>
      <c r="T350" s="762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</row>
    <row r="351">
      <c r="A351" s="31"/>
      <c r="B351" s="31"/>
      <c r="C351" s="31"/>
      <c r="D351" s="31"/>
      <c r="E351" s="187"/>
      <c r="F351" s="31"/>
      <c r="G351" s="31"/>
      <c r="H351" s="31"/>
      <c r="I351" s="31"/>
      <c r="J351" s="31"/>
      <c r="K351" s="760"/>
      <c r="L351" s="761"/>
      <c r="M351" s="760"/>
      <c r="N351" s="31"/>
      <c r="O351" s="31"/>
      <c r="P351" s="31"/>
      <c r="Q351" s="31"/>
      <c r="R351" s="31"/>
      <c r="S351" s="31"/>
      <c r="T351" s="762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</row>
    <row r="352">
      <c r="A352" s="31"/>
      <c r="B352" s="31"/>
      <c r="C352" s="31"/>
      <c r="D352" s="31"/>
      <c r="E352" s="187"/>
      <c r="F352" s="31"/>
      <c r="G352" s="31"/>
      <c r="H352" s="31"/>
      <c r="I352" s="31"/>
      <c r="J352" s="31"/>
      <c r="K352" s="760"/>
      <c r="L352" s="761"/>
      <c r="M352" s="760"/>
      <c r="N352" s="31"/>
      <c r="O352" s="31"/>
      <c r="P352" s="31"/>
      <c r="Q352" s="31"/>
      <c r="R352" s="31"/>
      <c r="S352" s="31"/>
      <c r="T352" s="762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</row>
    <row r="353">
      <c r="A353" s="31"/>
      <c r="B353" s="31"/>
      <c r="C353" s="31"/>
      <c r="D353" s="31"/>
      <c r="E353" s="187"/>
      <c r="F353" s="31"/>
      <c r="G353" s="31"/>
      <c r="H353" s="31"/>
      <c r="I353" s="31"/>
      <c r="J353" s="31"/>
      <c r="K353" s="760"/>
      <c r="L353" s="761"/>
      <c r="M353" s="760"/>
      <c r="N353" s="31"/>
      <c r="O353" s="31"/>
      <c r="P353" s="31"/>
      <c r="Q353" s="31"/>
      <c r="R353" s="31"/>
      <c r="S353" s="31"/>
      <c r="T353" s="762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</row>
    <row r="354">
      <c r="A354" s="31"/>
      <c r="B354" s="31"/>
      <c r="C354" s="31"/>
      <c r="D354" s="31"/>
      <c r="E354" s="187"/>
      <c r="F354" s="31"/>
      <c r="G354" s="31"/>
      <c r="H354" s="31"/>
      <c r="I354" s="31"/>
      <c r="J354" s="31"/>
      <c r="K354" s="760"/>
      <c r="L354" s="761"/>
      <c r="M354" s="760"/>
      <c r="N354" s="31"/>
      <c r="O354" s="31"/>
      <c r="P354" s="31"/>
      <c r="Q354" s="31"/>
      <c r="R354" s="31"/>
      <c r="S354" s="31"/>
      <c r="T354" s="762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</row>
    <row r="355">
      <c r="A355" s="31"/>
      <c r="B355" s="31"/>
      <c r="C355" s="31"/>
      <c r="D355" s="31"/>
      <c r="E355" s="187"/>
      <c r="F355" s="31"/>
      <c r="G355" s="31"/>
      <c r="H355" s="31"/>
      <c r="I355" s="31"/>
      <c r="J355" s="31"/>
      <c r="K355" s="760"/>
      <c r="L355" s="761"/>
      <c r="M355" s="760"/>
      <c r="N355" s="31"/>
      <c r="O355" s="31"/>
      <c r="P355" s="31"/>
      <c r="Q355" s="31"/>
      <c r="R355" s="31"/>
      <c r="S355" s="31"/>
      <c r="T355" s="762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</row>
    <row r="356">
      <c r="A356" s="31"/>
      <c r="B356" s="31"/>
      <c r="C356" s="31"/>
      <c r="D356" s="31"/>
      <c r="E356" s="187"/>
      <c r="F356" s="31"/>
      <c r="G356" s="31"/>
      <c r="H356" s="31"/>
      <c r="I356" s="31"/>
      <c r="J356" s="31"/>
      <c r="K356" s="760"/>
      <c r="L356" s="761"/>
      <c r="M356" s="760"/>
      <c r="N356" s="31"/>
      <c r="O356" s="31"/>
      <c r="P356" s="31"/>
      <c r="Q356" s="31"/>
      <c r="R356" s="31"/>
      <c r="S356" s="31"/>
      <c r="T356" s="762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</row>
    <row r="357">
      <c r="A357" s="31"/>
      <c r="B357" s="31"/>
      <c r="C357" s="31"/>
      <c r="D357" s="31"/>
      <c r="E357" s="187"/>
      <c r="F357" s="31"/>
      <c r="G357" s="31"/>
      <c r="H357" s="31"/>
      <c r="I357" s="31"/>
      <c r="J357" s="31"/>
      <c r="K357" s="760"/>
      <c r="L357" s="761"/>
      <c r="M357" s="760"/>
      <c r="N357" s="31"/>
      <c r="O357" s="31"/>
      <c r="P357" s="31"/>
      <c r="Q357" s="31"/>
      <c r="R357" s="31"/>
      <c r="S357" s="31"/>
      <c r="T357" s="762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</row>
    <row r="358">
      <c r="A358" s="31"/>
      <c r="B358" s="31"/>
      <c r="C358" s="31"/>
      <c r="D358" s="31"/>
      <c r="E358" s="187"/>
      <c r="F358" s="31"/>
      <c r="G358" s="31"/>
      <c r="H358" s="31"/>
      <c r="I358" s="31"/>
      <c r="J358" s="31"/>
      <c r="K358" s="760"/>
      <c r="L358" s="761"/>
      <c r="M358" s="760"/>
      <c r="N358" s="31"/>
      <c r="O358" s="31"/>
      <c r="P358" s="31"/>
      <c r="Q358" s="31"/>
      <c r="R358" s="31"/>
      <c r="S358" s="31"/>
      <c r="T358" s="762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</row>
    <row r="359">
      <c r="A359" s="31"/>
      <c r="B359" s="31"/>
      <c r="C359" s="31"/>
      <c r="D359" s="31"/>
      <c r="E359" s="187"/>
      <c r="F359" s="31"/>
      <c r="G359" s="31"/>
      <c r="H359" s="31"/>
      <c r="I359" s="31"/>
      <c r="J359" s="31"/>
      <c r="K359" s="760"/>
      <c r="L359" s="761"/>
      <c r="M359" s="760"/>
      <c r="N359" s="31"/>
      <c r="O359" s="31"/>
      <c r="P359" s="31"/>
      <c r="Q359" s="31"/>
      <c r="R359" s="31"/>
      <c r="S359" s="31"/>
      <c r="T359" s="762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</row>
    <row r="360">
      <c r="A360" s="31"/>
      <c r="B360" s="31"/>
      <c r="C360" s="31"/>
      <c r="D360" s="31"/>
      <c r="E360" s="187"/>
      <c r="F360" s="31"/>
      <c r="G360" s="31"/>
      <c r="H360" s="31"/>
      <c r="I360" s="31"/>
      <c r="J360" s="31"/>
      <c r="K360" s="760"/>
      <c r="L360" s="761"/>
      <c r="M360" s="760"/>
      <c r="N360" s="31"/>
      <c r="O360" s="31"/>
      <c r="P360" s="31"/>
      <c r="Q360" s="31"/>
      <c r="R360" s="31"/>
      <c r="S360" s="31"/>
      <c r="T360" s="762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</row>
    <row r="361">
      <c r="A361" s="31"/>
      <c r="B361" s="31"/>
      <c r="C361" s="31"/>
      <c r="D361" s="31"/>
      <c r="E361" s="187"/>
      <c r="F361" s="31"/>
      <c r="G361" s="31"/>
      <c r="H361" s="31"/>
      <c r="I361" s="31"/>
      <c r="J361" s="31"/>
      <c r="K361" s="760"/>
      <c r="L361" s="761"/>
      <c r="M361" s="760"/>
      <c r="N361" s="31"/>
      <c r="O361" s="31"/>
      <c r="P361" s="31"/>
      <c r="Q361" s="31"/>
      <c r="R361" s="31"/>
      <c r="S361" s="31"/>
      <c r="T361" s="762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</row>
    <row r="362">
      <c r="A362" s="31"/>
      <c r="B362" s="31"/>
      <c r="C362" s="31"/>
      <c r="D362" s="31"/>
      <c r="E362" s="187"/>
      <c r="F362" s="31"/>
      <c r="G362" s="31"/>
      <c r="H362" s="31"/>
      <c r="I362" s="31"/>
      <c r="J362" s="31"/>
      <c r="K362" s="760"/>
      <c r="L362" s="761"/>
      <c r="M362" s="760"/>
      <c r="N362" s="31"/>
      <c r="O362" s="31"/>
      <c r="P362" s="31"/>
      <c r="Q362" s="31"/>
      <c r="R362" s="31"/>
      <c r="S362" s="31"/>
      <c r="T362" s="762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</row>
    <row r="363">
      <c r="A363" s="31"/>
      <c r="B363" s="31"/>
      <c r="C363" s="31"/>
      <c r="D363" s="31"/>
      <c r="E363" s="187"/>
      <c r="F363" s="31"/>
      <c r="G363" s="31"/>
      <c r="H363" s="31"/>
      <c r="I363" s="31"/>
      <c r="J363" s="31"/>
      <c r="K363" s="760"/>
      <c r="L363" s="761"/>
      <c r="M363" s="760"/>
      <c r="N363" s="31"/>
      <c r="O363" s="31"/>
      <c r="P363" s="31"/>
      <c r="Q363" s="31"/>
      <c r="R363" s="31"/>
      <c r="S363" s="31"/>
      <c r="T363" s="762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</row>
    <row r="364">
      <c r="A364" s="31"/>
      <c r="B364" s="31"/>
      <c r="C364" s="31"/>
      <c r="D364" s="31"/>
      <c r="E364" s="187"/>
      <c r="F364" s="31"/>
      <c r="G364" s="31"/>
      <c r="H364" s="31"/>
      <c r="I364" s="31"/>
      <c r="J364" s="31"/>
      <c r="K364" s="760"/>
      <c r="L364" s="761"/>
      <c r="M364" s="760"/>
      <c r="N364" s="31"/>
      <c r="O364" s="31"/>
      <c r="P364" s="31"/>
      <c r="Q364" s="31"/>
      <c r="R364" s="31"/>
      <c r="S364" s="31"/>
      <c r="T364" s="762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</row>
    <row r="365">
      <c r="A365" s="31"/>
      <c r="B365" s="31"/>
      <c r="C365" s="31"/>
      <c r="D365" s="31"/>
      <c r="E365" s="187"/>
      <c r="F365" s="31"/>
      <c r="G365" s="31"/>
      <c r="H365" s="31"/>
      <c r="I365" s="31"/>
      <c r="J365" s="31"/>
      <c r="K365" s="760"/>
      <c r="L365" s="761"/>
      <c r="M365" s="760"/>
      <c r="N365" s="31"/>
      <c r="O365" s="31"/>
      <c r="P365" s="31"/>
      <c r="Q365" s="31"/>
      <c r="R365" s="31"/>
      <c r="S365" s="31"/>
      <c r="T365" s="762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</row>
    <row r="366">
      <c r="A366" s="31"/>
      <c r="B366" s="31"/>
      <c r="C366" s="31"/>
      <c r="D366" s="31"/>
      <c r="E366" s="187"/>
      <c r="F366" s="31"/>
      <c r="G366" s="31"/>
      <c r="H366" s="31"/>
      <c r="I366" s="31"/>
      <c r="J366" s="31"/>
      <c r="K366" s="760"/>
      <c r="L366" s="761"/>
      <c r="M366" s="760"/>
      <c r="N366" s="31"/>
      <c r="O366" s="31"/>
      <c r="P366" s="31"/>
      <c r="Q366" s="31"/>
      <c r="R366" s="31"/>
      <c r="S366" s="31"/>
      <c r="T366" s="762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</row>
    <row r="367">
      <c r="A367" s="31"/>
      <c r="B367" s="31"/>
      <c r="C367" s="31"/>
      <c r="D367" s="31"/>
      <c r="E367" s="187"/>
      <c r="F367" s="31"/>
      <c r="G367" s="31"/>
      <c r="H367" s="31"/>
      <c r="I367" s="31"/>
      <c r="J367" s="31"/>
      <c r="K367" s="760"/>
      <c r="L367" s="761"/>
      <c r="M367" s="760"/>
      <c r="N367" s="31"/>
      <c r="O367" s="31"/>
      <c r="P367" s="31"/>
      <c r="Q367" s="31"/>
      <c r="R367" s="31"/>
      <c r="S367" s="31"/>
      <c r="T367" s="762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</row>
    <row r="368">
      <c r="A368" s="31"/>
      <c r="B368" s="31"/>
      <c r="C368" s="31"/>
      <c r="D368" s="31"/>
      <c r="E368" s="187"/>
      <c r="F368" s="31"/>
      <c r="G368" s="31"/>
      <c r="H368" s="31"/>
      <c r="I368" s="31"/>
      <c r="J368" s="31"/>
      <c r="K368" s="760"/>
      <c r="L368" s="761"/>
      <c r="M368" s="760"/>
      <c r="N368" s="31"/>
      <c r="O368" s="31"/>
      <c r="P368" s="31"/>
      <c r="Q368" s="31"/>
      <c r="R368" s="31"/>
      <c r="S368" s="31"/>
      <c r="T368" s="762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</row>
    <row r="369">
      <c r="A369" s="31"/>
      <c r="B369" s="31"/>
      <c r="C369" s="31"/>
      <c r="D369" s="31"/>
      <c r="E369" s="187"/>
      <c r="F369" s="31"/>
      <c r="G369" s="31"/>
      <c r="H369" s="31"/>
      <c r="I369" s="31"/>
      <c r="J369" s="31"/>
      <c r="K369" s="760"/>
      <c r="L369" s="761"/>
      <c r="M369" s="760"/>
      <c r="N369" s="31"/>
      <c r="O369" s="31"/>
      <c r="P369" s="31"/>
      <c r="Q369" s="31"/>
      <c r="R369" s="31"/>
      <c r="S369" s="31"/>
      <c r="T369" s="762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</row>
    <row r="370">
      <c r="A370" s="31"/>
      <c r="B370" s="31"/>
      <c r="C370" s="31"/>
      <c r="D370" s="31"/>
      <c r="E370" s="187"/>
      <c r="F370" s="31"/>
      <c r="G370" s="31"/>
      <c r="H370" s="31"/>
      <c r="I370" s="31"/>
      <c r="J370" s="31"/>
      <c r="K370" s="760"/>
      <c r="L370" s="761"/>
      <c r="M370" s="760"/>
      <c r="N370" s="31"/>
      <c r="O370" s="31"/>
      <c r="P370" s="31"/>
      <c r="Q370" s="31"/>
      <c r="R370" s="31"/>
      <c r="S370" s="31"/>
      <c r="T370" s="762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</row>
    <row r="371">
      <c r="A371" s="31"/>
      <c r="B371" s="31"/>
      <c r="C371" s="31"/>
      <c r="D371" s="31"/>
      <c r="E371" s="187"/>
      <c r="F371" s="31"/>
      <c r="G371" s="31"/>
      <c r="H371" s="31"/>
      <c r="I371" s="31"/>
      <c r="J371" s="31"/>
      <c r="K371" s="760"/>
      <c r="L371" s="761"/>
      <c r="M371" s="760"/>
      <c r="N371" s="31"/>
      <c r="O371" s="31"/>
      <c r="P371" s="31"/>
      <c r="Q371" s="31"/>
      <c r="R371" s="31"/>
      <c r="S371" s="31"/>
      <c r="T371" s="762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</row>
    <row r="372">
      <c r="A372" s="31"/>
      <c r="B372" s="31"/>
      <c r="C372" s="31"/>
      <c r="D372" s="31"/>
      <c r="E372" s="187"/>
      <c r="F372" s="31"/>
      <c r="G372" s="31"/>
      <c r="H372" s="31"/>
      <c r="I372" s="31"/>
      <c r="J372" s="31"/>
      <c r="K372" s="760"/>
      <c r="L372" s="761"/>
      <c r="M372" s="760"/>
      <c r="N372" s="31"/>
      <c r="O372" s="31"/>
      <c r="P372" s="31"/>
      <c r="Q372" s="31"/>
      <c r="R372" s="31"/>
      <c r="S372" s="31"/>
      <c r="T372" s="762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</row>
    <row r="373">
      <c r="A373" s="31"/>
      <c r="B373" s="31"/>
      <c r="C373" s="31"/>
      <c r="D373" s="31"/>
      <c r="E373" s="187"/>
      <c r="F373" s="31"/>
      <c r="G373" s="31"/>
      <c r="H373" s="31"/>
      <c r="I373" s="31"/>
      <c r="J373" s="31"/>
      <c r="K373" s="760"/>
      <c r="L373" s="761"/>
      <c r="M373" s="760"/>
      <c r="N373" s="31"/>
      <c r="O373" s="31"/>
      <c r="P373" s="31"/>
      <c r="Q373" s="31"/>
      <c r="R373" s="31"/>
      <c r="S373" s="31"/>
      <c r="T373" s="762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</row>
    <row r="374">
      <c r="A374" s="31"/>
      <c r="B374" s="31"/>
      <c r="C374" s="31"/>
      <c r="D374" s="31"/>
      <c r="E374" s="187"/>
      <c r="F374" s="31"/>
      <c r="G374" s="31"/>
      <c r="H374" s="31"/>
      <c r="I374" s="31"/>
      <c r="J374" s="31"/>
      <c r="K374" s="760"/>
      <c r="L374" s="761"/>
      <c r="M374" s="760"/>
      <c r="N374" s="31"/>
      <c r="O374" s="31"/>
      <c r="P374" s="31"/>
      <c r="Q374" s="31"/>
      <c r="R374" s="31"/>
      <c r="S374" s="31"/>
      <c r="T374" s="762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</row>
    <row r="375">
      <c r="A375" s="31"/>
      <c r="B375" s="31"/>
      <c r="C375" s="31"/>
      <c r="D375" s="31"/>
      <c r="E375" s="187"/>
      <c r="F375" s="31"/>
      <c r="G375" s="31"/>
      <c r="H375" s="31"/>
      <c r="I375" s="31"/>
      <c r="J375" s="31"/>
      <c r="K375" s="760"/>
      <c r="L375" s="761"/>
      <c r="M375" s="760"/>
      <c r="N375" s="31"/>
      <c r="O375" s="31"/>
      <c r="P375" s="31"/>
      <c r="Q375" s="31"/>
      <c r="R375" s="31"/>
      <c r="S375" s="31"/>
      <c r="T375" s="762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</row>
    <row r="376">
      <c r="A376" s="31"/>
      <c r="B376" s="31"/>
      <c r="C376" s="31"/>
      <c r="D376" s="31"/>
      <c r="E376" s="187"/>
      <c r="F376" s="31"/>
      <c r="G376" s="31"/>
      <c r="H376" s="31"/>
      <c r="I376" s="31"/>
      <c r="J376" s="31"/>
      <c r="K376" s="760"/>
      <c r="L376" s="761"/>
      <c r="M376" s="760"/>
      <c r="N376" s="31"/>
      <c r="O376" s="31"/>
      <c r="P376" s="31"/>
      <c r="Q376" s="31"/>
      <c r="R376" s="31"/>
      <c r="S376" s="31"/>
      <c r="T376" s="762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</row>
    <row r="377">
      <c r="A377" s="31"/>
      <c r="B377" s="31"/>
      <c r="C377" s="31"/>
      <c r="D377" s="31"/>
      <c r="E377" s="187"/>
      <c r="F377" s="31"/>
      <c r="G377" s="31"/>
      <c r="H377" s="31"/>
      <c r="I377" s="31"/>
      <c r="J377" s="31"/>
      <c r="K377" s="760"/>
      <c r="L377" s="761"/>
      <c r="M377" s="760"/>
      <c r="N377" s="31"/>
      <c r="O377" s="31"/>
      <c r="P377" s="31"/>
      <c r="Q377" s="31"/>
      <c r="R377" s="31"/>
      <c r="S377" s="31"/>
      <c r="T377" s="762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</row>
    <row r="378">
      <c r="A378" s="31"/>
      <c r="B378" s="31"/>
      <c r="C378" s="31"/>
      <c r="D378" s="31"/>
      <c r="E378" s="187"/>
      <c r="F378" s="31"/>
      <c r="G378" s="31"/>
      <c r="H378" s="31"/>
      <c r="I378" s="31"/>
      <c r="J378" s="31"/>
      <c r="K378" s="760"/>
      <c r="L378" s="761"/>
      <c r="M378" s="760"/>
      <c r="N378" s="31"/>
      <c r="O378" s="31"/>
      <c r="P378" s="31"/>
      <c r="Q378" s="31"/>
      <c r="R378" s="31"/>
      <c r="S378" s="31"/>
      <c r="T378" s="762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</row>
    <row r="379">
      <c r="A379" s="31"/>
      <c r="B379" s="31"/>
      <c r="C379" s="31"/>
      <c r="D379" s="31"/>
      <c r="E379" s="187"/>
      <c r="F379" s="31"/>
      <c r="G379" s="31"/>
      <c r="H379" s="31"/>
      <c r="I379" s="31"/>
      <c r="J379" s="31"/>
      <c r="K379" s="760"/>
      <c r="L379" s="761"/>
      <c r="M379" s="760"/>
      <c r="N379" s="31"/>
      <c r="O379" s="31"/>
      <c r="P379" s="31"/>
      <c r="Q379" s="31"/>
      <c r="R379" s="31"/>
      <c r="S379" s="31"/>
      <c r="T379" s="762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</row>
    <row r="380">
      <c r="A380" s="31"/>
      <c r="B380" s="31"/>
      <c r="C380" s="31"/>
      <c r="D380" s="31"/>
      <c r="E380" s="187"/>
      <c r="F380" s="31"/>
      <c r="G380" s="31"/>
      <c r="H380" s="31"/>
      <c r="I380" s="31"/>
      <c r="J380" s="31"/>
      <c r="K380" s="760"/>
      <c r="L380" s="761"/>
      <c r="M380" s="760"/>
      <c r="N380" s="31"/>
      <c r="O380" s="31"/>
      <c r="P380" s="31"/>
      <c r="Q380" s="31"/>
      <c r="R380" s="31"/>
      <c r="S380" s="31"/>
      <c r="T380" s="762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</row>
    <row r="381">
      <c r="A381" s="31"/>
      <c r="B381" s="31"/>
      <c r="C381" s="31"/>
      <c r="D381" s="31"/>
      <c r="E381" s="187"/>
      <c r="F381" s="31"/>
      <c r="G381" s="31"/>
      <c r="H381" s="31"/>
      <c r="I381" s="31"/>
      <c r="J381" s="31"/>
      <c r="K381" s="760"/>
      <c r="L381" s="761"/>
      <c r="M381" s="760"/>
      <c r="N381" s="31"/>
      <c r="O381" s="31"/>
      <c r="P381" s="31"/>
      <c r="Q381" s="31"/>
      <c r="R381" s="31"/>
      <c r="S381" s="31"/>
      <c r="T381" s="762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</row>
    <row r="382">
      <c r="A382" s="31"/>
      <c r="B382" s="31"/>
      <c r="C382" s="31"/>
      <c r="D382" s="31"/>
      <c r="E382" s="187"/>
      <c r="F382" s="31"/>
      <c r="G382" s="31"/>
      <c r="H382" s="31"/>
      <c r="I382" s="31"/>
      <c r="J382" s="31"/>
      <c r="K382" s="760"/>
      <c r="L382" s="761"/>
      <c r="M382" s="760"/>
      <c r="N382" s="31"/>
      <c r="O382" s="31"/>
      <c r="P382" s="31"/>
      <c r="Q382" s="31"/>
      <c r="R382" s="31"/>
      <c r="S382" s="31"/>
      <c r="T382" s="762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</row>
    <row r="383">
      <c r="A383" s="31"/>
      <c r="B383" s="31"/>
      <c r="C383" s="31"/>
      <c r="D383" s="31"/>
      <c r="E383" s="187"/>
      <c r="F383" s="31"/>
      <c r="G383" s="31"/>
      <c r="H383" s="31"/>
      <c r="I383" s="31"/>
      <c r="J383" s="31"/>
      <c r="K383" s="760"/>
      <c r="L383" s="761"/>
      <c r="M383" s="760"/>
      <c r="N383" s="31"/>
      <c r="O383" s="31"/>
      <c r="P383" s="31"/>
      <c r="Q383" s="31"/>
      <c r="R383" s="31"/>
      <c r="S383" s="31"/>
      <c r="T383" s="762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</row>
    <row r="384">
      <c r="A384" s="31"/>
      <c r="B384" s="31"/>
      <c r="C384" s="31"/>
      <c r="D384" s="31"/>
      <c r="E384" s="187"/>
      <c r="F384" s="31"/>
      <c r="G384" s="31"/>
      <c r="H384" s="31"/>
      <c r="I384" s="31"/>
      <c r="J384" s="31"/>
      <c r="K384" s="760"/>
      <c r="L384" s="761"/>
      <c r="M384" s="760"/>
      <c r="N384" s="31"/>
      <c r="O384" s="31"/>
      <c r="P384" s="31"/>
      <c r="Q384" s="31"/>
      <c r="R384" s="31"/>
      <c r="S384" s="31"/>
      <c r="T384" s="762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</row>
    <row r="385">
      <c r="A385" s="31"/>
      <c r="B385" s="31"/>
      <c r="C385" s="31"/>
      <c r="D385" s="31"/>
      <c r="E385" s="187"/>
      <c r="F385" s="31"/>
      <c r="G385" s="31"/>
      <c r="H385" s="31"/>
      <c r="I385" s="31"/>
      <c r="J385" s="31"/>
      <c r="K385" s="760"/>
      <c r="L385" s="761"/>
      <c r="M385" s="760"/>
      <c r="N385" s="31"/>
      <c r="O385" s="31"/>
      <c r="P385" s="31"/>
      <c r="Q385" s="31"/>
      <c r="R385" s="31"/>
      <c r="S385" s="31"/>
      <c r="T385" s="762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</row>
    <row r="386">
      <c r="A386" s="31"/>
      <c r="B386" s="31"/>
      <c r="C386" s="31"/>
      <c r="D386" s="31"/>
      <c r="E386" s="187"/>
      <c r="F386" s="31"/>
      <c r="G386" s="31"/>
      <c r="H386" s="31"/>
      <c r="I386" s="31"/>
      <c r="J386" s="31"/>
      <c r="K386" s="760"/>
      <c r="L386" s="761"/>
      <c r="M386" s="760"/>
      <c r="N386" s="31"/>
      <c r="O386" s="31"/>
      <c r="P386" s="31"/>
      <c r="Q386" s="31"/>
      <c r="R386" s="31"/>
      <c r="S386" s="31"/>
      <c r="T386" s="762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</row>
    <row r="387">
      <c r="A387" s="31"/>
      <c r="B387" s="31"/>
      <c r="C387" s="31"/>
      <c r="D387" s="31"/>
      <c r="E387" s="187"/>
      <c r="F387" s="31"/>
      <c r="G387" s="31"/>
      <c r="H387" s="31"/>
      <c r="I387" s="31"/>
      <c r="J387" s="31"/>
      <c r="K387" s="760"/>
      <c r="L387" s="761"/>
      <c r="M387" s="760"/>
      <c r="N387" s="31"/>
      <c r="O387" s="31"/>
      <c r="P387" s="31"/>
      <c r="Q387" s="31"/>
      <c r="R387" s="31"/>
      <c r="S387" s="31"/>
      <c r="T387" s="762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</row>
    <row r="388">
      <c r="A388" s="31"/>
      <c r="B388" s="31"/>
      <c r="C388" s="31"/>
      <c r="D388" s="31"/>
      <c r="E388" s="187"/>
      <c r="F388" s="31"/>
      <c r="G388" s="31"/>
      <c r="H388" s="31"/>
      <c r="I388" s="31"/>
      <c r="J388" s="31"/>
      <c r="K388" s="760"/>
      <c r="L388" s="761"/>
      <c r="M388" s="760"/>
      <c r="N388" s="31"/>
      <c r="O388" s="31"/>
      <c r="P388" s="31"/>
      <c r="Q388" s="31"/>
      <c r="R388" s="31"/>
      <c r="S388" s="31"/>
      <c r="T388" s="762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</row>
    <row r="389">
      <c r="A389" s="31"/>
      <c r="B389" s="31"/>
      <c r="C389" s="31"/>
      <c r="D389" s="31"/>
      <c r="E389" s="187"/>
      <c r="F389" s="31"/>
      <c r="G389" s="31"/>
      <c r="H389" s="31"/>
      <c r="I389" s="31"/>
      <c r="J389" s="31"/>
      <c r="K389" s="760"/>
      <c r="L389" s="761"/>
      <c r="M389" s="760"/>
      <c r="N389" s="31"/>
      <c r="O389" s="31"/>
      <c r="P389" s="31"/>
      <c r="Q389" s="31"/>
      <c r="R389" s="31"/>
      <c r="S389" s="31"/>
      <c r="T389" s="762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</row>
    <row r="390">
      <c r="A390" s="31"/>
      <c r="B390" s="31"/>
      <c r="C390" s="31"/>
      <c r="D390" s="31"/>
      <c r="E390" s="187"/>
      <c r="F390" s="31"/>
      <c r="G390" s="31"/>
      <c r="H390" s="31"/>
      <c r="I390" s="31"/>
      <c r="J390" s="31"/>
      <c r="K390" s="760"/>
      <c r="L390" s="761"/>
      <c r="M390" s="760"/>
      <c r="N390" s="31"/>
      <c r="O390" s="31"/>
      <c r="P390" s="31"/>
      <c r="Q390" s="31"/>
      <c r="R390" s="31"/>
      <c r="S390" s="31"/>
      <c r="T390" s="762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</row>
    <row r="391">
      <c r="A391" s="31"/>
      <c r="B391" s="31"/>
      <c r="C391" s="31"/>
      <c r="D391" s="31"/>
      <c r="E391" s="187"/>
      <c r="F391" s="31"/>
      <c r="G391" s="31"/>
      <c r="H391" s="31"/>
      <c r="I391" s="31"/>
      <c r="J391" s="31"/>
      <c r="K391" s="760"/>
      <c r="L391" s="761"/>
      <c r="M391" s="760"/>
      <c r="N391" s="31"/>
      <c r="O391" s="31"/>
      <c r="P391" s="31"/>
      <c r="Q391" s="31"/>
      <c r="R391" s="31"/>
      <c r="S391" s="31"/>
      <c r="T391" s="762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</row>
    <row r="392">
      <c r="A392" s="31"/>
      <c r="B392" s="31"/>
      <c r="C392" s="31"/>
      <c r="D392" s="31"/>
      <c r="E392" s="187"/>
      <c r="F392" s="31"/>
      <c r="G392" s="31"/>
      <c r="H392" s="31"/>
      <c r="I392" s="31"/>
      <c r="J392" s="31"/>
      <c r="K392" s="760"/>
      <c r="L392" s="761"/>
      <c r="M392" s="760"/>
      <c r="N392" s="31"/>
      <c r="O392" s="31"/>
      <c r="P392" s="31"/>
      <c r="Q392" s="31"/>
      <c r="R392" s="31"/>
      <c r="S392" s="31"/>
      <c r="T392" s="762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</row>
    <row r="393">
      <c r="A393" s="31"/>
      <c r="B393" s="31"/>
      <c r="C393" s="31"/>
      <c r="D393" s="31"/>
      <c r="E393" s="187"/>
      <c r="F393" s="31"/>
      <c r="G393" s="31"/>
      <c r="H393" s="31"/>
      <c r="I393" s="31"/>
      <c r="J393" s="31"/>
      <c r="K393" s="760"/>
      <c r="L393" s="761"/>
      <c r="M393" s="760"/>
      <c r="N393" s="31"/>
      <c r="O393" s="31"/>
      <c r="P393" s="31"/>
      <c r="Q393" s="31"/>
      <c r="R393" s="31"/>
      <c r="S393" s="31"/>
      <c r="T393" s="762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</row>
    <row r="394">
      <c r="A394" s="31"/>
      <c r="B394" s="31"/>
      <c r="C394" s="31"/>
      <c r="D394" s="31"/>
      <c r="E394" s="187"/>
      <c r="F394" s="31"/>
      <c r="G394" s="31"/>
      <c r="H394" s="31"/>
      <c r="I394" s="31"/>
      <c r="J394" s="31"/>
      <c r="K394" s="760"/>
      <c r="L394" s="761"/>
      <c r="M394" s="760"/>
      <c r="N394" s="31"/>
      <c r="O394" s="31"/>
      <c r="P394" s="31"/>
      <c r="Q394" s="31"/>
      <c r="R394" s="31"/>
      <c r="S394" s="31"/>
      <c r="T394" s="762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</row>
    <row r="395">
      <c r="A395" s="31"/>
      <c r="B395" s="31"/>
      <c r="C395" s="31"/>
      <c r="D395" s="31"/>
      <c r="E395" s="187"/>
      <c r="F395" s="31"/>
      <c r="G395" s="31"/>
      <c r="H395" s="31"/>
      <c r="I395" s="31"/>
      <c r="J395" s="31"/>
      <c r="K395" s="760"/>
      <c r="L395" s="761"/>
      <c r="M395" s="760"/>
      <c r="N395" s="31"/>
      <c r="O395" s="31"/>
      <c r="P395" s="31"/>
      <c r="Q395" s="31"/>
      <c r="R395" s="31"/>
      <c r="S395" s="31"/>
      <c r="T395" s="762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</row>
    <row r="396">
      <c r="A396" s="31"/>
      <c r="B396" s="31"/>
      <c r="C396" s="31"/>
      <c r="D396" s="31"/>
      <c r="E396" s="187"/>
      <c r="F396" s="31"/>
      <c r="G396" s="31"/>
      <c r="H396" s="31"/>
      <c r="I396" s="31"/>
      <c r="J396" s="31"/>
      <c r="K396" s="760"/>
      <c r="L396" s="761"/>
      <c r="M396" s="760"/>
      <c r="N396" s="31"/>
      <c r="O396" s="31"/>
      <c r="P396" s="31"/>
      <c r="Q396" s="31"/>
      <c r="R396" s="31"/>
      <c r="S396" s="31"/>
      <c r="T396" s="762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</row>
    <row r="397">
      <c r="A397" s="31"/>
      <c r="B397" s="31"/>
      <c r="C397" s="31"/>
      <c r="D397" s="31"/>
      <c r="E397" s="187"/>
      <c r="F397" s="31"/>
      <c r="G397" s="31"/>
      <c r="H397" s="31"/>
      <c r="I397" s="31"/>
      <c r="J397" s="31"/>
      <c r="K397" s="760"/>
      <c r="L397" s="761"/>
      <c r="M397" s="760"/>
      <c r="N397" s="31"/>
      <c r="O397" s="31"/>
      <c r="P397" s="31"/>
      <c r="Q397" s="31"/>
      <c r="R397" s="31"/>
      <c r="S397" s="31"/>
      <c r="T397" s="762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</row>
    <row r="398">
      <c r="A398" s="31"/>
      <c r="B398" s="31"/>
      <c r="C398" s="31"/>
      <c r="D398" s="31"/>
      <c r="E398" s="187"/>
      <c r="F398" s="31"/>
      <c r="G398" s="31"/>
      <c r="H398" s="31"/>
      <c r="I398" s="31"/>
      <c r="J398" s="31"/>
      <c r="K398" s="760"/>
      <c r="L398" s="761"/>
      <c r="M398" s="760"/>
      <c r="N398" s="31"/>
      <c r="O398" s="31"/>
      <c r="P398" s="31"/>
      <c r="Q398" s="31"/>
      <c r="R398" s="31"/>
      <c r="S398" s="31"/>
      <c r="T398" s="762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</row>
    <row r="399">
      <c r="A399" s="31"/>
      <c r="B399" s="31"/>
      <c r="C399" s="31"/>
      <c r="D399" s="31"/>
      <c r="E399" s="187"/>
      <c r="F399" s="31"/>
      <c r="G399" s="31"/>
      <c r="H399" s="31"/>
      <c r="I399" s="31"/>
      <c r="J399" s="31"/>
      <c r="K399" s="760"/>
      <c r="L399" s="761"/>
      <c r="M399" s="760"/>
      <c r="N399" s="31"/>
      <c r="O399" s="31"/>
      <c r="P399" s="31"/>
      <c r="Q399" s="31"/>
      <c r="R399" s="31"/>
      <c r="S399" s="31"/>
      <c r="T399" s="762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</row>
    <row r="400">
      <c r="A400" s="31"/>
      <c r="B400" s="31"/>
      <c r="C400" s="31"/>
      <c r="D400" s="31"/>
      <c r="E400" s="187"/>
      <c r="F400" s="31"/>
      <c r="G400" s="31"/>
      <c r="H400" s="31"/>
      <c r="I400" s="31"/>
      <c r="J400" s="31"/>
      <c r="K400" s="760"/>
      <c r="L400" s="761"/>
      <c r="M400" s="760"/>
      <c r="N400" s="31"/>
      <c r="O400" s="31"/>
      <c r="P400" s="31"/>
      <c r="Q400" s="31"/>
      <c r="R400" s="31"/>
      <c r="S400" s="31"/>
      <c r="T400" s="762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</row>
    <row r="401">
      <c r="A401" s="31"/>
      <c r="B401" s="31"/>
      <c r="C401" s="31"/>
      <c r="D401" s="31"/>
      <c r="E401" s="187"/>
      <c r="F401" s="31"/>
      <c r="G401" s="31"/>
      <c r="H401" s="31"/>
      <c r="I401" s="31"/>
      <c r="J401" s="31"/>
      <c r="K401" s="760"/>
      <c r="L401" s="761"/>
      <c r="M401" s="760"/>
      <c r="N401" s="31"/>
      <c r="O401" s="31"/>
      <c r="P401" s="31"/>
      <c r="Q401" s="31"/>
      <c r="R401" s="31"/>
      <c r="S401" s="31"/>
      <c r="T401" s="762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</row>
    <row r="402">
      <c r="A402" s="31"/>
      <c r="B402" s="31"/>
      <c r="C402" s="31"/>
      <c r="D402" s="31"/>
      <c r="E402" s="187"/>
      <c r="F402" s="31"/>
      <c r="G402" s="31"/>
      <c r="H402" s="31"/>
      <c r="I402" s="31"/>
      <c r="J402" s="31"/>
      <c r="K402" s="760"/>
      <c r="L402" s="761"/>
      <c r="M402" s="760"/>
      <c r="N402" s="31"/>
      <c r="O402" s="31"/>
      <c r="P402" s="31"/>
      <c r="Q402" s="31"/>
      <c r="R402" s="31"/>
      <c r="S402" s="31"/>
      <c r="T402" s="762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</row>
    <row r="403">
      <c r="A403" s="31"/>
      <c r="B403" s="31"/>
      <c r="C403" s="31"/>
      <c r="D403" s="31"/>
      <c r="E403" s="187"/>
      <c r="F403" s="31"/>
      <c r="G403" s="31"/>
      <c r="H403" s="31"/>
      <c r="I403" s="31"/>
      <c r="J403" s="31"/>
      <c r="K403" s="760"/>
      <c r="L403" s="761"/>
      <c r="M403" s="760"/>
      <c r="N403" s="31"/>
      <c r="O403" s="31"/>
      <c r="P403" s="31"/>
      <c r="Q403" s="31"/>
      <c r="R403" s="31"/>
      <c r="S403" s="31"/>
      <c r="T403" s="762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</row>
    <row r="404">
      <c r="A404" s="31"/>
      <c r="B404" s="31"/>
      <c r="C404" s="31"/>
      <c r="D404" s="31"/>
      <c r="E404" s="187"/>
      <c r="F404" s="31"/>
      <c r="G404" s="31"/>
      <c r="H404" s="31"/>
      <c r="I404" s="31"/>
      <c r="J404" s="31"/>
      <c r="K404" s="760"/>
      <c r="L404" s="761"/>
      <c r="M404" s="760"/>
      <c r="N404" s="31"/>
      <c r="O404" s="31"/>
      <c r="P404" s="31"/>
      <c r="Q404" s="31"/>
      <c r="R404" s="31"/>
      <c r="S404" s="31"/>
      <c r="T404" s="762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</row>
    <row r="405">
      <c r="A405" s="31"/>
      <c r="B405" s="31"/>
      <c r="C405" s="31"/>
      <c r="D405" s="31"/>
      <c r="E405" s="187"/>
      <c r="F405" s="31"/>
      <c r="G405" s="31"/>
      <c r="H405" s="31"/>
      <c r="I405" s="31"/>
      <c r="J405" s="31"/>
      <c r="K405" s="760"/>
      <c r="L405" s="761"/>
      <c r="M405" s="760"/>
      <c r="N405" s="31"/>
      <c r="O405" s="31"/>
      <c r="P405" s="31"/>
      <c r="Q405" s="31"/>
      <c r="R405" s="31"/>
      <c r="S405" s="31"/>
      <c r="T405" s="762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</row>
    <row r="406">
      <c r="A406" s="31"/>
      <c r="B406" s="31"/>
      <c r="C406" s="31"/>
      <c r="D406" s="31"/>
      <c r="E406" s="187"/>
      <c r="F406" s="31"/>
      <c r="G406" s="31"/>
      <c r="H406" s="31"/>
      <c r="I406" s="31"/>
      <c r="J406" s="31"/>
      <c r="K406" s="760"/>
      <c r="L406" s="761"/>
      <c r="M406" s="760"/>
      <c r="N406" s="31"/>
      <c r="O406" s="31"/>
      <c r="P406" s="31"/>
      <c r="Q406" s="31"/>
      <c r="R406" s="31"/>
      <c r="S406" s="31"/>
      <c r="T406" s="762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</row>
    <row r="407">
      <c r="A407" s="31"/>
      <c r="B407" s="31"/>
      <c r="C407" s="31"/>
      <c r="D407" s="31"/>
      <c r="E407" s="187"/>
      <c r="F407" s="31"/>
      <c r="G407" s="31"/>
      <c r="H407" s="31"/>
      <c r="I407" s="31"/>
      <c r="J407" s="31"/>
      <c r="K407" s="760"/>
      <c r="L407" s="761"/>
      <c r="M407" s="760"/>
      <c r="N407" s="31"/>
      <c r="O407" s="31"/>
      <c r="P407" s="31"/>
      <c r="Q407" s="31"/>
      <c r="R407" s="31"/>
      <c r="S407" s="31"/>
      <c r="T407" s="762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</row>
    <row r="408">
      <c r="A408" s="31"/>
      <c r="B408" s="31"/>
      <c r="C408" s="31"/>
      <c r="D408" s="31"/>
      <c r="E408" s="187"/>
      <c r="F408" s="31"/>
      <c r="G408" s="31"/>
      <c r="H408" s="31"/>
      <c r="I408" s="31"/>
      <c r="J408" s="31"/>
      <c r="K408" s="760"/>
      <c r="L408" s="761"/>
      <c r="M408" s="760"/>
      <c r="N408" s="31"/>
      <c r="O408" s="31"/>
      <c r="P408" s="31"/>
      <c r="Q408" s="31"/>
      <c r="R408" s="31"/>
      <c r="S408" s="31"/>
      <c r="T408" s="762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</row>
    <row r="409">
      <c r="A409" s="31"/>
      <c r="B409" s="31"/>
      <c r="C409" s="31"/>
      <c r="D409" s="31"/>
      <c r="E409" s="187"/>
      <c r="F409" s="31"/>
      <c r="G409" s="31"/>
      <c r="H409" s="31"/>
      <c r="I409" s="31"/>
      <c r="J409" s="31"/>
      <c r="K409" s="760"/>
      <c r="L409" s="761"/>
      <c r="M409" s="760"/>
      <c r="N409" s="31"/>
      <c r="O409" s="31"/>
      <c r="P409" s="31"/>
      <c r="Q409" s="31"/>
      <c r="R409" s="31"/>
      <c r="S409" s="31"/>
      <c r="T409" s="762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</row>
    <row r="410">
      <c r="A410" s="31"/>
      <c r="B410" s="31"/>
      <c r="C410" s="31"/>
      <c r="D410" s="31"/>
      <c r="E410" s="187"/>
      <c r="F410" s="31"/>
      <c r="G410" s="31"/>
      <c r="H410" s="31"/>
      <c r="I410" s="31"/>
      <c r="J410" s="31"/>
      <c r="K410" s="760"/>
      <c r="L410" s="761"/>
      <c r="M410" s="760"/>
      <c r="N410" s="31"/>
      <c r="O410" s="31"/>
      <c r="P410" s="31"/>
      <c r="Q410" s="31"/>
      <c r="R410" s="31"/>
      <c r="S410" s="31"/>
      <c r="T410" s="762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</row>
    <row r="411">
      <c r="A411" s="31"/>
      <c r="B411" s="31"/>
      <c r="C411" s="31"/>
      <c r="D411" s="31"/>
      <c r="E411" s="187"/>
      <c r="F411" s="31"/>
      <c r="G411" s="31"/>
      <c r="H411" s="31"/>
      <c r="I411" s="31"/>
      <c r="J411" s="31"/>
      <c r="K411" s="760"/>
      <c r="L411" s="761"/>
      <c r="M411" s="760"/>
      <c r="N411" s="31"/>
      <c r="O411" s="31"/>
      <c r="P411" s="31"/>
      <c r="Q411" s="31"/>
      <c r="R411" s="31"/>
      <c r="S411" s="31"/>
      <c r="T411" s="762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</row>
    <row r="412">
      <c r="A412" s="31"/>
      <c r="B412" s="31"/>
      <c r="C412" s="31"/>
      <c r="D412" s="31"/>
      <c r="E412" s="187"/>
      <c r="F412" s="31"/>
      <c r="G412" s="31"/>
      <c r="H412" s="31"/>
      <c r="I412" s="31"/>
      <c r="J412" s="31"/>
      <c r="K412" s="760"/>
      <c r="L412" s="761"/>
      <c r="M412" s="760"/>
      <c r="N412" s="31"/>
      <c r="O412" s="31"/>
      <c r="P412" s="31"/>
      <c r="Q412" s="31"/>
      <c r="R412" s="31"/>
      <c r="S412" s="31"/>
      <c r="T412" s="762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</row>
    <row r="413">
      <c r="A413" s="31"/>
      <c r="B413" s="31"/>
      <c r="C413" s="31"/>
      <c r="D413" s="31"/>
      <c r="E413" s="187"/>
      <c r="F413" s="31"/>
      <c r="G413" s="31"/>
      <c r="H413" s="31"/>
      <c r="I413" s="31"/>
      <c r="J413" s="31"/>
      <c r="K413" s="760"/>
      <c r="L413" s="761"/>
      <c r="M413" s="760"/>
      <c r="N413" s="31"/>
      <c r="O413" s="31"/>
      <c r="P413" s="31"/>
      <c r="Q413" s="31"/>
      <c r="R413" s="31"/>
      <c r="S413" s="31"/>
      <c r="T413" s="762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</row>
    <row r="414">
      <c r="A414" s="31"/>
      <c r="B414" s="31"/>
      <c r="C414" s="31"/>
      <c r="D414" s="31"/>
      <c r="E414" s="187"/>
      <c r="F414" s="31"/>
      <c r="G414" s="31"/>
      <c r="H414" s="31"/>
      <c r="I414" s="31"/>
      <c r="J414" s="31"/>
      <c r="K414" s="760"/>
      <c r="L414" s="761"/>
      <c r="M414" s="760"/>
      <c r="N414" s="31"/>
      <c r="O414" s="31"/>
      <c r="P414" s="31"/>
      <c r="Q414" s="31"/>
      <c r="R414" s="31"/>
      <c r="S414" s="31"/>
      <c r="T414" s="762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</row>
    <row r="415">
      <c r="A415" s="31"/>
      <c r="B415" s="31"/>
      <c r="C415" s="31"/>
      <c r="D415" s="31"/>
      <c r="E415" s="187"/>
      <c r="F415" s="31"/>
      <c r="G415" s="31"/>
      <c r="H415" s="31"/>
      <c r="I415" s="31"/>
      <c r="J415" s="31"/>
      <c r="K415" s="760"/>
      <c r="L415" s="761"/>
      <c r="M415" s="760"/>
      <c r="N415" s="31"/>
      <c r="O415" s="31"/>
      <c r="P415" s="31"/>
      <c r="Q415" s="31"/>
      <c r="R415" s="31"/>
      <c r="S415" s="31"/>
      <c r="T415" s="762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</row>
    <row r="416">
      <c r="A416" s="31"/>
      <c r="B416" s="31"/>
      <c r="C416" s="31"/>
      <c r="D416" s="31"/>
      <c r="E416" s="187"/>
      <c r="F416" s="31"/>
      <c r="G416" s="31"/>
      <c r="H416" s="31"/>
      <c r="I416" s="31"/>
      <c r="J416" s="31"/>
      <c r="K416" s="760"/>
      <c r="L416" s="761"/>
      <c r="M416" s="760"/>
      <c r="N416" s="31"/>
      <c r="O416" s="31"/>
      <c r="P416" s="31"/>
      <c r="Q416" s="31"/>
      <c r="R416" s="31"/>
      <c r="S416" s="31"/>
      <c r="T416" s="762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</row>
    <row r="417">
      <c r="A417" s="31"/>
      <c r="B417" s="31"/>
      <c r="C417" s="31"/>
      <c r="D417" s="31"/>
      <c r="E417" s="187"/>
      <c r="F417" s="31"/>
      <c r="G417" s="31"/>
      <c r="H417" s="31"/>
      <c r="I417" s="31"/>
      <c r="J417" s="31"/>
      <c r="K417" s="760"/>
      <c r="L417" s="761"/>
      <c r="M417" s="760"/>
      <c r="N417" s="31"/>
      <c r="O417" s="31"/>
      <c r="P417" s="31"/>
      <c r="Q417" s="31"/>
      <c r="R417" s="31"/>
      <c r="S417" s="31"/>
      <c r="T417" s="762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</row>
    <row r="418">
      <c r="A418" s="31"/>
      <c r="B418" s="31"/>
      <c r="C418" s="31"/>
      <c r="D418" s="31"/>
      <c r="E418" s="187"/>
      <c r="F418" s="31"/>
      <c r="G418" s="31"/>
      <c r="H418" s="31"/>
      <c r="I418" s="31"/>
      <c r="J418" s="31"/>
      <c r="K418" s="760"/>
      <c r="L418" s="761"/>
      <c r="M418" s="760"/>
      <c r="N418" s="31"/>
      <c r="O418" s="31"/>
      <c r="P418" s="31"/>
      <c r="Q418" s="31"/>
      <c r="R418" s="31"/>
      <c r="S418" s="31"/>
      <c r="T418" s="762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</row>
    <row r="419">
      <c r="A419" s="31"/>
      <c r="B419" s="31"/>
      <c r="C419" s="31"/>
      <c r="D419" s="31"/>
      <c r="E419" s="187"/>
      <c r="F419" s="31"/>
      <c r="G419" s="31"/>
      <c r="H419" s="31"/>
      <c r="I419" s="31"/>
      <c r="J419" s="31"/>
      <c r="K419" s="760"/>
      <c r="L419" s="761"/>
      <c r="M419" s="760"/>
      <c r="N419" s="31"/>
      <c r="O419" s="31"/>
      <c r="P419" s="31"/>
      <c r="Q419" s="31"/>
      <c r="R419" s="31"/>
      <c r="S419" s="31"/>
      <c r="T419" s="762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</row>
    <row r="420">
      <c r="A420" s="31"/>
      <c r="B420" s="31"/>
      <c r="C420" s="31"/>
      <c r="D420" s="31"/>
      <c r="E420" s="187"/>
      <c r="F420" s="31"/>
      <c r="G420" s="31"/>
      <c r="H420" s="31"/>
      <c r="I420" s="31"/>
      <c r="J420" s="31"/>
      <c r="K420" s="760"/>
      <c r="L420" s="761"/>
      <c r="M420" s="760"/>
      <c r="N420" s="31"/>
      <c r="O420" s="31"/>
      <c r="P420" s="31"/>
      <c r="Q420" s="31"/>
      <c r="R420" s="31"/>
      <c r="S420" s="31"/>
      <c r="T420" s="762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</row>
    <row r="421">
      <c r="A421" s="31"/>
      <c r="B421" s="31"/>
      <c r="C421" s="31"/>
      <c r="D421" s="31"/>
      <c r="E421" s="187"/>
      <c r="F421" s="31"/>
      <c r="G421" s="31"/>
      <c r="H421" s="31"/>
      <c r="I421" s="31"/>
      <c r="J421" s="31"/>
      <c r="K421" s="760"/>
      <c r="L421" s="761"/>
      <c r="M421" s="760"/>
      <c r="N421" s="31"/>
      <c r="O421" s="31"/>
      <c r="P421" s="31"/>
      <c r="Q421" s="31"/>
      <c r="R421" s="31"/>
      <c r="S421" s="31"/>
      <c r="T421" s="762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</row>
    <row r="422">
      <c r="A422" s="31"/>
      <c r="B422" s="31"/>
      <c r="C422" s="31"/>
      <c r="D422" s="31"/>
      <c r="E422" s="187"/>
      <c r="F422" s="31"/>
      <c r="G422" s="31"/>
      <c r="H422" s="31"/>
      <c r="I422" s="31"/>
      <c r="J422" s="31"/>
      <c r="K422" s="760"/>
      <c r="L422" s="761"/>
      <c r="M422" s="760"/>
      <c r="N422" s="31"/>
      <c r="O422" s="31"/>
      <c r="P422" s="31"/>
      <c r="Q422" s="31"/>
      <c r="R422" s="31"/>
      <c r="S422" s="31"/>
      <c r="T422" s="762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</row>
    <row r="423">
      <c r="A423" s="31"/>
      <c r="B423" s="31"/>
      <c r="C423" s="31"/>
      <c r="D423" s="31"/>
      <c r="E423" s="187"/>
      <c r="F423" s="31"/>
      <c r="G423" s="31"/>
      <c r="H423" s="31"/>
      <c r="I423" s="31"/>
      <c r="J423" s="31"/>
      <c r="K423" s="760"/>
      <c r="L423" s="761"/>
      <c r="M423" s="760"/>
      <c r="N423" s="31"/>
      <c r="O423" s="31"/>
      <c r="P423" s="31"/>
      <c r="Q423" s="31"/>
      <c r="R423" s="31"/>
      <c r="S423" s="31"/>
      <c r="T423" s="762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</row>
    <row r="424">
      <c r="A424" s="31"/>
      <c r="B424" s="31"/>
      <c r="C424" s="31"/>
      <c r="D424" s="31"/>
      <c r="E424" s="187"/>
      <c r="F424" s="31"/>
      <c r="G424" s="31"/>
      <c r="H424" s="31"/>
      <c r="I424" s="31"/>
      <c r="J424" s="31"/>
      <c r="K424" s="760"/>
      <c r="L424" s="761"/>
      <c r="M424" s="760"/>
      <c r="N424" s="31"/>
      <c r="O424" s="31"/>
      <c r="P424" s="31"/>
      <c r="Q424" s="31"/>
      <c r="R424" s="31"/>
      <c r="S424" s="31"/>
      <c r="T424" s="762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</row>
    <row r="425">
      <c r="A425" s="31"/>
      <c r="B425" s="31"/>
      <c r="C425" s="31"/>
      <c r="D425" s="31"/>
      <c r="E425" s="187"/>
      <c r="F425" s="31"/>
      <c r="G425" s="31"/>
      <c r="H425" s="31"/>
      <c r="I425" s="31"/>
      <c r="J425" s="31"/>
      <c r="K425" s="760"/>
      <c r="L425" s="761"/>
      <c r="M425" s="760"/>
      <c r="N425" s="31"/>
      <c r="O425" s="31"/>
      <c r="P425" s="31"/>
      <c r="Q425" s="31"/>
      <c r="R425" s="31"/>
      <c r="S425" s="31"/>
      <c r="T425" s="762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</row>
    <row r="426">
      <c r="A426" s="31"/>
      <c r="B426" s="31"/>
      <c r="C426" s="31"/>
      <c r="D426" s="31"/>
      <c r="E426" s="187"/>
      <c r="F426" s="31"/>
      <c r="G426" s="31"/>
      <c r="H426" s="31"/>
      <c r="I426" s="31"/>
      <c r="J426" s="31"/>
      <c r="K426" s="760"/>
      <c r="L426" s="761"/>
      <c r="M426" s="760"/>
      <c r="N426" s="31"/>
      <c r="O426" s="31"/>
      <c r="P426" s="31"/>
      <c r="Q426" s="31"/>
      <c r="R426" s="31"/>
      <c r="S426" s="31"/>
      <c r="T426" s="762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</row>
    <row r="427">
      <c r="A427" s="31"/>
      <c r="B427" s="31"/>
      <c r="C427" s="31"/>
      <c r="D427" s="31"/>
      <c r="E427" s="187"/>
      <c r="F427" s="31"/>
      <c r="G427" s="31"/>
      <c r="H427" s="31"/>
      <c r="I427" s="31"/>
      <c r="J427" s="31"/>
      <c r="K427" s="760"/>
      <c r="L427" s="761"/>
      <c r="M427" s="760"/>
      <c r="N427" s="31"/>
      <c r="O427" s="31"/>
      <c r="P427" s="31"/>
      <c r="Q427" s="31"/>
      <c r="R427" s="31"/>
      <c r="S427" s="31"/>
      <c r="T427" s="762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</row>
    <row r="428">
      <c r="A428" s="31"/>
      <c r="B428" s="31"/>
      <c r="C428" s="31"/>
      <c r="D428" s="31"/>
      <c r="E428" s="187"/>
      <c r="F428" s="31"/>
      <c r="G428" s="31"/>
      <c r="H428" s="31"/>
      <c r="I428" s="31"/>
      <c r="J428" s="31"/>
      <c r="K428" s="760"/>
      <c r="L428" s="761"/>
      <c r="M428" s="760"/>
      <c r="N428" s="31"/>
      <c r="O428" s="31"/>
      <c r="P428" s="31"/>
      <c r="Q428" s="31"/>
      <c r="R428" s="31"/>
      <c r="S428" s="31"/>
      <c r="T428" s="762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</row>
    <row r="429">
      <c r="A429" s="31"/>
      <c r="B429" s="31"/>
      <c r="C429" s="31"/>
      <c r="D429" s="31"/>
      <c r="E429" s="187"/>
      <c r="F429" s="31"/>
      <c r="G429" s="31"/>
      <c r="H429" s="31"/>
      <c r="I429" s="31"/>
      <c r="J429" s="31"/>
      <c r="K429" s="760"/>
      <c r="L429" s="761"/>
      <c r="M429" s="760"/>
      <c r="N429" s="31"/>
      <c r="O429" s="31"/>
      <c r="P429" s="31"/>
      <c r="Q429" s="31"/>
      <c r="R429" s="31"/>
      <c r="S429" s="31"/>
      <c r="T429" s="762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</row>
    <row r="430">
      <c r="A430" s="31"/>
      <c r="B430" s="31"/>
      <c r="C430" s="31"/>
      <c r="D430" s="31"/>
      <c r="E430" s="187"/>
      <c r="F430" s="31"/>
      <c r="G430" s="31"/>
      <c r="H430" s="31"/>
      <c r="I430" s="31"/>
      <c r="J430" s="31"/>
      <c r="K430" s="760"/>
      <c r="L430" s="761"/>
      <c r="M430" s="760"/>
      <c r="N430" s="31"/>
      <c r="O430" s="31"/>
      <c r="P430" s="31"/>
      <c r="Q430" s="31"/>
      <c r="R430" s="31"/>
      <c r="S430" s="31"/>
      <c r="T430" s="762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</row>
    <row r="431">
      <c r="A431" s="31"/>
      <c r="B431" s="31"/>
      <c r="C431" s="31"/>
      <c r="D431" s="31"/>
      <c r="E431" s="187"/>
      <c r="F431" s="31"/>
      <c r="G431" s="31"/>
      <c r="H431" s="31"/>
      <c r="I431" s="31"/>
      <c r="J431" s="31"/>
      <c r="K431" s="760"/>
      <c r="L431" s="761"/>
      <c r="M431" s="760"/>
      <c r="N431" s="31"/>
      <c r="O431" s="31"/>
      <c r="P431" s="31"/>
      <c r="Q431" s="31"/>
      <c r="R431" s="31"/>
      <c r="S431" s="31"/>
      <c r="T431" s="762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</row>
    <row r="432">
      <c r="A432" s="31"/>
      <c r="B432" s="31"/>
      <c r="C432" s="31"/>
      <c r="D432" s="31"/>
      <c r="E432" s="187"/>
      <c r="F432" s="31"/>
      <c r="G432" s="31"/>
      <c r="H432" s="31"/>
      <c r="I432" s="31"/>
      <c r="J432" s="31"/>
      <c r="K432" s="760"/>
      <c r="L432" s="761"/>
      <c r="M432" s="760"/>
      <c r="N432" s="31"/>
      <c r="O432" s="31"/>
      <c r="P432" s="31"/>
      <c r="Q432" s="31"/>
      <c r="R432" s="31"/>
      <c r="S432" s="31"/>
      <c r="T432" s="762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</row>
    <row r="433">
      <c r="A433" s="31"/>
      <c r="B433" s="31"/>
      <c r="C433" s="31"/>
      <c r="D433" s="31"/>
      <c r="E433" s="187"/>
      <c r="F433" s="31"/>
      <c r="G433" s="31"/>
      <c r="H433" s="31"/>
      <c r="I433" s="31"/>
      <c r="J433" s="31"/>
      <c r="K433" s="760"/>
      <c r="L433" s="761"/>
      <c r="M433" s="760"/>
      <c r="N433" s="31"/>
      <c r="O433" s="31"/>
      <c r="P433" s="31"/>
      <c r="Q433" s="31"/>
      <c r="R433" s="31"/>
      <c r="S433" s="31"/>
      <c r="T433" s="762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</row>
    <row r="434">
      <c r="A434" s="31"/>
      <c r="B434" s="31"/>
      <c r="C434" s="31"/>
      <c r="D434" s="31"/>
      <c r="E434" s="187"/>
      <c r="F434" s="31"/>
      <c r="G434" s="31"/>
      <c r="H434" s="31"/>
      <c r="I434" s="31"/>
      <c r="J434" s="31"/>
      <c r="K434" s="760"/>
      <c r="L434" s="761"/>
      <c r="M434" s="760"/>
      <c r="N434" s="31"/>
      <c r="O434" s="31"/>
      <c r="P434" s="31"/>
      <c r="Q434" s="31"/>
      <c r="R434" s="31"/>
      <c r="S434" s="31"/>
      <c r="T434" s="762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</row>
    <row r="435">
      <c r="A435" s="31"/>
      <c r="B435" s="31"/>
      <c r="C435" s="31"/>
      <c r="D435" s="31"/>
      <c r="E435" s="187"/>
      <c r="F435" s="31"/>
      <c r="G435" s="31"/>
      <c r="H435" s="31"/>
      <c r="I435" s="31"/>
      <c r="J435" s="31"/>
      <c r="K435" s="760"/>
      <c r="L435" s="761"/>
      <c r="M435" s="760"/>
      <c r="N435" s="31"/>
      <c r="O435" s="31"/>
      <c r="P435" s="31"/>
      <c r="Q435" s="31"/>
      <c r="R435" s="31"/>
      <c r="S435" s="31"/>
      <c r="T435" s="762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</row>
    <row r="436">
      <c r="A436" s="31"/>
      <c r="B436" s="31"/>
      <c r="C436" s="31"/>
      <c r="D436" s="31"/>
      <c r="E436" s="187"/>
      <c r="F436" s="31"/>
      <c r="G436" s="31"/>
      <c r="H436" s="31"/>
      <c r="I436" s="31"/>
      <c r="J436" s="31"/>
      <c r="K436" s="760"/>
      <c r="L436" s="761"/>
      <c r="M436" s="760"/>
      <c r="N436" s="31"/>
      <c r="O436" s="31"/>
      <c r="P436" s="31"/>
      <c r="Q436" s="31"/>
      <c r="R436" s="31"/>
      <c r="S436" s="31"/>
      <c r="T436" s="762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</row>
    <row r="437">
      <c r="A437" s="31"/>
      <c r="B437" s="31"/>
      <c r="C437" s="31"/>
      <c r="D437" s="31"/>
      <c r="E437" s="187"/>
      <c r="F437" s="31"/>
      <c r="G437" s="31"/>
      <c r="H437" s="31"/>
      <c r="I437" s="31"/>
      <c r="J437" s="31"/>
      <c r="K437" s="760"/>
      <c r="L437" s="761"/>
      <c r="M437" s="760"/>
      <c r="N437" s="31"/>
      <c r="O437" s="31"/>
      <c r="P437" s="31"/>
      <c r="Q437" s="31"/>
      <c r="R437" s="31"/>
      <c r="S437" s="31"/>
      <c r="T437" s="762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</row>
    <row r="438">
      <c r="A438" s="31"/>
      <c r="B438" s="31"/>
      <c r="C438" s="31"/>
      <c r="D438" s="31"/>
      <c r="E438" s="187"/>
      <c r="F438" s="31"/>
      <c r="G438" s="31"/>
      <c r="H438" s="31"/>
      <c r="I438" s="31"/>
      <c r="J438" s="31"/>
      <c r="K438" s="760"/>
      <c r="L438" s="761"/>
      <c r="M438" s="760"/>
      <c r="N438" s="31"/>
      <c r="O438" s="31"/>
      <c r="P438" s="31"/>
      <c r="Q438" s="31"/>
      <c r="R438" s="31"/>
      <c r="S438" s="31"/>
      <c r="T438" s="762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</row>
    <row r="439">
      <c r="A439" s="31"/>
      <c r="B439" s="31"/>
      <c r="C439" s="31"/>
      <c r="D439" s="31"/>
      <c r="E439" s="187"/>
      <c r="F439" s="31"/>
      <c r="G439" s="31"/>
      <c r="H439" s="31"/>
      <c r="I439" s="31"/>
      <c r="J439" s="31"/>
      <c r="K439" s="760"/>
      <c r="L439" s="761"/>
      <c r="M439" s="760"/>
      <c r="N439" s="31"/>
      <c r="O439" s="31"/>
      <c r="P439" s="31"/>
      <c r="Q439" s="31"/>
      <c r="R439" s="31"/>
      <c r="S439" s="31"/>
      <c r="T439" s="762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</row>
    <row r="440">
      <c r="A440" s="31"/>
      <c r="B440" s="31"/>
      <c r="C440" s="31"/>
      <c r="D440" s="31"/>
      <c r="E440" s="187"/>
      <c r="F440" s="31"/>
      <c r="G440" s="31"/>
      <c r="H440" s="31"/>
      <c r="I440" s="31"/>
      <c r="J440" s="31"/>
      <c r="K440" s="760"/>
      <c r="L440" s="761"/>
      <c r="M440" s="760"/>
      <c r="N440" s="31"/>
      <c r="O440" s="31"/>
      <c r="P440" s="31"/>
      <c r="Q440" s="31"/>
      <c r="R440" s="31"/>
      <c r="S440" s="31"/>
      <c r="T440" s="762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</row>
    <row r="441">
      <c r="A441" s="31"/>
      <c r="B441" s="31"/>
      <c r="C441" s="31"/>
      <c r="D441" s="31"/>
      <c r="E441" s="187"/>
      <c r="F441" s="31"/>
      <c r="G441" s="31"/>
      <c r="H441" s="31"/>
      <c r="I441" s="31"/>
      <c r="J441" s="31"/>
      <c r="K441" s="760"/>
      <c r="L441" s="761"/>
      <c r="M441" s="760"/>
      <c r="N441" s="31"/>
      <c r="O441" s="31"/>
      <c r="P441" s="31"/>
      <c r="Q441" s="31"/>
      <c r="R441" s="31"/>
      <c r="S441" s="31"/>
      <c r="T441" s="762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</row>
    <row r="442">
      <c r="A442" s="31"/>
      <c r="B442" s="31"/>
      <c r="C442" s="31"/>
      <c r="D442" s="31"/>
      <c r="E442" s="187"/>
      <c r="F442" s="31"/>
      <c r="G442" s="31"/>
      <c r="H442" s="31"/>
      <c r="I442" s="31"/>
      <c r="J442" s="31"/>
      <c r="K442" s="760"/>
      <c r="L442" s="761"/>
      <c r="M442" s="760"/>
      <c r="N442" s="31"/>
      <c r="O442" s="31"/>
      <c r="P442" s="31"/>
      <c r="Q442" s="31"/>
      <c r="R442" s="31"/>
      <c r="S442" s="31"/>
      <c r="T442" s="762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</row>
    <row r="443">
      <c r="A443" s="31"/>
      <c r="B443" s="31"/>
      <c r="C443" s="31"/>
      <c r="D443" s="31"/>
      <c r="E443" s="187"/>
      <c r="F443" s="31"/>
      <c r="G443" s="31"/>
      <c r="H443" s="31"/>
      <c r="I443" s="31"/>
      <c r="J443" s="31"/>
      <c r="K443" s="760"/>
      <c r="L443" s="761"/>
      <c r="M443" s="760"/>
      <c r="N443" s="31"/>
      <c r="O443" s="31"/>
      <c r="P443" s="31"/>
      <c r="Q443" s="31"/>
      <c r="R443" s="31"/>
      <c r="S443" s="31"/>
      <c r="T443" s="762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</row>
    <row r="444">
      <c r="A444" s="31"/>
      <c r="B444" s="31"/>
      <c r="C444" s="31"/>
      <c r="D444" s="31"/>
      <c r="E444" s="187"/>
      <c r="F444" s="31"/>
      <c r="G444" s="31"/>
      <c r="H444" s="31"/>
      <c r="I444" s="31"/>
      <c r="J444" s="31"/>
      <c r="K444" s="760"/>
      <c r="L444" s="761"/>
      <c r="M444" s="760"/>
      <c r="N444" s="31"/>
      <c r="O444" s="31"/>
      <c r="P444" s="31"/>
      <c r="Q444" s="31"/>
      <c r="R444" s="31"/>
      <c r="S444" s="31"/>
      <c r="T444" s="762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</row>
    <row r="445">
      <c r="A445" s="31"/>
      <c r="B445" s="31"/>
      <c r="C445" s="31"/>
      <c r="D445" s="31"/>
      <c r="E445" s="187"/>
      <c r="F445" s="31"/>
      <c r="G445" s="31"/>
      <c r="H445" s="31"/>
      <c r="I445" s="31"/>
      <c r="J445" s="31"/>
      <c r="K445" s="760"/>
      <c r="L445" s="761"/>
      <c r="M445" s="760"/>
      <c r="N445" s="31"/>
      <c r="O445" s="31"/>
      <c r="P445" s="31"/>
      <c r="Q445" s="31"/>
      <c r="R445" s="31"/>
      <c r="S445" s="31"/>
      <c r="T445" s="762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</row>
    <row r="446">
      <c r="A446" s="31"/>
      <c r="B446" s="31"/>
      <c r="C446" s="31"/>
      <c r="D446" s="31"/>
      <c r="E446" s="187"/>
      <c r="F446" s="31"/>
      <c r="G446" s="31"/>
      <c r="H446" s="31"/>
      <c r="I446" s="31"/>
      <c r="J446" s="31"/>
      <c r="K446" s="760"/>
      <c r="L446" s="761"/>
      <c r="M446" s="760"/>
      <c r="N446" s="31"/>
      <c r="O446" s="31"/>
      <c r="P446" s="31"/>
      <c r="Q446" s="31"/>
      <c r="R446" s="31"/>
      <c r="S446" s="31"/>
      <c r="T446" s="762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</row>
    <row r="447">
      <c r="A447" s="31"/>
      <c r="B447" s="31"/>
      <c r="C447" s="31"/>
      <c r="D447" s="31"/>
      <c r="E447" s="187"/>
      <c r="F447" s="31"/>
      <c r="G447" s="31"/>
      <c r="H447" s="31"/>
      <c r="I447" s="31"/>
      <c r="J447" s="31"/>
      <c r="K447" s="760"/>
      <c r="L447" s="761"/>
      <c r="M447" s="760"/>
      <c r="N447" s="31"/>
      <c r="O447" s="31"/>
      <c r="P447" s="31"/>
      <c r="Q447" s="31"/>
      <c r="R447" s="31"/>
      <c r="S447" s="31"/>
      <c r="T447" s="762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</row>
    <row r="448">
      <c r="A448" s="31"/>
      <c r="B448" s="31"/>
      <c r="C448" s="31"/>
      <c r="D448" s="31"/>
      <c r="E448" s="187"/>
      <c r="F448" s="31"/>
      <c r="G448" s="31"/>
      <c r="H448" s="31"/>
      <c r="I448" s="31"/>
      <c r="J448" s="31"/>
      <c r="K448" s="760"/>
      <c r="L448" s="761"/>
      <c r="M448" s="760"/>
      <c r="N448" s="31"/>
      <c r="O448" s="31"/>
      <c r="P448" s="31"/>
      <c r="Q448" s="31"/>
      <c r="R448" s="31"/>
      <c r="S448" s="31"/>
      <c r="T448" s="762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</row>
    <row r="449">
      <c r="A449" s="31"/>
      <c r="B449" s="31"/>
      <c r="C449" s="31"/>
      <c r="D449" s="31"/>
      <c r="E449" s="187"/>
      <c r="F449" s="31"/>
      <c r="G449" s="31"/>
      <c r="H449" s="31"/>
      <c r="I449" s="31"/>
      <c r="J449" s="31"/>
      <c r="K449" s="760"/>
      <c r="L449" s="761"/>
      <c r="M449" s="760"/>
      <c r="N449" s="31"/>
      <c r="O449" s="31"/>
      <c r="P449" s="31"/>
      <c r="Q449" s="31"/>
      <c r="R449" s="31"/>
      <c r="S449" s="31"/>
      <c r="T449" s="762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</row>
    <row r="450">
      <c r="A450" s="31"/>
      <c r="B450" s="31"/>
      <c r="C450" s="31"/>
      <c r="D450" s="31"/>
      <c r="E450" s="187"/>
      <c r="F450" s="31"/>
      <c r="G450" s="31"/>
      <c r="H450" s="31"/>
      <c r="I450" s="31"/>
      <c r="J450" s="31"/>
      <c r="K450" s="760"/>
      <c r="L450" s="761"/>
      <c r="M450" s="760"/>
      <c r="N450" s="31"/>
      <c r="O450" s="31"/>
      <c r="P450" s="31"/>
      <c r="Q450" s="31"/>
      <c r="R450" s="31"/>
      <c r="S450" s="31"/>
      <c r="T450" s="762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</row>
    <row r="451">
      <c r="A451" s="31"/>
      <c r="B451" s="31"/>
      <c r="C451" s="31"/>
      <c r="D451" s="31"/>
      <c r="E451" s="187"/>
      <c r="F451" s="31"/>
      <c r="G451" s="31"/>
      <c r="H451" s="31"/>
      <c r="I451" s="31"/>
      <c r="J451" s="31"/>
      <c r="K451" s="760"/>
      <c r="L451" s="761"/>
      <c r="M451" s="760"/>
      <c r="N451" s="31"/>
      <c r="O451" s="31"/>
      <c r="P451" s="31"/>
      <c r="Q451" s="31"/>
      <c r="R451" s="31"/>
      <c r="S451" s="31"/>
      <c r="T451" s="762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</row>
    <row r="452">
      <c r="A452" s="31"/>
      <c r="B452" s="31"/>
      <c r="C452" s="31"/>
      <c r="D452" s="31"/>
      <c r="E452" s="187"/>
      <c r="F452" s="31"/>
      <c r="G452" s="31"/>
      <c r="H452" s="31"/>
      <c r="I452" s="31"/>
      <c r="J452" s="31"/>
      <c r="K452" s="760"/>
      <c r="L452" s="761"/>
      <c r="M452" s="760"/>
      <c r="N452" s="31"/>
      <c r="O452" s="31"/>
      <c r="P452" s="31"/>
      <c r="Q452" s="31"/>
      <c r="R452" s="31"/>
      <c r="S452" s="31"/>
      <c r="T452" s="762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</row>
    <row r="453">
      <c r="A453" s="31"/>
      <c r="B453" s="31"/>
      <c r="C453" s="31"/>
      <c r="D453" s="31"/>
      <c r="E453" s="187"/>
      <c r="F453" s="31"/>
      <c r="G453" s="31"/>
      <c r="H453" s="31"/>
      <c r="I453" s="31"/>
      <c r="J453" s="31"/>
      <c r="K453" s="760"/>
      <c r="L453" s="761"/>
      <c r="M453" s="760"/>
      <c r="N453" s="31"/>
      <c r="O453" s="31"/>
      <c r="P453" s="31"/>
      <c r="Q453" s="31"/>
      <c r="R453" s="31"/>
      <c r="S453" s="31"/>
      <c r="T453" s="762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</row>
    <row r="454">
      <c r="A454" s="31"/>
      <c r="B454" s="31"/>
      <c r="C454" s="31"/>
      <c r="D454" s="31"/>
      <c r="E454" s="187"/>
      <c r="F454" s="31"/>
      <c r="G454" s="31"/>
      <c r="H454" s="31"/>
      <c r="I454" s="31"/>
      <c r="J454" s="31"/>
      <c r="K454" s="760"/>
      <c r="L454" s="761"/>
      <c r="M454" s="760"/>
      <c r="N454" s="31"/>
      <c r="O454" s="31"/>
      <c r="P454" s="31"/>
      <c r="Q454" s="31"/>
      <c r="R454" s="31"/>
      <c r="S454" s="31"/>
      <c r="T454" s="762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</row>
    <row r="455">
      <c r="A455" s="31"/>
      <c r="B455" s="31"/>
      <c r="C455" s="31"/>
      <c r="D455" s="31"/>
      <c r="E455" s="187"/>
      <c r="F455" s="31"/>
      <c r="G455" s="31"/>
      <c r="H455" s="31"/>
      <c r="I455" s="31"/>
      <c r="J455" s="31"/>
      <c r="K455" s="760"/>
      <c r="L455" s="761"/>
      <c r="M455" s="760"/>
      <c r="N455" s="31"/>
      <c r="O455" s="31"/>
      <c r="P455" s="31"/>
      <c r="Q455" s="31"/>
      <c r="R455" s="31"/>
      <c r="S455" s="31"/>
      <c r="T455" s="762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</row>
    <row r="456">
      <c r="A456" s="31"/>
      <c r="B456" s="31"/>
      <c r="C456" s="31"/>
      <c r="D456" s="31"/>
      <c r="E456" s="187"/>
      <c r="F456" s="31"/>
      <c r="G456" s="31"/>
      <c r="H456" s="31"/>
      <c r="I456" s="31"/>
      <c r="J456" s="31"/>
      <c r="K456" s="760"/>
      <c r="L456" s="761"/>
      <c r="M456" s="760"/>
      <c r="N456" s="31"/>
      <c r="O456" s="31"/>
      <c r="P456" s="31"/>
      <c r="Q456" s="31"/>
      <c r="R456" s="31"/>
      <c r="S456" s="31"/>
      <c r="T456" s="762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</row>
    <row r="457">
      <c r="A457" s="31"/>
      <c r="B457" s="31"/>
      <c r="C457" s="31"/>
      <c r="D457" s="31"/>
      <c r="E457" s="187"/>
      <c r="F457" s="31"/>
      <c r="G457" s="31"/>
      <c r="H457" s="31"/>
      <c r="I457" s="31"/>
      <c r="J457" s="31"/>
      <c r="K457" s="760"/>
      <c r="L457" s="761"/>
      <c r="M457" s="760"/>
      <c r="N457" s="31"/>
      <c r="O457" s="31"/>
      <c r="P457" s="31"/>
      <c r="Q457" s="31"/>
      <c r="R457" s="31"/>
      <c r="S457" s="31"/>
      <c r="T457" s="762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</row>
    <row r="458">
      <c r="A458" s="31"/>
      <c r="B458" s="31"/>
      <c r="C458" s="31"/>
      <c r="D458" s="31"/>
      <c r="E458" s="187"/>
      <c r="F458" s="31"/>
      <c r="G458" s="31"/>
      <c r="H458" s="31"/>
      <c r="I458" s="31"/>
      <c r="J458" s="31"/>
      <c r="K458" s="760"/>
      <c r="L458" s="761"/>
      <c r="M458" s="760"/>
      <c r="N458" s="31"/>
      <c r="O458" s="31"/>
      <c r="P458" s="31"/>
      <c r="Q458" s="31"/>
      <c r="R458" s="31"/>
      <c r="S458" s="31"/>
      <c r="T458" s="762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</row>
    <row r="459">
      <c r="A459" s="31"/>
      <c r="B459" s="31"/>
      <c r="C459" s="31"/>
      <c r="D459" s="31"/>
      <c r="E459" s="187"/>
      <c r="F459" s="31"/>
      <c r="G459" s="31"/>
      <c r="H459" s="31"/>
      <c r="I459" s="31"/>
      <c r="J459" s="31"/>
      <c r="K459" s="760"/>
      <c r="L459" s="761"/>
      <c r="M459" s="760"/>
      <c r="N459" s="31"/>
      <c r="O459" s="31"/>
      <c r="P459" s="31"/>
      <c r="Q459" s="31"/>
      <c r="R459" s="31"/>
      <c r="S459" s="31"/>
      <c r="T459" s="762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</row>
    <row r="460">
      <c r="A460" s="31"/>
      <c r="B460" s="31"/>
      <c r="C460" s="31"/>
      <c r="D460" s="31"/>
      <c r="E460" s="187"/>
      <c r="F460" s="31"/>
      <c r="G460" s="31"/>
      <c r="H460" s="31"/>
      <c r="I460" s="31"/>
      <c r="J460" s="31"/>
      <c r="K460" s="760"/>
      <c r="L460" s="761"/>
      <c r="M460" s="760"/>
      <c r="N460" s="31"/>
      <c r="O460" s="31"/>
      <c r="P460" s="31"/>
      <c r="Q460" s="31"/>
      <c r="R460" s="31"/>
      <c r="S460" s="31"/>
      <c r="T460" s="762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</row>
    <row r="461">
      <c r="A461" s="31"/>
      <c r="B461" s="31"/>
      <c r="C461" s="31"/>
      <c r="D461" s="31"/>
      <c r="E461" s="187"/>
      <c r="F461" s="31"/>
      <c r="G461" s="31"/>
      <c r="H461" s="31"/>
      <c r="I461" s="31"/>
      <c r="J461" s="31"/>
      <c r="K461" s="760"/>
      <c r="L461" s="761"/>
      <c r="M461" s="760"/>
      <c r="N461" s="31"/>
      <c r="O461" s="31"/>
      <c r="P461" s="31"/>
      <c r="Q461" s="31"/>
      <c r="R461" s="31"/>
      <c r="S461" s="31"/>
      <c r="T461" s="762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</row>
    <row r="462">
      <c r="A462" s="31"/>
      <c r="B462" s="31"/>
      <c r="C462" s="31"/>
      <c r="D462" s="31"/>
      <c r="E462" s="187"/>
      <c r="F462" s="31"/>
      <c r="G462" s="31"/>
      <c r="H462" s="31"/>
      <c r="I462" s="31"/>
      <c r="J462" s="31"/>
      <c r="K462" s="760"/>
      <c r="L462" s="761"/>
      <c r="M462" s="760"/>
      <c r="N462" s="31"/>
      <c r="O462" s="31"/>
      <c r="P462" s="31"/>
      <c r="Q462" s="31"/>
      <c r="R462" s="31"/>
      <c r="S462" s="31"/>
      <c r="T462" s="762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</row>
    <row r="463">
      <c r="A463" s="31"/>
      <c r="B463" s="31"/>
      <c r="C463" s="31"/>
      <c r="D463" s="31"/>
      <c r="E463" s="187"/>
      <c r="F463" s="31"/>
      <c r="G463" s="31"/>
      <c r="H463" s="31"/>
      <c r="I463" s="31"/>
      <c r="J463" s="31"/>
      <c r="K463" s="760"/>
      <c r="L463" s="761"/>
      <c r="M463" s="760"/>
      <c r="N463" s="31"/>
      <c r="O463" s="31"/>
      <c r="P463" s="31"/>
      <c r="Q463" s="31"/>
      <c r="R463" s="31"/>
      <c r="S463" s="31"/>
      <c r="T463" s="762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</row>
    <row r="464">
      <c r="A464" s="31"/>
      <c r="B464" s="31"/>
      <c r="C464" s="31"/>
      <c r="D464" s="31"/>
      <c r="E464" s="187"/>
      <c r="F464" s="31"/>
      <c r="G464" s="31"/>
      <c r="H464" s="31"/>
      <c r="I464" s="31"/>
      <c r="J464" s="31"/>
      <c r="K464" s="760"/>
      <c r="L464" s="761"/>
      <c r="M464" s="760"/>
      <c r="N464" s="31"/>
      <c r="O464" s="31"/>
      <c r="P464" s="31"/>
      <c r="Q464" s="31"/>
      <c r="R464" s="31"/>
      <c r="S464" s="31"/>
      <c r="T464" s="762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</row>
    <row r="465">
      <c r="A465" s="31"/>
      <c r="B465" s="31"/>
      <c r="C465" s="31"/>
      <c r="D465" s="31"/>
      <c r="E465" s="187"/>
      <c r="F465" s="31"/>
      <c r="G465" s="31"/>
      <c r="H465" s="31"/>
      <c r="I465" s="31"/>
      <c r="J465" s="31"/>
      <c r="K465" s="760"/>
      <c r="L465" s="761"/>
      <c r="M465" s="760"/>
      <c r="N465" s="31"/>
      <c r="O465" s="31"/>
      <c r="P465" s="31"/>
      <c r="Q465" s="31"/>
      <c r="R465" s="31"/>
      <c r="S465" s="31"/>
      <c r="T465" s="762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</row>
    <row r="466">
      <c r="A466" s="31"/>
      <c r="B466" s="31"/>
      <c r="C466" s="31"/>
      <c r="D466" s="31"/>
      <c r="E466" s="187"/>
      <c r="F466" s="31"/>
      <c r="G466" s="31"/>
      <c r="H466" s="31"/>
      <c r="I466" s="31"/>
      <c r="J466" s="31"/>
      <c r="K466" s="760"/>
      <c r="L466" s="761"/>
      <c r="M466" s="760"/>
      <c r="N466" s="31"/>
      <c r="O466" s="31"/>
      <c r="P466" s="31"/>
      <c r="Q466" s="31"/>
      <c r="R466" s="31"/>
      <c r="S466" s="31"/>
      <c r="T466" s="762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</row>
    <row r="467">
      <c r="A467" s="31"/>
      <c r="B467" s="31"/>
      <c r="C467" s="31"/>
      <c r="D467" s="31"/>
      <c r="E467" s="187"/>
      <c r="F467" s="31"/>
      <c r="G467" s="31"/>
      <c r="H467" s="31"/>
      <c r="I467" s="31"/>
      <c r="J467" s="31"/>
      <c r="K467" s="760"/>
      <c r="L467" s="761"/>
      <c r="M467" s="760"/>
      <c r="N467" s="31"/>
      <c r="O467" s="31"/>
      <c r="P467" s="31"/>
      <c r="Q467" s="31"/>
      <c r="R467" s="31"/>
      <c r="S467" s="31"/>
      <c r="T467" s="762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</row>
    <row r="468">
      <c r="A468" s="31"/>
      <c r="B468" s="31"/>
      <c r="C468" s="31"/>
      <c r="D468" s="31"/>
      <c r="E468" s="187"/>
      <c r="F468" s="31"/>
      <c r="G468" s="31"/>
      <c r="H468" s="31"/>
      <c r="I468" s="31"/>
      <c r="J468" s="31"/>
      <c r="K468" s="760"/>
      <c r="L468" s="761"/>
      <c r="M468" s="760"/>
      <c r="N468" s="31"/>
      <c r="O468" s="31"/>
      <c r="P468" s="31"/>
      <c r="Q468" s="31"/>
      <c r="R468" s="31"/>
      <c r="S468" s="31"/>
      <c r="T468" s="762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</row>
    <row r="469">
      <c r="A469" s="31"/>
      <c r="B469" s="31"/>
      <c r="C469" s="31"/>
      <c r="D469" s="31"/>
      <c r="E469" s="187"/>
      <c r="F469" s="31"/>
      <c r="G469" s="31"/>
      <c r="H469" s="31"/>
      <c r="I469" s="31"/>
      <c r="J469" s="31"/>
      <c r="K469" s="760"/>
      <c r="L469" s="761"/>
      <c r="M469" s="760"/>
      <c r="N469" s="31"/>
      <c r="O469" s="31"/>
      <c r="P469" s="31"/>
      <c r="Q469" s="31"/>
      <c r="R469" s="31"/>
      <c r="S469" s="31"/>
      <c r="T469" s="762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</row>
    <row r="470">
      <c r="A470" s="31"/>
      <c r="B470" s="31"/>
      <c r="C470" s="31"/>
      <c r="D470" s="31"/>
      <c r="E470" s="187"/>
      <c r="F470" s="31"/>
      <c r="G470" s="31"/>
      <c r="H470" s="31"/>
      <c r="I470" s="31"/>
      <c r="J470" s="31"/>
      <c r="K470" s="760"/>
      <c r="L470" s="761"/>
      <c r="M470" s="760"/>
      <c r="N470" s="31"/>
      <c r="O470" s="31"/>
      <c r="P470" s="31"/>
      <c r="Q470" s="31"/>
      <c r="R470" s="31"/>
      <c r="S470" s="31"/>
      <c r="T470" s="762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</row>
    <row r="471">
      <c r="A471" s="31"/>
      <c r="B471" s="31"/>
      <c r="C471" s="31"/>
      <c r="D471" s="31"/>
      <c r="E471" s="187"/>
      <c r="F471" s="31"/>
      <c r="G471" s="31"/>
      <c r="H471" s="31"/>
      <c r="I471" s="31"/>
      <c r="J471" s="31"/>
      <c r="K471" s="760"/>
      <c r="L471" s="761"/>
      <c r="M471" s="760"/>
      <c r="N471" s="31"/>
      <c r="O471" s="31"/>
      <c r="P471" s="31"/>
      <c r="Q471" s="31"/>
      <c r="R471" s="31"/>
      <c r="S471" s="31"/>
      <c r="T471" s="762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</row>
    <row r="472">
      <c r="A472" s="31"/>
      <c r="B472" s="31"/>
      <c r="C472" s="31"/>
      <c r="D472" s="31"/>
      <c r="E472" s="187"/>
      <c r="F472" s="31"/>
      <c r="G472" s="31"/>
      <c r="H472" s="31"/>
      <c r="I472" s="31"/>
      <c r="J472" s="31"/>
      <c r="K472" s="760"/>
      <c r="L472" s="761"/>
      <c r="M472" s="760"/>
      <c r="N472" s="31"/>
      <c r="O472" s="31"/>
      <c r="P472" s="31"/>
      <c r="Q472" s="31"/>
      <c r="R472" s="31"/>
      <c r="S472" s="31"/>
      <c r="T472" s="762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</row>
    <row r="473">
      <c r="A473" s="31"/>
      <c r="B473" s="31"/>
      <c r="C473" s="31"/>
      <c r="D473" s="31"/>
      <c r="E473" s="187"/>
      <c r="F473" s="31"/>
      <c r="G473" s="31"/>
      <c r="H473" s="31"/>
      <c r="I473" s="31"/>
      <c r="J473" s="31"/>
      <c r="K473" s="760"/>
      <c r="L473" s="761"/>
      <c r="M473" s="760"/>
      <c r="N473" s="31"/>
      <c r="O473" s="31"/>
      <c r="P473" s="31"/>
      <c r="Q473" s="31"/>
      <c r="R473" s="31"/>
      <c r="S473" s="31"/>
      <c r="T473" s="762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</row>
    <row r="474">
      <c r="A474" s="31"/>
      <c r="B474" s="31"/>
      <c r="C474" s="31"/>
      <c r="D474" s="31"/>
      <c r="E474" s="187"/>
      <c r="F474" s="31"/>
      <c r="G474" s="31"/>
      <c r="H474" s="31"/>
      <c r="I474" s="31"/>
      <c r="J474" s="31"/>
      <c r="K474" s="760"/>
      <c r="L474" s="761"/>
      <c r="M474" s="760"/>
      <c r="N474" s="31"/>
      <c r="O474" s="31"/>
      <c r="P474" s="31"/>
      <c r="Q474" s="31"/>
      <c r="R474" s="31"/>
      <c r="S474" s="31"/>
      <c r="T474" s="762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</row>
    <row r="475">
      <c r="A475" s="31"/>
      <c r="B475" s="31"/>
      <c r="C475" s="31"/>
      <c r="D475" s="31"/>
      <c r="E475" s="187"/>
      <c r="F475" s="31"/>
      <c r="G475" s="31"/>
      <c r="H475" s="31"/>
      <c r="I475" s="31"/>
      <c r="J475" s="31"/>
      <c r="K475" s="760"/>
      <c r="L475" s="761"/>
      <c r="M475" s="760"/>
      <c r="N475" s="31"/>
      <c r="O475" s="31"/>
      <c r="P475" s="31"/>
      <c r="Q475" s="31"/>
      <c r="R475" s="31"/>
      <c r="S475" s="31"/>
      <c r="T475" s="762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</row>
    <row r="476">
      <c r="A476" s="31"/>
      <c r="B476" s="31"/>
      <c r="C476" s="31"/>
      <c r="D476" s="31"/>
      <c r="E476" s="187"/>
      <c r="F476" s="31"/>
      <c r="G476" s="31"/>
      <c r="H476" s="31"/>
      <c r="I476" s="31"/>
      <c r="J476" s="31"/>
      <c r="K476" s="760"/>
      <c r="L476" s="761"/>
      <c r="M476" s="760"/>
      <c r="N476" s="31"/>
      <c r="O476" s="31"/>
      <c r="P476" s="31"/>
      <c r="Q476" s="31"/>
      <c r="R476" s="31"/>
      <c r="S476" s="31"/>
      <c r="T476" s="762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</row>
    <row r="477">
      <c r="A477" s="31"/>
      <c r="B477" s="31"/>
      <c r="C477" s="31"/>
      <c r="D477" s="31"/>
      <c r="E477" s="187"/>
      <c r="F477" s="31"/>
      <c r="G477" s="31"/>
      <c r="H477" s="31"/>
      <c r="I477" s="31"/>
      <c r="J477" s="31"/>
      <c r="K477" s="760"/>
      <c r="L477" s="761"/>
      <c r="M477" s="760"/>
      <c r="N477" s="31"/>
      <c r="O477" s="31"/>
      <c r="P477" s="31"/>
      <c r="Q477" s="31"/>
      <c r="R477" s="31"/>
      <c r="S477" s="31"/>
      <c r="T477" s="762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</row>
    <row r="478">
      <c r="A478" s="31"/>
      <c r="B478" s="31"/>
      <c r="C478" s="31"/>
      <c r="D478" s="31"/>
      <c r="E478" s="187"/>
      <c r="F478" s="31"/>
      <c r="G478" s="31"/>
      <c r="H478" s="31"/>
      <c r="I478" s="31"/>
      <c r="J478" s="31"/>
      <c r="K478" s="760"/>
      <c r="L478" s="761"/>
      <c r="M478" s="760"/>
      <c r="N478" s="31"/>
      <c r="O478" s="31"/>
      <c r="P478" s="31"/>
      <c r="Q478" s="31"/>
      <c r="R478" s="31"/>
      <c r="S478" s="31"/>
      <c r="T478" s="762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</row>
    <row r="479">
      <c r="A479" s="31"/>
      <c r="B479" s="31"/>
      <c r="C479" s="31"/>
      <c r="D479" s="31"/>
      <c r="E479" s="187"/>
      <c r="F479" s="31"/>
      <c r="G479" s="31"/>
      <c r="H479" s="31"/>
      <c r="I479" s="31"/>
      <c r="J479" s="31"/>
      <c r="K479" s="760"/>
      <c r="L479" s="761"/>
      <c r="M479" s="760"/>
      <c r="N479" s="31"/>
      <c r="O479" s="31"/>
      <c r="P479" s="31"/>
      <c r="Q479" s="31"/>
      <c r="R479" s="31"/>
      <c r="S479" s="31"/>
      <c r="T479" s="762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</row>
    <row r="480">
      <c r="A480" s="31"/>
      <c r="B480" s="31"/>
      <c r="C480" s="31"/>
      <c r="D480" s="31"/>
      <c r="E480" s="187"/>
      <c r="F480" s="31"/>
      <c r="G480" s="31"/>
      <c r="H480" s="31"/>
      <c r="I480" s="31"/>
      <c r="J480" s="31"/>
      <c r="K480" s="760"/>
      <c r="L480" s="761"/>
      <c r="M480" s="760"/>
      <c r="N480" s="31"/>
      <c r="O480" s="31"/>
      <c r="P480" s="31"/>
      <c r="Q480" s="31"/>
      <c r="R480" s="31"/>
      <c r="S480" s="31"/>
      <c r="T480" s="762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</row>
    <row r="481">
      <c r="A481" s="31"/>
      <c r="B481" s="31"/>
      <c r="C481" s="31"/>
      <c r="D481" s="31"/>
      <c r="E481" s="187"/>
      <c r="F481" s="31"/>
      <c r="G481" s="31"/>
      <c r="H481" s="31"/>
      <c r="I481" s="31"/>
      <c r="J481" s="31"/>
      <c r="K481" s="760"/>
      <c r="L481" s="761"/>
      <c r="M481" s="760"/>
      <c r="N481" s="31"/>
      <c r="O481" s="31"/>
      <c r="P481" s="31"/>
      <c r="Q481" s="31"/>
      <c r="R481" s="31"/>
      <c r="S481" s="31"/>
      <c r="T481" s="762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</row>
    <row r="482">
      <c r="A482" s="31"/>
      <c r="B482" s="31"/>
      <c r="C482" s="31"/>
      <c r="D482" s="31"/>
      <c r="E482" s="187"/>
      <c r="F482" s="31"/>
      <c r="G482" s="31"/>
      <c r="H482" s="31"/>
      <c r="I482" s="31"/>
      <c r="J482" s="31"/>
      <c r="K482" s="760"/>
      <c r="L482" s="761"/>
      <c r="M482" s="760"/>
      <c r="N482" s="31"/>
      <c r="O482" s="31"/>
      <c r="P482" s="31"/>
      <c r="Q482" s="31"/>
      <c r="R482" s="31"/>
      <c r="S482" s="31"/>
      <c r="T482" s="762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</row>
    <row r="483">
      <c r="A483" s="31"/>
      <c r="B483" s="31"/>
      <c r="C483" s="31"/>
      <c r="D483" s="31"/>
      <c r="E483" s="187"/>
      <c r="F483" s="31"/>
      <c r="G483" s="31"/>
      <c r="H483" s="31"/>
      <c r="I483" s="31"/>
      <c r="J483" s="31"/>
      <c r="K483" s="760"/>
      <c r="L483" s="761"/>
      <c r="M483" s="760"/>
      <c r="N483" s="31"/>
      <c r="O483" s="31"/>
      <c r="P483" s="31"/>
      <c r="Q483" s="31"/>
      <c r="R483" s="31"/>
      <c r="S483" s="31"/>
      <c r="T483" s="762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</row>
    <row r="484">
      <c r="A484" s="31"/>
      <c r="B484" s="31"/>
      <c r="C484" s="31"/>
      <c r="D484" s="31"/>
      <c r="E484" s="187"/>
      <c r="F484" s="31"/>
      <c r="G484" s="31"/>
      <c r="H484" s="31"/>
      <c r="I484" s="31"/>
      <c r="J484" s="31"/>
      <c r="K484" s="760"/>
      <c r="L484" s="761"/>
      <c r="M484" s="760"/>
      <c r="N484" s="31"/>
      <c r="O484" s="31"/>
      <c r="P484" s="31"/>
      <c r="Q484" s="31"/>
      <c r="R484" s="31"/>
      <c r="S484" s="31"/>
      <c r="T484" s="762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</row>
    <row r="485">
      <c r="A485" s="31"/>
      <c r="B485" s="31"/>
      <c r="C485" s="31"/>
      <c r="D485" s="31"/>
      <c r="E485" s="187"/>
      <c r="F485" s="31"/>
      <c r="G485" s="31"/>
      <c r="H485" s="31"/>
      <c r="I485" s="31"/>
      <c r="J485" s="31"/>
      <c r="K485" s="760"/>
      <c r="L485" s="761"/>
      <c r="M485" s="760"/>
      <c r="N485" s="31"/>
      <c r="O485" s="31"/>
      <c r="P485" s="31"/>
      <c r="Q485" s="31"/>
      <c r="R485" s="31"/>
      <c r="S485" s="31"/>
      <c r="T485" s="762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</row>
    <row r="486">
      <c r="A486" s="31"/>
      <c r="B486" s="31"/>
      <c r="C486" s="31"/>
      <c r="D486" s="31"/>
      <c r="E486" s="187"/>
      <c r="F486" s="31"/>
      <c r="G486" s="31"/>
      <c r="H486" s="31"/>
      <c r="I486" s="31"/>
      <c r="J486" s="31"/>
      <c r="K486" s="760"/>
      <c r="L486" s="761"/>
      <c r="M486" s="760"/>
      <c r="N486" s="31"/>
      <c r="O486" s="31"/>
      <c r="P486" s="31"/>
      <c r="Q486" s="31"/>
      <c r="R486" s="31"/>
      <c r="S486" s="31"/>
      <c r="T486" s="762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</row>
    <row r="487">
      <c r="A487" s="31"/>
      <c r="B487" s="31"/>
      <c r="C487" s="31"/>
      <c r="D487" s="31"/>
      <c r="E487" s="187"/>
      <c r="F487" s="31"/>
      <c r="G487" s="31"/>
      <c r="H487" s="31"/>
      <c r="I487" s="31"/>
      <c r="J487" s="31"/>
      <c r="K487" s="760"/>
      <c r="L487" s="761"/>
      <c r="M487" s="760"/>
      <c r="N487" s="31"/>
      <c r="O487" s="31"/>
      <c r="P487" s="31"/>
      <c r="Q487" s="31"/>
      <c r="R487" s="31"/>
      <c r="S487" s="31"/>
      <c r="T487" s="762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</row>
    <row r="488">
      <c r="A488" s="31"/>
      <c r="B488" s="31"/>
      <c r="C488" s="31"/>
      <c r="D488" s="31"/>
      <c r="E488" s="187"/>
      <c r="F488" s="31"/>
      <c r="G488" s="31"/>
      <c r="H488" s="31"/>
      <c r="I488" s="31"/>
      <c r="J488" s="31"/>
      <c r="K488" s="760"/>
      <c r="L488" s="761"/>
      <c r="M488" s="760"/>
      <c r="N488" s="31"/>
      <c r="O488" s="31"/>
      <c r="P488" s="31"/>
      <c r="Q488" s="31"/>
      <c r="R488" s="31"/>
      <c r="S488" s="31"/>
      <c r="T488" s="762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</row>
    <row r="489">
      <c r="A489" s="31"/>
      <c r="B489" s="31"/>
      <c r="C489" s="31"/>
      <c r="D489" s="31"/>
      <c r="E489" s="187"/>
      <c r="F489" s="31"/>
      <c r="G489" s="31"/>
      <c r="H489" s="31"/>
      <c r="I489" s="31"/>
      <c r="J489" s="31"/>
      <c r="K489" s="760"/>
      <c r="L489" s="761"/>
      <c r="M489" s="760"/>
      <c r="N489" s="31"/>
      <c r="O489" s="31"/>
      <c r="P489" s="31"/>
      <c r="Q489" s="31"/>
      <c r="R489" s="31"/>
      <c r="S489" s="31"/>
      <c r="T489" s="762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</row>
    <row r="490">
      <c r="A490" s="31"/>
      <c r="B490" s="31"/>
      <c r="C490" s="31"/>
      <c r="D490" s="31"/>
      <c r="E490" s="187"/>
      <c r="F490" s="31"/>
      <c r="G490" s="31"/>
      <c r="H490" s="31"/>
      <c r="I490" s="31"/>
      <c r="J490" s="31"/>
      <c r="K490" s="760"/>
      <c r="L490" s="761"/>
      <c r="M490" s="760"/>
      <c r="N490" s="31"/>
      <c r="O490" s="31"/>
      <c r="P490" s="31"/>
      <c r="Q490" s="31"/>
      <c r="R490" s="31"/>
      <c r="S490" s="31"/>
      <c r="T490" s="762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</row>
    <row r="491">
      <c r="A491" s="31"/>
      <c r="B491" s="31"/>
      <c r="C491" s="31"/>
      <c r="D491" s="31"/>
      <c r="E491" s="187"/>
      <c r="F491" s="31"/>
      <c r="G491" s="31"/>
      <c r="H491" s="31"/>
      <c r="I491" s="31"/>
      <c r="J491" s="31"/>
      <c r="K491" s="760"/>
      <c r="L491" s="761"/>
      <c r="M491" s="760"/>
      <c r="N491" s="31"/>
      <c r="O491" s="31"/>
      <c r="P491" s="31"/>
      <c r="Q491" s="31"/>
      <c r="R491" s="31"/>
      <c r="S491" s="31"/>
      <c r="T491" s="762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</row>
    <row r="492">
      <c r="A492" s="31"/>
      <c r="B492" s="31"/>
      <c r="C492" s="31"/>
      <c r="D492" s="31"/>
      <c r="E492" s="187"/>
      <c r="F492" s="31"/>
      <c r="G492" s="31"/>
      <c r="H492" s="31"/>
      <c r="I492" s="31"/>
      <c r="J492" s="31"/>
      <c r="K492" s="760"/>
      <c r="L492" s="761"/>
      <c r="M492" s="760"/>
      <c r="N492" s="31"/>
      <c r="O492" s="31"/>
      <c r="P492" s="31"/>
      <c r="Q492" s="31"/>
      <c r="R492" s="31"/>
      <c r="S492" s="31"/>
      <c r="T492" s="762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</row>
    <row r="493">
      <c r="A493" s="31"/>
      <c r="B493" s="31"/>
      <c r="C493" s="31"/>
      <c r="D493" s="31"/>
      <c r="E493" s="187"/>
      <c r="F493" s="31"/>
      <c r="G493" s="31"/>
      <c r="H493" s="31"/>
      <c r="I493" s="31"/>
      <c r="J493" s="31"/>
      <c r="K493" s="760"/>
      <c r="L493" s="761"/>
      <c r="M493" s="760"/>
      <c r="N493" s="31"/>
      <c r="O493" s="31"/>
      <c r="P493" s="31"/>
      <c r="Q493" s="31"/>
      <c r="R493" s="31"/>
      <c r="S493" s="31"/>
      <c r="T493" s="762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</row>
    <row r="494">
      <c r="A494" s="31"/>
      <c r="B494" s="31"/>
      <c r="C494" s="31"/>
      <c r="D494" s="31"/>
      <c r="E494" s="187"/>
      <c r="F494" s="31"/>
      <c r="G494" s="31"/>
      <c r="H494" s="31"/>
      <c r="I494" s="31"/>
      <c r="J494" s="31"/>
      <c r="K494" s="760"/>
      <c r="L494" s="761"/>
      <c r="M494" s="760"/>
      <c r="N494" s="31"/>
      <c r="O494" s="31"/>
      <c r="P494" s="31"/>
      <c r="Q494" s="31"/>
      <c r="R494" s="31"/>
      <c r="S494" s="31"/>
      <c r="T494" s="762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</row>
    <row r="495">
      <c r="A495" s="31"/>
      <c r="B495" s="31"/>
      <c r="C495" s="31"/>
      <c r="D495" s="31"/>
      <c r="E495" s="187"/>
      <c r="F495" s="31"/>
      <c r="G495" s="31"/>
      <c r="H495" s="31"/>
      <c r="I495" s="31"/>
      <c r="J495" s="31"/>
      <c r="K495" s="760"/>
      <c r="L495" s="761"/>
      <c r="M495" s="760"/>
      <c r="N495" s="31"/>
      <c r="O495" s="31"/>
      <c r="P495" s="31"/>
      <c r="Q495" s="31"/>
      <c r="R495" s="31"/>
      <c r="S495" s="31"/>
      <c r="T495" s="762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</row>
    <row r="496">
      <c r="A496" s="31"/>
      <c r="B496" s="31"/>
      <c r="C496" s="31"/>
      <c r="D496" s="31"/>
      <c r="E496" s="187"/>
      <c r="F496" s="31"/>
      <c r="G496" s="31"/>
      <c r="H496" s="31"/>
      <c r="I496" s="31"/>
      <c r="J496" s="31"/>
      <c r="K496" s="760"/>
      <c r="L496" s="761"/>
      <c r="M496" s="760"/>
      <c r="N496" s="31"/>
      <c r="O496" s="31"/>
      <c r="P496" s="31"/>
      <c r="Q496" s="31"/>
      <c r="R496" s="31"/>
      <c r="S496" s="31"/>
      <c r="T496" s="762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</row>
    <row r="497">
      <c r="A497" s="31"/>
      <c r="B497" s="31"/>
      <c r="C497" s="31"/>
      <c r="D497" s="31"/>
      <c r="E497" s="187"/>
      <c r="F497" s="31"/>
      <c r="G497" s="31"/>
      <c r="H497" s="31"/>
      <c r="I497" s="31"/>
      <c r="J497" s="31"/>
      <c r="K497" s="760"/>
      <c r="L497" s="761"/>
      <c r="M497" s="760"/>
      <c r="N497" s="31"/>
      <c r="O497" s="31"/>
      <c r="P497" s="31"/>
      <c r="Q497" s="31"/>
      <c r="R497" s="31"/>
      <c r="S497" s="31"/>
      <c r="T497" s="762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</row>
    <row r="498">
      <c r="A498" s="31"/>
      <c r="B498" s="31"/>
      <c r="C498" s="31"/>
      <c r="D498" s="31"/>
      <c r="E498" s="187"/>
      <c r="F498" s="31"/>
      <c r="G498" s="31"/>
      <c r="H498" s="31"/>
      <c r="I498" s="31"/>
      <c r="J498" s="31"/>
      <c r="K498" s="760"/>
      <c r="L498" s="761"/>
      <c r="M498" s="760"/>
      <c r="N498" s="31"/>
      <c r="O498" s="31"/>
      <c r="P498" s="31"/>
      <c r="Q498" s="31"/>
      <c r="R498" s="31"/>
      <c r="S498" s="31"/>
      <c r="T498" s="762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</row>
    <row r="499">
      <c r="A499" s="31"/>
      <c r="B499" s="31"/>
      <c r="C499" s="31"/>
      <c r="D499" s="31"/>
      <c r="E499" s="187"/>
      <c r="F499" s="31"/>
      <c r="G499" s="31"/>
      <c r="H499" s="31"/>
      <c r="I499" s="31"/>
      <c r="J499" s="31"/>
      <c r="K499" s="760"/>
      <c r="L499" s="761"/>
      <c r="M499" s="760"/>
      <c r="N499" s="31"/>
      <c r="O499" s="31"/>
      <c r="P499" s="31"/>
      <c r="Q499" s="31"/>
      <c r="R499" s="31"/>
      <c r="S499" s="31"/>
      <c r="T499" s="762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</row>
    <row r="500">
      <c r="A500" s="31"/>
      <c r="B500" s="31"/>
      <c r="C500" s="31"/>
      <c r="D500" s="31"/>
      <c r="E500" s="187"/>
      <c r="F500" s="31"/>
      <c r="G500" s="31"/>
      <c r="H500" s="31"/>
      <c r="I500" s="31"/>
      <c r="J500" s="31"/>
      <c r="K500" s="760"/>
      <c r="L500" s="761"/>
      <c r="M500" s="760"/>
      <c r="N500" s="31"/>
      <c r="O500" s="31"/>
      <c r="P500" s="31"/>
      <c r="Q500" s="31"/>
      <c r="R500" s="31"/>
      <c r="S500" s="31"/>
      <c r="T500" s="762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</row>
    <row r="501">
      <c r="A501" s="31"/>
      <c r="B501" s="31"/>
      <c r="C501" s="31"/>
      <c r="D501" s="31"/>
      <c r="E501" s="187"/>
      <c r="F501" s="31"/>
      <c r="G501" s="31"/>
      <c r="H501" s="31"/>
      <c r="I501" s="31"/>
      <c r="J501" s="31"/>
      <c r="K501" s="760"/>
      <c r="L501" s="761"/>
      <c r="M501" s="760"/>
      <c r="N501" s="31"/>
      <c r="O501" s="31"/>
      <c r="P501" s="31"/>
      <c r="Q501" s="31"/>
      <c r="R501" s="31"/>
      <c r="S501" s="31"/>
      <c r="T501" s="762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</row>
    <row r="502">
      <c r="A502" s="31"/>
      <c r="B502" s="31"/>
      <c r="C502" s="31"/>
      <c r="D502" s="31"/>
      <c r="E502" s="187"/>
      <c r="F502" s="31"/>
      <c r="G502" s="31"/>
      <c r="H502" s="31"/>
      <c r="I502" s="31"/>
      <c r="J502" s="31"/>
      <c r="K502" s="760"/>
      <c r="L502" s="761"/>
      <c r="M502" s="760"/>
      <c r="N502" s="31"/>
      <c r="O502" s="31"/>
      <c r="P502" s="31"/>
      <c r="Q502" s="31"/>
      <c r="R502" s="31"/>
      <c r="S502" s="31"/>
      <c r="T502" s="762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</row>
    <row r="503">
      <c r="A503" s="31"/>
      <c r="B503" s="31"/>
      <c r="C503" s="31"/>
      <c r="D503" s="31"/>
      <c r="E503" s="187"/>
      <c r="F503" s="31"/>
      <c r="G503" s="31"/>
      <c r="H503" s="31"/>
      <c r="I503" s="31"/>
      <c r="J503" s="31"/>
      <c r="K503" s="760"/>
      <c r="L503" s="761"/>
      <c r="M503" s="760"/>
      <c r="N503" s="31"/>
      <c r="O503" s="31"/>
      <c r="P503" s="31"/>
      <c r="Q503" s="31"/>
      <c r="R503" s="31"/>
      <c r="S503" s="31"/>
      <c r="T503" s="762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</row>
    <row r="504">
      <c r="A504" s="31"/>
      <c r="B504" s="31"/>
      <c r="C504" s="31"/>
      <c r="D504" s="31"/>
      <c r="E504" s="187"/>
      <c r="F504" s="31"/>
      <c r="G504" s="31"/>
      <c r="H504" s="31"/>
      <c r="I504" s="31"/>
      <c r="J504" s="31"/>
      <c r="K504" s="760"/>
      <c r="L504" s="761"/>
      <c r="M504" s="760"/>
      <c r="N504" s="31"/>
      <c r="O504" s="31"/>
      <c r="P504" s="31"/>
      <c r="Q504" s="31"/>
      <c r="R504" s="31"/>
      <c r="S504" s="31"/>
      <c r="T504" s="762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</row>
    <row r="505">
      <c r="A505" s="31"/>
      <c r="B505" s="31"/>
      <c r="C505" s="31"/>
      <c r="D505" s="31"/>
      <c r="E505" s="187"/>
      <c r="F505" s="31"/>
      <c r="G505" s="31"/>
      <c r="H505" s="31"/>
      <c r="I505" s="31"/>
      <c r="J505" s="31"/>
      <c r="K505" s="760"/>
      <c r="L505" s="761"/>
      <c r="M505" s="760"/>
      <c r="N505" s="31"/>
      <c r="O505" s="31"/>
      <c r="P505" s="31"/>
      <c r="Q505" s="31"/>
      <c r="R505" s="31"/>
      <c r="S505" s="31"/>
      <c r="T505" s="762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</row>
    <row r="506">
      <c r="A506" s="31"/>
      <c r="B506" s="31"/>
      <c r="C506" s="31"/>
      <c r="D506" s="31"/>
      <c r="E506" s="187"/>
      <c r="F506" s="31"/>
      <c r="G506" s="31"/>
      <c r="H506" s="31"/>
      <c r="I506" s="31"/>
      <c r="J506" s="31"/>
      <c r="K506" s="760"/>
      <c r="L506" s="761"/>
      <c r="M506" s="760"/>
      <c r="N506" s="31"/>
      <c r="O506" s="31"/>
      <c r="P506" s="31"/>
      <c r="Q506" s="31"/>
      <c r="R506" s="31"/>
      <c r="S506" s="31"/>
      <c r="T506" s="762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</row>
    <row r="507">
      <c r="A507" s="31"/>
      <c r="B507" s="31"/>
      <c r="C507" s="31"/>
      <c r="D507" s="31"/>
      <c r="E507" s="187"/>
      <c r="F507" s="31"/>
      <c r="G507" s="31"/>
      <c r="H507" s="31"/>
      <c r="I507" s="31"/>
      <c r="J507" s="31"/>
      <c r="K507" s="760"/>
      <c r="L507" s="761"/>
      <c r="M507" s="760"/>
      <c r="N507" s="31"/>
      <c r="O507" s="31"/>
      <c r="P507" s="31"/>
      <c r="Q507" s="31"/>
      <c r="R507" s="31"/>
      <c r="S507" s="31"/>
      <c r="T507" s="762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</row>
    <row r="508">
      <c r="A508" s="31"/>
      <c r="B508" s="31"/>
      <c r="C508" s="31"/>
      <c r="D508" s="31"/>
      <c r="E508" s="187"/>
      <c r="F508" s="31"/>
      <c r="G508" s="31"/>
      <c r="H508" s="31"/>
      <c r="I508" s="31"/>
      <c r="J508" s="31"/>
      <c r="K508" s="760"/>
      <c r="L508" s="761"/>
      <c r="M508" s="760"/>
      <c r="N508" s="31"/>
      <c r="O508" s="31"/>
      <c r="P508" s="31"/>
      <c r="Q508" s="31"/>
      <c r="R508" s="31"/>
      <c r="S508" s="31"/>
      <c r="T508" s="762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</row>
    <row r="509">
      <c r="A509" s="31"/>
      <c r="B509" s="31"/>
      <c r="C509" s="31"/>
      <c r="D509" s="31"/>
      <c r="E509" s="187"/>
      <c r="F509" s="31"/>
      <c r="G509" s="31"/>
      <c r="H509" s="31"/>
      <c r="I509" s="31"/>
      <c r="J509" s="31"/>
      <c r="K509" s="760"/>
      <c r="L509" s="761"/>
      <c r="M509" s="760"/>
      <c r="N509" s="31"/>
      <c r="O509" s="31"/>
      <c r="P509" s="31"/>
      <c r="Q509" s="31"/>
      <c r="R509" s="31"/>
      <c r="S509" s="31"/>
      <c r="T509" s="762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</row>
    <row r="510">
      <c r="A510" s="31"/>
      <c r="B510" s="31"/>
      <c r="C510" s="31"/>
      <c r="D510" s="31"/>
      <c r="E510" s="187"/>
      <c r="F510" s="31"/>
      <c r="G510" s="31"/>
      <c r="H510" s="31"/>
      <c r="I510" s="31"/>
      <c r="J510" s="31"/>
      <c r="K510" s="760"/>
      <c r="L510" s="761"/>
      <c r="M510" s="760"/>
      <c r="N510" s="31"/>
      <c r="O510" s="31"/>
      <c r="P510" s="31"/>
      <c r="Q510" s="31"/>
      <c r="R510" s="31"/>
      <c r="S510" s="31"/>
      <c r="T510" s="762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</row>
    <row r="511">
      <c r="A511" s="31"/>
      <c r="B511" s="31"/>
      <c r="C511" s="31"/>
      <c r="D511" s="31"/>
      <c r="E511" s="187"/>
      <c r="F511" s="31"/>
      <c r="G511" s="31"/>
      <c r="H511" s="31"/>
      <c r="I511" s="31"/>
      <c r="J511" s="31"/>
      <c r="K511" s="760"/>
      <c r="L511" s="761"/>
      <c r="M511" s="760"/>
      <c r="N511" s="31"/>
      <c r="O511" s="31"/>
      <c r="P511" s="31"/>
      <c r="Q511" s="31"/>
      <c r="R511" s="31"/>
      <c r="S511" s="31"/>
      <c r="T511" s="762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</row>
    <row r="512">
      <c r="A512" s="31"/>
      <c r="B512" s="31"/>
      <c r="C512" s="31"/>
      <c r="D512" s="31"/>
      <c r="E512" s="187"/>
      <c r="F512" s="31"/>
      <c r="G512" s="31"/>
      <c r="H512" s="31"/>
      <c r="I512" s="31"/>
      <c r="J512" s="31"/>
      <c r="K512" s="760"/>
      <c r="L512" s="761"/>
      <c r="M512" s="760"/>
      <c r="N512" s="31"/>
      <c r="O512" s="31"/>
      <c r="P512" s="31"/>
      <c r="Q512" s="31"/>
      <c r="R512" s="31"/>
      <c r="S512" s="31"/>
      <c r="T512" s="762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</row>
    <row r="513">
      <c r="A513" s="31"/>
      <c r="B513" s="31"/>
      <c r="C513" s="31"/>
      <c r="D513" s="31"/>
      <c r="E513" s="187"/>
      <c r="F513" s="31"/>
      <c r="G513" s="31"/>
      <c r="H513" s="31"/>
      <c r="I513" s="31"/>
      <c r="J513" s="31"/>
      <c r="K513" s="760"/>
      <c r="L513" s="761"/>
      <c r="M513" s="760"/>
      <c r="N513" s="31"/>
      <c r="O513" s="31"/>
      <c r="P513" s="31"/>
      <c r="Q513" s="31"/>
      <c r="R513" s="31"/>
      <c r="S513" s="31"/>
      <c r="T513" s="762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</row>
    <row r="514">
      <c r="A514" s="31"/>
      <c r="B514" s="31"/>
      <c r="C514" s="31"/>
      <c r="D514" s="31"/>
      <c r="E514" s="187"/>
      <c r="F514" s="31"/>
      <c r="G514" s="31"/>
      <c r="H514" s="31"/>
      <c r="I514" s="31"/>
      <c r="J514" s="31"/>
      <c r="K514" s="760"/>
      <c r="L514" s="761"/>
      <c r="M514" s="760"/>
      <c r="N514" s="31"/>
      <c r="O514" s="31"/>
      <c r="P514" s="31"/>
      <c r="Q514" s="31"/>
      <c r="R514" s="31"/>
      <c r="S514" s="31"/>
      <c r="T514" s="762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</row>
    <row r="515">
      <c r="A515" s="31"/>
      <c r="B515" s="31"/>
      <c r="C515" s="31"/>
      <c r="D515" s="31"/>
      <c r="E515" s="187"/>
      <c r="F515" s="31"/>
      <c r="G515" s="31"/>
      <c r="H515" s="31"/>
      <c r="I515" s="31"/>
      <c r="J515" s="31"/>
      <c r="K515" s="760"/>
      <c r="L515" s="761"/>
      <c r="M515" s="760"/>
      <c r="N515" s="31"/>
      <c r="O515" s="31"/>
      <c r="P515" s="31"/>
      <c r="Q515" s="31"/>
      <c r="R515" s="31"/>
      <c r="S515" s="31"/>
      <c r="T515" s="762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</row>
    <row r="516">
      <c r="A516" s="31"/>
      <c r="B516" s="31"/>
      <c r="C516" s="31"/>
      <c r="D516" s="31"/>
      <c r="E516" s="187"/>
      <c r="F516" s="31"/>
      <c r="G516" s="31"/>
      <c r="H516" s="31"/>
      <c r="I516" s="31"/>
      <c r="J516" s="31"/>
      <c r="K516" s="760"/>
      <c r="L516" s="761"/>
      <c r="M516" s="760"/>
      <c r="N516" s="31"/>
      <c r="O516" s="31"/>
      <c r="P516" s="31"/>
      <c r="Q516" s="31"/>
      <c r="R516" s="31"/>
      <c r="S516" s="31"/>
      <c r="T516" s="762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</row>
    <row r="517">
      <c r="A517" s="31"/>
      <c r="B517" s="31"/>
      <c r="C517" s="31"/>
      <c r="D517" s="31"/>
      <c r="E517" s="187"/>
      <c r="F517" s="31"/>
      <c r="G517" s="31"/>
      <c r="H517" s="31"/>
      <c r="I517" s="31"/>
      <c r="J517" s="31"/>
      <c r="K517" s="760"/>
      <c r="L517" s="761"/>
      <c r="M517" s="760"/>
      <c r="N517" s="31"/>
      <c r="O517" s="31"/>
      <c r="P517" s="31"/>
      <c r="Q517" s="31"/>
      <c r="R517" s="31"/>
      <c r="S517" s="31"/>
      <c r="T517" s="762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</row>
    <row r="518">
      <c r="A518" s="31"/>
      <c r="B518" s="31"/>
      <c r="C518" s="31"/>
      <c r="D518" s="31"/>
      <c r="E518" s="187"/>
      <c r="F518" s="31"/>
      <c r="G518" s="31"/>
      <c r="H518" s="31"/>
      <c r="I518" s="31"/>
      <c r="J518" s="31"/>
      <c r="K518" s="760"/>
      <c r="L518" s="761"/>
      <c r="M518" s="760"/>
      <c r="N518" s="31"/>
      <c r="O518" s="31"/>
      <c r="P518" s="31"/>
      <c r="Q518" s="31"/>
      <c r="R518" s="31"/>
      <c r="S518" s="31"/>
      <c r="T518" s="762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</row>
    <row r="519">
      <c r="A519" s="31"/>
      <c r="B519" s="31"/>
      <c r="C519" s="31"/>
      <c r="D519" s="31"/>
      <c r="E519" s="187"/>
      <c r="F519" s="31"/>
      <c r="G519" s="31"/>
      <c r="H519" s="31"/>
      <c r="I519" s="31"/>
      <c r="J519" s="31"/>
      <c r="K519" s="760"/>
      <c r="L519" s="761"/>
      <c r="M519" s="760"/>
      <c r="N519" s="31"/>
      <c r="O519" s="31"/>
      <c r="P519" s="31"/>
      <c r="Q519" s="31"/>
      <c r="R519" s="31"/>
      <c r="S519" s="31"/>
      <c r="T519" s="762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</row>
    <row r="520">
      <c r="A520" s="31"/>
      <c r="B520" s="31"/>
      <c r="C520" s="31"/>
      <c r="D520" s="31"/>
      <c r="E520" s="187"/>
      <c r="F520" s="31"/>
      <c r="G520" s="31"/>
      <c r="H520" s="31"/>
      <c r="I520" s="31"/>
      <c r="J520" s="31"/>
      <c r="K520" s="760"/>
      <c r="L520" s="761"/>
      <c r="M520" s="760"/>
      <c r="N520" s="31"/>
      <c r="O520" s="31"/>
      <c r="P520" s="31"/>
      <c r="Q520" s="31"/>
      <c r="R520" s="31"/>
      <c r="S520" s="31"/>
      <c r="T520" s="762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</row>
    <row r="521">
      <c r="A521" s="31"/>
      <c r="B521" s="31"/>
      <c r="C521" s="31"/>
      <c r="D521" s="31"/>
      <c r="E521" s="187"/>
      <c r="F521" s="31"/>
      <c r="G521" s="31"/>
      <c r="H521" s="31"/>
      <c r="I521" s="31"/>
      <c r="J521" s="31"/>
      <c r="K521" s="760"/>
      <c r="L521" s="761"/>
      <c r="M521" s="760"/>
      <c r="N521" s="31"/>
      <c r="O521" s="31"/>
      <c r="P521" s="31"/>
      <c r="Q521" s="31"/>
      <c r="R521" s="31"/>
      <c r="S521" s="31"/>
      <c r="T521" s="762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</row>
    <row r="522">
      <c r="A522" s="31"/>
      <c r="B522" s="31"/>
      <c r="C522" s="31"/>
      <c r="D522" s="31"/>
      <c r="E522" s="187"/>
      <c r="F522" s="31"/>
      <c r="G522" s="31"/>
      <c r="H522" s="31"/>
      <c r="I522" s="31"/>
      <c r="J522" s="31"/>
      <c r="K522" s="760"/>
      <c r="L522" s="761"/>
      <c r="M522" s="760"/>
      <c r="N522" s="31"/>
      <c r="O522" s="31"/>
      <c r="P522" s="31"/>
      <c r="Q522" s="31"/>
      <c r="R522" s="31"/>
      <c r="S522" s="31"/>
      <c r="T522" s="762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</row>
    <row r="523">
      <c r="A523" s="31"/>
      <c r="B523" s="31"/>
      <c r="C523" s="31"/>
      <c r="D523" s="31"/>
      <c r="E523" s="187"/>
      <c r="F523" s="31"/>
      <c r="G523" s="31"/>
      <c r="H523" s="31"/>
      <c r="I523" s="31"/>
      <c r="J523" s="31"/>
      <c r="K523" s="760"/>
      <c r="L523" s="761"/>
      <c r="M523" s="760"/>
      <c r="N523" s="31"/>
      <c r="O523" s="31"/>
      <c r="P523" s="31"/>
      <c r="Q523" s="31"/>
      <c r="R523" s="31"/>
      <c r="S523" s="31"/>
      <c r="T523" s="762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</row>
    <row r="524">
      <c r="A524" s="31"/>
      <c r="B524" s="31"/>
      <c r="C524" s="31"/>
      <c r="D524" s="31"/>
      <c r="E524" s="187"/>
      <c r="F524" s="31"/>
      <c r="G524" s="31"/>
      <c r="H524" s="31"/>
      <c r="I524" s="31"/>
      <c r="J524" s="31"/>
      <c r="K524" s="760"/>
      <c r="L524" s="761"/>
      <c r="M524" s="760"/>
      <c r="N524" s="31"/>
      <c r="O524" s="31"/>
      <c r="P524" s="31"/>
      <c r="Q524" s="31"/>
      <c r="R524" s="31"/>
      <c r="S524" s="31"/>
      <c r="T524" s="762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</row>
    <row r="525">
      <c r="A525" s="31"/>
      <c r="B525" s="31"/>
      <c r="C525" s="31"/>
      <c r="D525" s="31"/>
      <c r="E525" s="187"/>
      <c r="F525" s="31"/>
      <c r="G525" s="31"/>
      <c r="H525" s="31"/>
      <c r="I525" s="31"/>
      <c r="J525" s="31"/>
      <c r="K525" s="760"/>
      <c r="L525" s="761"/>
      <c r="M525" s="760"/>
      <c r="N525" s="31"/>
      <c r="O525" s="31"/>
      <c r="P525" s="31"/>
      <c r="Q525" s="31"/>
      <c r="R525" s="31"/>
      <c r="S525" s="31"/>
      <c r="T525" s="762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</row>
    <row r="526">
      <c r="A526" s="31"/>
      <c r="B526" s="31"/>
      <c r="C526" s="31"/>
      <c r="D526" s="31"/>
      <c r="E526" s="187"/>
      <c r="F526" s="31"/>
      <c r="G526" s="31"/>
      <c r="H526" s="31"/>
      <c r="I526" s="31"/>
      <c r="J526" s="31"/>
      <c r="K526" s="760"/>
      <c r="L526" s="761"/>
      <c r="M526" s="760"/>
      <c r="N526" s="31"/>
      <c r="O526" s="31"/>
      <c r="P526" s="31"/>
      <c r="Q526" s="31"/>
      <c r="R526" s="31"/>
      <c r="S526" s="31"/>
      <c r="T526" s="762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</row>
    <row r="527">
      <c r="A527" s="31"/>
      <c r="B527" s="31"/>
      <c r="C527" s="31"/>
      <c r="D527" s="31"/>
      <c r="E527" s="187"/>
      <c r="F527" s="31"/>
      <c r="G527" s="31"/>
      <c r="H527" s="31"/>
      <c r="I527" s="31"/>
      <c r="J527" s="31"/>
      <c r="K527" s="760"/>
      <c r="L527" s="761"/>
      <c r="M527" s="760"/>
      <c r="N527" s="31"/>
      <c r="O527" s="31"/>
      <c r="P527" s="31"/>
      <c r="Q527" s="31"/>
      <c r="R527" s="31"/>
      <c r="S527" s="31"/>
      <c r="T527" s="762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</row>
    <row r="528">
      <c r="A528" s="31"/>
      <c r="B528" s="31"/>
      <c r="C528" s="31"/>
      <c r="D528" s="31"/>
      <c r="E528" s="187"/>
      <c r="F528" s="31"/>
      <c r="G528" s="31"/>
      <c r="H528" s="31"/>
      <c r="I528" s="31"/>
      <c r="J528" s="31"/>
      <c r="K528" s="760"/>
      <c r="L528" s="761"/>
      <c r="M528" s="760"/>
      <c r="N528" s="31"/>
      <c r="O528" s="31"/>
      <c r="P528" s="31"/>
      <c r="Q528" s="31"/>
      <c r="R528" s="31"/>
      <c r="S528" s="31"/>
      <c r="T528" s="762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</row>
    <row r="529">
      <c r="A529" s="31"/>
      <c r="B529" s="31"/>
      <c r="C529" s="31"/>
      <c r="D529" s="31"/>
      <c r="E529" s="187"/>
      <c r="F529" s="31"/>
      <c r="G529" s="31"/>
      <c r="H529" s="31"/>
      <c r="I529" s="31"/>
      <c r="J529" s="31"/>
      <c r="K529" s="760"/>
      <c r="L529" s="761"/>
      <c r="M529" s="760"/>
      <c r="N529" s="31"/>
      <c r="O529" s="31"/>
      <c r="P529" s="31"/>
      <c r="Q529" s="31"/>
      <c r="R529" s="31"/>
      <c r="S529" s="31"/>
      <c r="T529" s="762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</row>
    <row r="530">
      <c r="A530" s="31"/>
      <c r="B530" s="31"/>
      <c r="C530" s="31"/>
      <c r="D530" s="31"/>
      <c r="E530" s="187"/>
      <c r="F530" s="31"/>
      <c r="G530" s="31"/>
      <c r="H530" s="31"/>
      <c r="I530" s="31"/>
      <c r="J530" s="31"/>
      <c r="K530" s="760"/>
      <c r="L530" s="761"/>
      <c r="M530" s="760"/>
      <c r="N530" s="31"/>
      <c r="O530" s="31"/>
      <c r="P530" s="31"/>
      <c r="Q530" s="31"/>
      <c r="R530" s="31"/>
      <c r="S530" s="31"/>
      <c r="T530" s="762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</row>
    <row r="531">
      <c r="A531" s="31"/>
      <c r="B531" s="31"/>
      <c r="C531" s="31"/>
      <c r="D531" s="31"/>
      <c r="E531" s="187"/>
      <c r="F531" s="31"/>
      <c r="G531" s="31"/>
      <c r="H531" s="31"/>
      <c r="I531" s="31"/>
      <c r="J531" s="31"/>
      <c r="K531" s="760"/>
      <c r="L531" s="761"/>
      <c r="M531" s="760"/>
      <c r="N531" s="31"/>
      <c r="O531" s="31"/>
      <c r="P531" s="31"/>
      <c r="Q531" s="31"/>
      <c r="R531" s="31"/>
      <c r="S531" s="31"/>
      <c r="T531" s="762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</row>
    <row r="532">
      <c r="A532" s="31"/>
      <c r="B532" s="31"/>
      <c r="C532" s="31"/>
      <c r="D532" s="31"/>
      <c r="E532" s="187"/>
      <c r="F532" s="31"/>
      <c r="G532" s="31"/>
      <c r="H532" s="31"/>
      <c r="I532" s="31"/>
      <c r="J532" s="31"/>
      <c r="K532" s="760"/>
      <c r="L532" s="761"/>
      <c r="M532" s="760"/>
      <c r="N532" s="31"/>
      <c r="O532" s="31"/>
      <c r="P532" s="31"/>
      <c r="Q532" s="31"/>
      <c r="R532" s="31"/>
      <c r="S532" s="31"/>
      <c r="T532" s="762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</row>
    <row r="533">
      <c r="A533" s="31"/>
      <c r="B533" s="31"/>
      <c r="C533" s="31"/>
      <c r="D533" s="31"/>
      <c r="E533" s="187"/>
      <c r="F533" s="31"/>
      <c r="G533" s="31"/>
      <c r="H533" s="31"/>
      <c r="I533" s="31"/>
      <c r="J533" s="31"/>
      <c r="K533" s="760"/>
      <c r="L533" s="761"/>
      <c r="M533" s="760"/>
      <c r="N533" s="31"/>
      <c r="O533" s="31"/>
      <c r="P533" s="31"/>
      <c r="Q533" s="31"/>
      <c r="R533" s="31"/>
      <c r="S533" s="31"/>
      <c r="T533" s="762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</row>
    <row r="534">
      <c r="A534" s="31"/>
      <c r="B534" s="31"/>
      <c r="C534" s="31"/>
      <c r="D534" s="31"/>
      <c r="E534" s="187"/>
      <c r="F534" s="31"/>
      <c r="G534" s="31"/>
      <c r="H534" s="31"/>
      <c r="I534" s="31"/>
      <c r="J534" s="31"/>
      <c r="K534" s="760"/>
      <c r="L534" s="761"/>
      <c r="M534" s="760"/>
      <c r="N534" s="31"/>
      <c r="O534" s="31"/>
      <c r="P534" s="31"/>
      <c r="Q534" s="31"/>
      <c r="R534" s="31"/>
      <c r="S534" s="31"/>
      <c r="T534" s="762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</row>
    <row r="535">
      <c r="A535" s="31"/>
      <c r="B535" s="31"/>
      <c r="C535" s="31"/>
      <c r="D535" s="31"/>
      <c r="E535" s="187"/>
      <c r="F535" s="31"/>
      <c r="G535" s="31"/>
      <c r="H535" s="31"/>
      <c r="I535" s="31"/>
      <c r="J535" s="31"/>
      <c r="K535" s="760"/>
      <c r="L535" s="761"/>
      <c r="M535" s="760"/>
      <c r="N535" s="31"/>
      <c r="O535" s="31"/>
      <c r="P535" s="31"/>
      <c r="Q535" s="31"/>
      <c r="R535" s="31"/>
      <c r="S535" s="31"/>
      <c r="T535" s="762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</row>
    <row r="536">
      <c r="A536" s="31"/>
      <c r="B536" s="31"/>
      <c r="C536" s="31"/>
      <c r="D536" s="31"/>
      <c r="E536" s="187"/>
      <c r="F536" s="31"/>
      <c r="G536" s="31"/>
      <c r="H536" s="31"/>
      <c r="I536" s="31"/>
      <c r="J536" s="31"/>
      <c r="K536" s="760"/>
      <c r="L536" s="761"/>
      <c r="M536" s="760"/>
      <c r="N536" s="31"/>
      <c r="O536" s="31"/>
      <c r="P536" s="31"/>
      <c r="Q536" s="31"/>
      <c r="R536" s="31"/>
      <c r="S536" s="31"/>
      <c r="T536" s="762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</row>
    <row r="537">
      <c r="A537" s="31"/>
      <c r="B537" s="31"/>
      <c r="C537" s="31"/>
      <c r="D537" s="31"/>
      <c r="E537" s="187"/>
      <c r="F537" s="31"/>
      <c r="G537" s="31"/>
      <c r="H537" s="31"/>
      <c r="I537" s="31"/>
      <c r="J537" s="31"/>
      <c r="K537" s="760"/>
      <c r="L537" s="761"/>
      <c r="M537" s="760"/>
      <c r="N537" s="31"/>
      <c r="O537" s="31"/>
      <c r="P537" s="31"/>
      <c r="Q537" s="31"/>
      <c r="R537" s="31"/>
      <c r="S537" s="31"/>
      <c r="T537" s="762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</row>
    <row r="538">
      <c r="A538" s="31"/>
      <c r="B538" s="31"/>
      <c r="C538" s="31"/>
      <c r="D538" s="31"/>
      <c r="E538" s="187"/>
      <c r="F538" s="31"/>
      <c r="G538" s="31"/>
      <c r="H538" s="31"/>
      <c r="I538" s="31"/>
      <c r="J538" s="31"/>
      <c r="K538" s="760"/>
      <c r="L538" s="761"/>
      <c r="M538" s="760"/>
      <c r="N538" s="31"/>
      <c r="O538" s="31"/>
      <c r="P538" s="31"/>
      <c r="Q538" s="31"/>
      <c r="R538" s="31"/>
      <c r="S538" s="31"/>
      <c r="T538" s="762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</row>
    <row r="539">
      <c r="A539" s="31"/>
      <c r="B539" s="31"/>
      <c r="C539" s="31"/>
      <c r="D539" s="31"/>
      <c r="E539" s="187"/>
      <c r="F539" s="31"/>
      <c r="G539" s="31"/>
      <c r="H539" s="31"/>
      <c r="I539" s="31"/>
      <c r="J539" s="31"/>
      <c r="K539" s="760"/>
      <c r="L539" s="761"/>
      <c r="M539" s="760"/>
      <c r="N539" s="31"/>
      <c r="O539" s="31"/>
      <c r="P539" s="31"/>
      <c r="Q539" s="31"/>
      <c r="R539" s="31"/>
      <c r="S539" s="31"/>
      <c r="T539" s="762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</row>
    <row r="540">
      <c r="A540" s="31"/>
      <c r="B540" s="31"/>
      <c r="C540" s="31"/>
      <c r="D540" s="31"/>
      <c r="E540" s="187"/>
      <c r="F540" s="31"/>
      <c r="G540" s="31"/>
      <c r="H540" s="31"/>
      <c r="I540" s="31"/>
      <c r="J540" s="31"/>
      <c r="K540" s="760"/>
      <c r="L540" s="761"/>
      <c r="M540" s="760"/>
      <c r="N540" s="31"/>
      <c r="O540" s="31"/>
      <c r="P540" s="31"/>
      <c r="Q540" s="31"/>
      <c r="R540" s="31"/>
      <c r="S540" s="31"/>
      <c r="T540" s="762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</row>
    <row r="541">
      <c r="A541" s="31"/>
      <c r="B541" s="31"/>
      <c r="C541" s="31"/>
      <c r="D541" s="31"/>
      <c r="E541" s="187"/>
      <c r="F541" s="31"/>
      <c r="G541" s="31"/>
      <c r="H541" s="31"/>
      <c r="I541" s="31"/>
      <c r="J541" s="31"/>
      <c r="K541" s="760"/>
      <c r="L541" s="761"/>
      <c r="M541" s="760"/>
      <c r="N541" s="31"/>
      <c r="O541" s="31"/>
      <c r="P541" s="31"/>
      <c r="Q541" s="31"/>
      <c r="R541" s="31"/>
      <c r="S541" s="31"/>
      <c r="T541" s="762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</row>
    <row r="542">
      <c r="A542" s="31"/>
      <c r="B542" s="31"/>
      <c r="C542" s="31"/>
      <c r="D542" s="31"/>
      <c r="E542" s="187"/>
      <c r="F542" s="31"/>
      <c r="G542" s="31"/>
      <c r="H542" s="31"/>
      <c r="I542" s="31"/>
      <c r="J542" s="31"/>
      <c r="K542" s="760"/>
      <c r="L542" s="761"/>
      <c r="M542" s="760"/>
      <c r="N542" s="31"/>
      <c r="O542" s="31"/>
      <c r="P542" s="31"/>
      <c r="Q542" s="31"/>
      <c r="R542" s="31"/>
      <c r="S542" s="31"/>
      <c r="T542" s="762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</row>
    <row r="543">
      <c r="A543" s="31"/>
      <c r="B543" s="31"/>
      <c r="C543" s="31"/>
      <c r="D543" s="31"/>
      <c r="E543" s="187"/>
      <c r="F543" s="31"/>
      <c r="G543" s="31"/>
      <c r="H543" s="31"/>
      <c r="I543" s="31"/>
      <c r="J543" s="31"/>
      <c r="K543" s="760"/>
      <c r="L543" s="761"/>
      <c r="M543" s="760"/>
      <c r="N543" s="31"/>
      <c r="O543" s="31"/>
      <c r="P543" s="31"/>
      <c r="Q543" s="31"/>
      <c r="R543" s="31"/>
      <c r="S543" s="31"/>
      <c r="T543" s="762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</row>
    <row r="544">
      <c r="A544" s="31"/>
      <c r="B544" s="31"/>
      <c r="C544" s="31"/>
      <c r="D544" s="31"/>
      <c r="E544" s="187"/>
      <c r="F544" s="31"/>
      <c r="G544" s="31"/>
      <c r="H544" s="31"/>
      <c r="I544" s="31"/>
      <c r="J544" s="31"/>
      <c r="K544" s="760"/>
      <c r="L544" s="761"/>
      <c r="M544" s="760"/>
      <c r="N544" s="31"/>
      <c r="O544" s="31"/>
      <c r="P544" s="31"/>
      <c r="Q544" s="31"/>
      <c r="R544" s="31"/>
      <c r="S544" s="31"/>
      <c r="T544" s="762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</row>
    <row r="545">
      <c r="A545" s="31"/>
      <c r="B545" s="31"/>
      <c r="C545" s="31"/>
      <c r="D545" s="31"/>
      <c r="E545" s="187"/>
      <c r="F545" s="31"/>
      <c r="G545" s="31"/>
      <c r="H545" s="31"/>
      <c r="I545" s="31"/>
      <c r="J545" s="31"/>
      <c r="K545" s="760"/>
      <c r="L545" s="761"/>
      <c r="M545" s="760"/>
      <c r="N545" s="31"/>
      <c r="O545" s="31"/>
      <c r="P545" s="31"/>
      <c r="Q545" s="31"/>
      <c r="R545" s="31"/>
      <c r="S545" s="31"/>
      <c r="T545" s="762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</row>
    <row r="546">
      <c r="A546" s="31"/>
      <c r="B546" s="31"/>
      <c r="C546" s="31"/>
      <c r="D546" s="31"/>
      <c r="E546" s="187"/>
      <c r="F546" s="31"/>
      <c r="G546" s="31"/>
      <c r="H546" s="31"/>
      <c r="I546" s="31"/>
      <c r="J546" s="31"/>
      <c r="K546" s="760"/>
      <c r="L546" s="761"/>
      <c r="M546" s="760"/>
      <c r="N546" s="31"/>
      <c r="O546" s="31"/>
      <c r="P546" s="31"/>
      <c r="Q546" s="31"/>
      <c r="R546" s="31"/>
      <c r="S546" s="31"/>
      <c r="T546" s="762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</row>
    <row r="547">
      <c r="A547" s="31"/>
      <c r="B547" s="31"/>
      <c r="C547" s="31"/>
      <c r="D547" s="31"/>
      <c r="E547" s="187"/>
      <c r="F547" s="31"/>
      <c r="G547" s="31"/>
      <c r="H547" s="31"/>
      <c r="I547" s="31"/>
      <c r="J547" s="31"/>
      <c r="K547" s="760"/>
      <c r="L547" s="761"/>
      <c r="M547" s="760"/>
      <c r="N547" s="31"/>
      <c r="O547" s="31"/>
      <c r="P547" s="31"/>
      <c r="Q547" s="31"/>
      <c r="R547" s="31"/>
      <c r="S547" s="31"/>
      <c r="T547" s="762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</row>
    <row r="548">
      <c r="A548" s="31"/>
      <c r="B548" s="31"/>
      <c r="C548" s="31"/>
      <c r="D548" s="31"/>
      <c r="E548" s="187"/>
      <c r="F548" s="31"/>
      <c r="G548" s="31"/>
      <c r="H548" s="31"/>
      <c r="I548" s="31"/>
      <c r="J548" s="31"/>
      <c r="K548" s="760"/>
      <c r="L548" s="761"/>
      <c r="M548" s="760"/>
      <c r="N548" s="31"/>
      <c r="O548" s="31"/>
      <c r="P548" s="31"/>
      <c r="Q548" s="31"/>
      <c r="R548" s="31"/>
      <c r="S548" s="31"/>
      <c r="T548" s="762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</row>
    <row r="549">
      <c r="A549" s="31"/>
      <c r="B549" s="31"/>
      <c r="C549" s="31"/>
      <c r="D549" s="31"/>
      <c r="E549" s="187"/>
      <c r="F549" s="31"/>
      <c r="G549" s="31"/>
      <c r="H549" s="31"/>
      <c r="I549" s="31"/>
      <c r="J549" s="31"/>
      <c r="K549" s="760"/>
      <c r="L549" s="761"/>
      <c r="M549" s="760"/>
      <c r="N549" s="31"/>
      <c r="O549" s="31"/>
      <c r="P549" s="31"/>
      <c r="Q549" s="31"/>
      <c r="R549" s="31"/>
      <c r="S549" s="31"/>
      <c r="T549" s="762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</row>
    <row r="550">
      <c r="A550" s="31"/>
      <c r="B550" s="31"/>
      <c r="C550" s="31"/>
      <c r="D550" s="31"/>
      <c r="E550" s="187"/>
      <c r="F550" s="31"/>
      <c r="G550" s="31"/>
      <c r="H550" s="31"/>
      <c r="I550" s="31"/>
      <c r="J550" s="31"/>
      <c r="K550" s="760"/>
      <c r="L550" s="761"/>
      <c r="M550" s="760"/>
      <c r="N550" s="31"/>
      <c r="O550" s="31"/>
      <c r="P550" s="31"/>
      <c r="Q550" s="31"/>
      <c r="R550" s="31"/>
      <c r="S550" s="31"/>
      <c r="T550" s="762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</row>
    <row r="551">
      <c r="A551" s="31"/>
      <c r="B551" s="31"/>
      <c r="C551" s="31"/>
      <c r="D551" s="31"/>
      <c r="E551" s="187"/>
      <c r="F551" s="31"/>
      <c r="G551" s="31"/>
      <c r="H551" s="31"/>
      <c r="I551" s="31"/>
      <c r="J551" s="31"/>
      <c r="K551" s="760"/>
      <c r="L551" s="761"/>
      <c r="M551" s="760"/>
      <c r="N551" s="31"/>
      <c r="O551" s="31"/>
      <c r="P551" s="31"/>
      <c r="Q551" s="31"/>
      <c r="R551" s="31"/>
      <c r="S551" s="31"/>
      <c r="T551" s="762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</row>
    <row r="552">
      <c r="A552" s="31"/>
      <c r="B552" s="31"/>
      <c r="C552" s="31"/>
      <c r="D552" s="31"/>
      <c r="E552" s="187"/>
      <c r="F552" s="31"/>
      <c r="G552" s="31"/>
      <c r="H552" s="31"/>
      <c r="I552" s="31"/>
      <c r="J552" s="31"/>
      <c r="K552" s="760"/>
      <c r="L552" s="761"/>
      <c r="M552" s="760"/>
      <c r="N552" s="31"/>
      <c r="O552" s="31"/>
      <c r="P552" s="31"/>
      <c r="Q552" s="31"/>
      <c r="R552" s="31"/>
      <c r="S552" s="31"/>
      <c r="T552" s="762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</row>
    <row r="553">
      <c r="A553" s="31"/>
      <c r="B553" s="31"/>
      <c r="C553" s="31"/>
      <c r="D553" s="31"/>
      <c r="E553" s="187"/>
      <c r="F553" s="31"/>
      <c r="G553" s="31"/>
      <c r="H553" s="31"/>
      <c r="I553" s="31"/>
      <c r="J553" s="31"/>
      <c r="K553" s="760"/>
      <c r="L553" s="761"/>
      <c r="M553" s="760"/>
      <c r="N553" s="31"/>
      <c r="O553" s="31"/>
      <c r="P553" s="31"/>
      <c r="Q553" s="31"/>
      <c r="R553" s="31"/>
      <c r="S553" s="31"/>
      <c r="T553" s="762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</row>
    <row r="554">
      <c r="A554" s="31"/>
      <c r="B554" s="31"/>
      <c r="C554" s="31"/>
      <c r="D554" s="31"/>
      <c r="E554" s="187"/>
      <c r="F554" s="31"/>
      <c r="G554" s="31"/>
      <c r="H554" s="31"/>
      <c r="I554" s="31"/>
      <c r="J554" s="31"/>
      <c r="K554" s="760"/>
      <c r="L554" s="761"/>
      <c r="M554" s="760"/>
      <c r="N554" s="31"/>
      <c r="O554" s="31"/>
      <c r="P554" s="31"/>
      <c r="Q554" s="31"/>
      <c r="R554" s="31"/>
      <c r="S554" s="31"/>
      <c r="T554" s="762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</row>
    <row r="555">
      <c r="A555" s="31"/>
      <c r="B555" s="31"/>
      <c r="C555" s="31"/>
      <c r="D555" s="31"/>
      <c r="E555" s="187"/>
      <c r="F555" s="31"/>
      <c r="G555" s="31"/>
      <c r="H555" s="31"/>
      <c r="I555" s="31"/>
      <c r="J555" s="31"/>
      <c r="K555" s="760"/>
      <c r="L555" s="761"/>
      <c r="M555" s="760"/>
      <c r="N555" s="31"/>
      <c r="O555" s="31"/>
      <c r="P555" s="31"/>
      <c r="Q555" s="31"/>
      <c r="R555" s="31"/>
      <c r="S555" s="31"/>
      <c r="T555" s="762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</row>
    <row r="556">
      <c r="A556" s="31"/>
      <c r="B556" s="31"/>
      <c r="C556" s="31"/>
      <c r="D556" s="31"/>
      <c r="E556" s="187"/>
      <c r="F556" s="31"/>
      <c r="G556" s="31"/>
      <c r="H556" s="31"/>
      <c r="I556" s="31"/>
      <c r="J556" s="31"/>
      <c r="K556" s="760"/>
      <c r="L556" s="761"/>
      <c r="M556" s="760"/>
      <c r="N556" s="31"/>
      <c r="O556" s="31"/>
      <c r="P556" s="31"/>
      <c r="Q556" s="31"/>
      <c r="R556" s="31"/>
      <c r="S556" s="31"/>
      <c r="T556" s="762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</row>
    <row r="557">
      <c r="A557" s="31"/>
      <c r="B557" s="31"/>
      <c r="C557" s="31"/>
      <c r="D557" s="31"/>
      <c r="E557" s="187"/>
      <c r="F557" s="31"/>
      <c r="G557" s="31"/>
      <c r="H557" s="31"/>
      <c r="I557" s="31"/>
      <c r="J557" s="31"/>
      <c r="K557" s="760"/>
      <c r="L557" s="761"/>
      <c r="M557" s="760"/>
      <c r="N557" s="31"/>
      <c r="O557" s="31"/>
      <c r="P557" s="31"/>
      <c r="Q557" s="31"/>
      <c r="R557" s="31"/>
      <c r="S557" s="31"/>
      <c r="T557" s="762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</row>
    <row r="558">
      <c r="A558" s="31"/>
      <c r="B558" s="31"/>
      <c r="C558" s="31"/>
      <c r="D558" s="31"/>
      <c r="E558" s="187"/>
      <c r="F558" s="31"/>
      <c r="G558" s="31"/>
      <c r="H558" s="31"/>
      <c r="I558" s="31"/>
      <c r="J558" s="31"/>
      <c r="K558" s="760"/>
      <c r="L558" s="761"/>
      <c r="M558" s="760"/>
      <c r="N558" s="31"/>
      <c r="O558" s="31"/>
      <c r="P558" s="31"/>
      <c r="Q558" s="31"/>
      <c r="R558" s="31"/>
      <c r="S558" s="31"/>
      <c r="T558" s="762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</row>
    <row r="559">
      <c r="A559" s="31"/>
      <c r="B559" s="31"/>
      <c r="C559" s="31"/>
      <c r="D559" s="31"/>
      <c r="E559" s="187"/>
      <c r="F559" s="31"/>
      <c r="G559" s="31"/>
      <c r="H559" s="31"/>
      <c r="I559" s="31"/>
      <c r="J559" s="31"/>
      <c r="K559" s="760"/>
      <c r="L559" s="761"/>
      <c r="M559" s="760"/>
      <c r="N559" s="31"/>
      <c r="O559" s="31"/>
      <c r="P559" s="31"/>
      <c r="Q559" s="31"/>
      <c r="R559" s="31"/>
      <c r="S559" s="31"/>
      <c r="T559" s="762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</row>
    <row r="560">
      <c r="A560" s="31"/>
      <c r="B560" s="31"/>
      <c r="C560" s="31"/>
      <c r="D560" s="31"/>
      <c r="E560" s="187"/>
      <c r="F560" s="31"/>
      <c r="G560" s="31"/>
      <c r="H560" s="31"/>
      <c r="I560" s="31"/>
      <c r="J560" s="31"/>
      <c r="K560" s="760"/>
      <c r="L560" s="761"/>
      <c r="M560" s="760"/>
      <c r="N560" s="31"/>
      <c r="O560" s="31"/>
      <c r="P560" s="31"/>
      <c r="Q560" s="31"/>
      <c r="R560" s="31"/>
      <c r="S560" s="31"/>
      <c r="T560" s="762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</row>
    <row r="561">
      <c r="A561" s="31"/>
      <c r="B561" s="31"/>
      <c r="C561" s="31"/>
      <c r="D561" s="31"/>
      <c r="E561" s="187"/>
      <c r="F561" s="31"/>
      <c r="G561" s="31"/>
      <c r="H561" s="31"/>
      <c r="I561" s="31"/>
      <c r="J561" s="31"/>
      <c r="K561" s="760"/>
      <c r="L561" s="761"/>
      <c r="M561" s="760"/>
      <c r="N561" s="31"/>
      <c r="O561" s="31"/>
      <c r="P561" s="31"/>
      <c r="Q561" s="31"/>
      <c r="R561" s="31"/>
      <c r="S561" s="31"/>
      <c r="T561" s="762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</row>
    <row r="562">
      <c r="A562" s="31"/>
      <c r="B562" s="31"/>
      <c r="C562" s="31"/>
      <c r="D562" s="31"/>
      <c r="E562" s="187"/>
      <c r="F562" s="31"/>
      <c r="G562" s="31"/>
      <c r="H562" s="31"/>
      <c r="I562" s="31"/>
      <c r="J562" s="31"/>
      <c r="K562" s="760"/>
      <c r="L562" s="761"/>
      <c r="M562" s="760"/>
      <c r="N562" s="31"/>
      <c r="O562" s="31"/>
      <c r="P562" s="31"/>
      <c r="Q562" s="31"/>
      <c r="R562" s="31"/>
      <c r="S562" s="31"/>
      <c r="T562" s="762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</row>
    <row r="563">
      <c r="A563" s="31"/>
      <c r="B563" s="31"/>
      <c r="C563" s="31"/>
      <c r="D563" s="31"/>
      <c r="E563" s="187"/>
      <c r="F563" s="31"/>
      <c r="G563" s="31"/>
      <c r="H563" s="31"/>
      <c r="I563" s="31"/>
      <c r="J563" s="31"/>
      <c r="K563" s="760"/>
      <c r="L563" s="761"/>
      <c r="M563" s="760"/>
      <c r="N563" s="31"/>
      <c r="O563" s="31"/>
      <c r="P563" s="31"/>
      <c r="Q563" s="31"/>
      <c r="R563" s="31"/>
      <c r="S563" s="31"/>
      <c r="T563" s="762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</row>
    <row r="564">
      <c r="A564" s="31"/>
      <c r="B564" s="31"/>
      <c r="C564" s="31"/>
      <c r="D564" s="31"/>
      <c r="E564" s="187"/>
      <c r="F564" s="31"/>
      <c r="G564" s="31"/>
      <c r="H564" s="31"/>
      <c r="I564" s="31"/>
      <c r="J564" s="31"/>
      <c r="K564" s="760"/>
      <c r="L564" s="761"/>
      <c r="M564" s="760"/>
      <c r="N564" s="31"/>
      <c r="O564" s="31"/>
      <c r="P564" s="31"/>
      <c r="Q564" s="31"/>
      <c r="R564" s="31"/>
      <c r="S564" s="31"/>
      <c r="T564" s="762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</row>
    <row r="565">
      <c r="A565" s="31"/>
      <c r="B565" s="31"/>
      <c r="C565" s="31"/>
      <c r="D565" s="31"/>
      <c r="E565" s="187"/>
      <c r="F565" s="31"/>
      <c r="G565" s="31"/>
      <c r="H565" s="31"/>
      <c r="I565" s="31"/>
      <c r="J565" s="31"/>
      <c r="K565" s="760"/>
      <c r="L565" s="761"/>
      <c r="M565" s="760"/>
      <c r="N565" s="31"/>
      <c r="O565" s="31"/>
      <c r="P565" s="31"/>
      <c r="Q565" s="31"/>
      <c r="R565" s="31"/>
      <c r="S565" s="31"/>
      <c r="T565" s="762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</row>
    <row r="566">
      <c r="A566" s="31"/>
      <c r="B566" s="31"/>
      <c r="C566" s="31"/>
      <c r="D566" s="31"/>
      <c r="E566" s="187"/>
      <c r="F566" s="31"/>
      <c r="G566" s="31"/>
      <c r="H566" s="31"/>
      <c r="I566" s="31"/>
      <c r="J566" s="31"/>
      <c r="K566" s="760"/>
      <c r="L566" s="761"/>
      <c r="M566" s="760"/>
      <c r="N566" s="31"/>
      <c r="O566" s="31"/>
      <c r="P566" s="31"/>
      <c r="Q566" s="31"/>
      <c r="R566" s="31"/>
      <c r="S566" s="31"/>
      <c r="T566" s="762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</row>
    <row r="567">
      <c r="A567" s="31"/>
      <c r="B567" s="31"/>
      <c r="C567" s="31"/>
      <c r="D567" s="31"/>
      <c r="E567" s="187"/>
      <c r="F567" s="31"/>
      <c r="G567" s="31"/>
      <c r="H567" s="31"/>
      <c r="I567" s="31"/>
      <c r="J567" s="31"/>
      <c r="K567" s="760"/>
      <c r="L567" s="761"/>
      <c r="M567" s="760"/>
      <c r="N567" s="31"/>
      <c r="O567" s="31"/>
      <c r="P567" s="31"/>
      <c r="Q567" s="31"/>
      <c r="R567" s="31"/>
      <c r="S567" s="31"/>
      <c r="T567" s="762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</row>
    <row r="568">
      <c r="A568" s="31"/>
      <c r="B568" s="31"/>
      <c r="C568" s="31"/>
      <c r="D568" s="31"/>
      <c r="E568" s="187"/>
      <c r="F568" s="31"/>
      <c r="G568" s="31"/>
      <c r="H568" s="31"/>
      <c r="I568" s="31"/>
      <c r="J568" s="31"/>
      <c r="K568" s="760"/>
      <c r="L568" s="761"/>
      <c r="M568" s="760"/>
      <c r="N568" s="31"/>
      <c r="O568" s="31"/>
      <c r="P568" s="31"/>
      <c r="Q568" s="31"/>
      <c r="R568" s="31"/>
      <c r="S568" s="31"/>
      <c r="T568" s="762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</row>
    <row r="569">
      <c r="A569" s="31"/>
      <c r="B569" s="31"/>
      <c r="C569" s="31"/>
      <c r="D569" s="31"/>
      <c r="E569" s="187"/>
      <c r="F569" s="31"/>
      <c r="G569" s="31"/>
      <c r="H569" s="31"/>
      <c r="I569" s="31"/>
      <c r="J569" s="31"/>
      <c r="K569" s="760"/>
      <c r="L569" s="761"/>
      <c r="M569" s="760"/>
      <c r="N569" s="31"/>
      <c r="O569" s="31"/>
      <c r="P569" s="31"/>
      <c r="Q569" s="31"/>
      <c r="R569" s="31"/>
      <c r="S569" s="31"/>
      <c r="T569" s="762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</row>
    <row r="570">
      <c r="A570" s="31"/>
      <c r="B570" s="31"/>
      <c r="C570" s="31"/>
      <c r="D570" s="31"/>
      <c r="E570" s="187"/>
      <c r="F570" s="31"/>
      <c r="G570" s="31"/>
      <c r="H570" s="31"/>
      <c r="I570" s="31"/>
      <c r="J570" s="31"/>
      <c r="K570" s="760"/>
      <c r="L570" s="761"/>
      <c r="M570" s="760"/>
      <c r="N570" s="31"/>
      <c r="O570" s="31"/>
      <c r="P570" s="31"/>
      <c r="Q570" s="31"/>
      <c r="R570" s="31"/>
      <c r="S570" s="31"/>
      <c r="T570" s="762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</row>
    <row r="571">
      <c r="A571" s="31"/>
      <c r="B571" s="31"/>
      <c r="C571" s="31"/>
      <c r="D571" s="31"/>
      <c r="E571" s="187"/>
      <c r="F571" s="31"/>
      <c r="G571" s="31"/>
      <c r="H571" s="31"/>
      <c r="I571" s="31"/>
      <c r="J571" s="31"/>
      <c r="K571" s="760"/>
      <c r="L571" s="761"/>
      <c r="M571" s="760"/>
      <c r="N571" s="31"/>
      <c r="O571" s="31"/>
      <c r="P571" s="31"/>
      <c r="Q571" s="31"/>
      <c r="R571" s="31"/>
      <c r="S571" s="31"/>
      <c r="T571" s="762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</row>
    <row r="572">
      <c r="A572" s="31"/>
      <c r="B572" s="31"/>
      <c r="C572" s="31"/>
      <c r="D572" s="31"/>
      <c r="E572" s="187"/>
      <c r="F572" s="31"/>
      <c r="G572" s="31"/>
      <c r="H572" s="31"/>
      <c r="I572" s="31"/>
      <c r="J572" s="31"/>
      <c r="K572" s="760"/>
      <c r="L572" s="761"/>
      <c r="M572" s="760"/>
      <c r="N572" s="31"/>
      <c r="O572" s="31"/>
      <c r="P572" s="31"/>
      <c r="Q572" s="31"/>
      <c r="R572" s="31"/>
      <c r="S572" s="31"/>
      <c r="T572" s="762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</row>
    <row r="573">
      <c r="A573" s="31"/>
      <c r="B573" s="31"/>
      <c r="C573" s="31"/>
      <c r="D573" s="31"/>
      <c r="E573" s="187"/>
      <c r="F573" s="31"/>
      <c r="G573" s="31"/>
      <c r="H573" s="31"/>
      <c r="I573" s="31"/>
      <c r="J573" s="31"/>
      <c r="K573" s="760"/>
      <c r="L573" s="761"/>
      <c r="M573" s="760"/>
      <c r="N573" s="31"/>
      <c r="O573" s="31"/>
      <c r="P573" s="31"/>
      <c r="Q573" s="31"/>
      <c r="R573" s="31"/>
      <c r="S573" s="31"/>
      <c r="T573" s="762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</row>
    <row r="574">
      <c r="A574" s="31"/>
      <c r="B574" s="31"/>
      <c r="C574" s="31"/>
      <c r="D574" s="31"/>
      <c r="E574" s="187"/>
      <c r="F574" s="31"/>
      <c r="G574" s="31"/>
      <c r="H574" s="31"/>
      <c r="I574" s="31"/>
      <c r="J574" s="31"/>
      <c r="K574" s="760"/>
      <c r="L574" s="761"/>
      <c r="M574" s="760"/>
      <c r="N574" s="31"/>
      <c r="O574" s="31"/>
      <c r="P574" s="31"/>
      <c r="Q574" s="31"/>
      <c r="R574" s="31"/>
      <c r="S574" s="31"/>
      <c r="T574" s="762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</row>
    <row r="575">
      <c r="A575" s="31"/>
      <c r="B575" s="31"/>
      <c r="C575" s="31"/>
      <c r="D575" s="31"/>
      <c r="E575" s="187"/>
      <c r="F575" s="31"/>
      <c r="G575" s="31"/>
      <c r="H575" s="31"/>
      <c r="I575" s="31"/>
      <c r="J575" s="31"/>
      <c r="K575" s="760"/>
      <c r="L575" s="761"/>
      <c r="M575" s="760"/>
      <c r="N575" s="31"/>
      <c r="O575" s="31"/>
      <c r="P575" s="31"/>
      <c r="Q575" s="31"/>
      <c r="R575" s="31"/>
      <c r="S575" s="31"/>
      <c r="T575" s="762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</row>
    <row r="576">
      <c r="A576" s="31"/>
      <c r="B576" s="31"/>
      <c r="C576" s="31"/>
      <c r="D576" s="31"/>
      <c r="E576" s="187"/>
      <c r="F576" s="31"/>
      <c r="G576" s="31"/>
      <c r="H576" s="31"/>
      <c r="I576" s="31"/>
      <c r="J576" s="31"/>
      <c r="K576" s="760"/>
      <c r="L576" s="761"/>
      <c r="M576" s="760"/>
      <c r="N576" s="31"/>
      <c r="O576" s="31"/>
      <c r="P576" s="31"/>
      <c r="Q576" s="31"/>
      <c r="R576" s="31"/>
      <c r="S576" s="31"/>
      <c r="T576" s="762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</row>
    <row r="577">
      <c r="A577" s="31"/>
      <c r="B577" s="31"/>
      <c r="C577" s="31"/>
      <c r="D577" s="31"/>
      <c r="E577" s="187"/>
      <c r="F577" s="31"/>
      <c r="G577" s="31"/>
      <c r="H577" s="31"/>
      <c r="I577" s="31"/>
      <c r="J577" s="31"/>
      <c r="K577" s="760"/>
      <c r="L577" s="761"/>
      <c r="M577" s="760"/>
      <c r="N577" s="31"/>
      <c r="O577" s="31"/>
      <c r="P577" s="31"/>
      <c r="Q577" s="31"/>
      <c r="R577" s="31"/>
      <c r="S577" s="31"/>
      <c r="T577" s="762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</row>
    <row r="578">
      <c r="A578" s="31"/>
      <c r="B578" s="31"/>
      <c r="C578" s="31"/>
      <c r="D578" s="31"/>
      <c r="E578" s="187"/>
      <c r="F578" s="31"/>
      <c r="G578" s="31"/>
      <c r="H578" s="31"/>
      <c r="I578" s="31"/>
      <c r="J578" s="31"/>
      <c r="K578" s="760"/>
      <c r="L578" s="761"/>
      <c r="M578" s="760"/>
      <c r="N578" s="31"/>
      <c r="O578" s="31"/>
      <c r="P578" s="31"/>
      <c r="Q578" s="31"/>
      <c r="R578" s="31"/>
      <c r="S578" s="31"/>
      <c r="T578" s="762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</row>
    <row r="579">
      <c r="A579" s="31"/>
      <c r="B579" s="31"/>
      <c r="C579" s="31"/>
      <c r="D579" s="31"/>
      <c r="E579" s="187"/>
      <c r="F579" s="31"/>
      <c r="G579" s="31"/>
      <c r="H579" s="31"/>
      <c r="I579" s="31"/>
      <c r="J579" s="31"/>
      <c r="K579" s="760"/>
      <c r="L579" s="761"/>
      <c r="M579" s="760"/>
      <c r="N579" s="31"/>
      <c r="O579" s="31"/>
      <c r="P579" s="31"/>
      <c r="Q579" s="31"/>
      <c r="R579" s="31"/>
      <c r="S579" s="31"/>
      <c r="T579" s="762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</row>
    <row r="580">
      <c r="A580" s="31"/>
      <c r="B580" s="31"/>
      <c r="C580" s="31"/>
      <c r="D580" s="31"/>
      <c r="E580" s="187"/>
      <c r="F580" s="31"/>
      <c r="G580" s="31"/>
      <c r="H580" s="31"/>
      <c r="I580" s="31"/>
      <c r="J580" s="31"/>
      <c r="K580" s="760"/>
      <c r="L580" s="761"/>
      <c r="M580" s="760"/>
      <c r="N580" s="31"/>
      <c r="O580" s="31"/>
      <c r="P580" s="31"/>
      <c r="Q580" s="31"/>
      <c r="R580" s="31"/>
      <c r="S580" s="31"/>
      <c r="T580" s="762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</row>
    <row r="581">
      <c r="A581" s="31"/>
      <c r="B581" s="31"/>
      <c r="C581" s="31"/>
      <c r="D581" s="31"/>
      <c r="E581" s="187"/>
      <c r="F581" s="31"/>
      <c r="G581" s="31"/>
      <c r="H581" s="31"/>
      <c r="I581" s="31"/>
      <c r="J581" s="31"/>
      <c r="K581" s="760"/>
      <c r="L581" s="761"/>
      <c r="M581" s="760"/>
      <c r="N581" s="31"/>
      <c r="O581" s="31"/>
      <c r="P581" s="31"/>
      <c r="Q581" s="31"/>
      <c r="R581" s="31"/>
      <c r="S581" s="31"/>
      <c r="T581" s="762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</row>
    <row r="582">
      <c r="A582" s="31"/>
      <c r="B582" s="31"/>
      <c r="C582" s="31"/>
      <c r="D582" s="31"/>
      <c r="E582" s="187"/>
      <c r="F582" s="31"/>
      <c r="G582" s="31"/>
      <c r="H582" s="31"/>
      <c r="I582" s="31"/>
      <c r="J582" s="31"/>
      <c r="K582" s="760"/>
      <c r="L582" s="761"/>
      <c r="M582" s="760"/>
      <c r="N582" s="31"/>
      <c r="O582" s="31"/>
      <c r="P582" s="31"/>
      <c r="Q582" s="31"/>
      <c r="R582" s="31"/>
      <c r="S582" s="31"/>
      <c r="T582" s="762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</row>
    <row r="583">
      <c r="A583" s="31"/>
      <c r="B583" s="31"/>
      <c r="C583" s="31"/>
      <c r="D583" s="31"/>
      <c r="E583" s="187"/>
      <c r="F583" s="31"/>
      <c r="G583" s="31"/>
      <c r="H583" s="31"/>
      <c r="I583" s="31"/>
      <c r="J583" s="31"/>
      <c r="K583" s="760"/>
      <c r="L583" s="761"/>
      <c r="M583" s="760"/>
      <c r="N583" s="31"/>
      <c r="O583" s="31"/>
      <c r="P583" s="31"/>
      <c r="Q583" s="31"/>
      <c r="R583" s="31"/>
      <c r="S583" s="31"/>
      <c r="T583" s="762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</row>
    <row r="584">
      <c r="A584" s="31"/>
      <c r="B584" s="31"/>
      <c r="C584" s="31"/>
      <c r="D584" s="31"/>
      <c r="E584" s="187"/>
      <c r="F584" s="31"/>
      <c r="G584" s="31"/>
      <c r="H584" s="31"/>
      <c r="I584" s="31"/>
      <c r="J584" s="31"/>
      <c r="K584" s="760"/>
      <c r="L584" s="761"/>
      <c r="M584" s="760"/>
      <c r="N584" s="31"/>
      <c r="O584" s="31"/>
      <c r="P584" s="31"/>
      <c r="Q584" s="31"/>
      <c r="R584" s="31"/>
      <c r="S584" s="31"/>
      <c r="T584" s="762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</row>
    <row r="585">
      <c r="A585" s="31"/>
      <c r="B585" s="31"/>
      <c r="C585" s="31"/>
      <c r="D585" s="31"/>
      <c r="E585" s="187"/>
      <c r="F585" s="31"/>
      <c r="G585" s="31"/>
      <c r="H585" s="31"/>
      <c r="I585" s="31"/>
      <c r="J585" s="31"/>
      <c r="K585" s="760"/>
      <c r="L585" s="761"/>
      <c r="M585" s="760"/>
      <c r="N585" s="31"/>
      <c r="O585" s="31"/>
      <c r="P585" s="31"/>
      <c r="Q585" s="31"/>
      <c r="R585" s="31"/>
      <c r="S585" s="31"/>
      <c r="T585" s="762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</row>
    <row r="586">
      <c r="A586" s="31"/>
      <c r="B586" s="31"/>
      <c r="C586" s="31"/>
      <c r="D586" s="31"/>
      <c r="E586" s="187"/>
      <c r="F586" s="31"/>
      <c r="G586" s="31"/>
      <c r="H586" s="31"/>
      <c r="I586" s="31"/>
      <c r="J586" s="31"/>
      <c r="K586" s="760"/>
      <c r="L586" s="761"/>
      <c r="M586" s="760"/>
      <c r="N586" s="31"/>
      <c r="O586" s="31"/>
      <c r="P586" s="31"/>
      <c r="Q586" s="31"/>
      <c r="R586" s="31"/>
      <c r="S586" s="31"/>
      <c r="T586" s="762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</row>
    <row r="587">
      <c r="A587" s="31"/>
      <c r="B587" s="31"/>
      <c r="C587" s="31"/>
      <c r="D587" s="31"/>
      <c r="E587" s="187"/>
      <c r="F587" s="31"/>
      <c r="G587" s="31"/>
      <c r="H587" s="31"/>
      <c r="I587" s="31"/>
      <c r="J587" s="31"/>
      <c r="K587" s="760"/>
      <c r="L587" s="761"/>
      <c r="M587" s="760"/>
      <c r="N587" s="31"/>
      <c r="O587" s="31"/>
      <c r="P587" s="31"/>
      <c r="Q587" s="31"/>
      <c r="R587" s="31"/>
      <c r="S587" s="31"/>
      <c r="T587" s="762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</row>
    <row r="588">
      <c r="A588" s="31"/>
      <c r="B588" s="31"/>
      <c r="C588" s="31"/>
      <c r="D588" s="31"/>
      <c r="E588" s="187"/>
      <c r="F588" s="31"/>
      <c r="G588" s="31"/>
      <c r="H588" s="31"/>
      <c r="I588" s="31"/>
      <c r="J588" s="31"/>
      <c r="K588" s="760"/>
      <c r="L588" s="761"/>
      <c r="M588" s="760"/>
      <c r="N588" s="31"/>
      <c r="O588" s="31"/>
      <c r="P588" s="31"/>
      <c r="Q588" s="31"/>
      <c r="R588" s="31"/>
      <c r="S588" s="31"/>
      <c r="T588" s="762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</row>
    <row r="589">
      <c r="A589" s="31"/>
      <c r="B589" s="31"/>
      <c r="C589" s="31"/>
      <c r="D589" s="31"/>
      <c r="E589" s="187"/>
      <c r="F589" s="31"/>
      <c r="G589" s="31"/>
      <c r="H589" s="31"/>
      <c r="I589" s="31"/>
      <c r="J589" s="31"/>
      <c r="K589" s="760"/>
      <c r="L589" s="761"/>
      <c r="M589" s="760"/>
      <c r="N589" s="31"/>
      <c r="O589" s="31"/>
      <c r="P589" s="31"/>
      <c r="Q589" s="31"/>
      <c r="R589" s="31"/>
      <c r="S589" s="31"/>
      <c r="T589" s="762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</row>
    <row r="590">
      <c r="A590" s="31"/>
      <c r="B590" s="31"/>
      <c r="C590" s="31"/>
      <c r="D590" s="31"/>
      <c r="E590" s="187"/>
      <c r="F590" s="31"/>
      <c r="G590" s="31"/>
      <c r="H590" s="31"/>
      <c r="I590" s="31"/>
      <c r="J590" s="31"/>
      <c r="K590" s="760"/>
      <c r="L590" s="761"/>
      <c r="M590" s="760"/>
      <c r="N590" s="31"/>
      <c r="O590" s="31"/>
      <c r="P590" s="31"/>
      <c r="Q590" s="31"/>
      <c r="R590" s="31"/>
      <c r="S590" s="31"/>
      <c r="T590" s="762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</row>
    <row r="591">
      <c r="A591" s="31"/>
      <c r="B591" s="31"/>
      <c r="C591" s="31"/>
      <c r="D591" s="31"/>
      <c r="E591" s="187"/>
      <c r="F591" s="31"/>
      <c r="G591" s="31"/>
      <c r="H591" s="31"/>
      <c r="I591" s="31"/>
      <c r="J591" s="31"/>
      <c r="K591" s="760"/>
      <c r="L591" s="761"/>
      <c r="M591" s="760"/>
      <c r="N591" s="31"/>
      <c r="O591" s="31"/>
      <c r="P591" s="31"/>
      <c r="Q591" s="31"/>
      <c r="R591" s="31"/>
      <c r="S591" s="31"/>
      <c r="T591" s="762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</row>
    <row r="592">
      <c r="A592" s="31"/>
      <c r="B592" s="31"/>
      <c r="C592" s="31"/>
      <c r="D592" s="31"/>
      <c r="E592" s="187"/>
      <c r="F592" s="31"/>
      <c r="G592" s="31"/>
      <c r="H592" s="31"/>
      <c r="I592" s="31"/>
      <c r="J592" s="31"/>
      <c r="K592" s="760"/>
      <c r="L592" s="761"/>
      <c r="M592" s="760"/>
      <c r="N592" s="31"/>
      <c r="O592" s="31"/>
      <c r="P592" s="31"/>
      <c r="Q592" s="31"/>
      <c r="R592" s="31"/>
      <c r="S592" s="31"/>
      <c r="T592" s="762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</row>
    <row r="593">
      <c r="A593" s="31"/>
      <c r="B593" s="31"/>
      <c r="C593" s="31"/>
      <c r="D593" s="31"/>
      <c r="E593" s="187"/>
      <c r="F593" s="31"/>
      <c r="G593" s="31"/>
      <c r="H593" s="31"/>
      <c r="I593" s="31"/>
      <c r="J593" s="31"/>
      <c r="K593" s="760"/>
      <c r="L593" s="761"/>
      <c r="M593" s="760"/>
      <c r="N593" s="31"/>
      <c r="O593" s="31"/>
      <c r="P593" s="31"/>
      <c r="Q593" s="31"/>
      <c r="R593" s="31"/>
      <c r="S593" s="31"/>
      <c r="T593" s="762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</row>
    <row r="594">
      <c r="A594" s="31"/>
      <c r="B594" s="31"/>
      <c r="C594" s="31"/>
      <c r="D594" s="31"/>
      <c r="E594" s="187"/>
      <c r="F594" s="31"/>
      <c r="G594" s="31"/>
      <c r="H594" s="31"/>
      <c r="I594" s="31"/>
      <c r="J594" s="31"/>
      <c r="K594" s="760"/>
      <c r="L594" s="761"/>
      <c r="M594" s="760"/>
      <c r="N594" s="31"/>
      <c r="O594" s="31"/>
      <c r="P594" s="31"/>
      <c r="Q594" s="31"/>
      <c r="R594" s="31"/>
      <c r="S594" s="31"/>
      <c r="T594" s="762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</row>
    <row r="595">
      <c r="A595" s="31"/>
      <c r="B595" s="31"/>
      <c r="C595" s="31"/>
      <c r="D595" s="31"/>
      <c r="E595" s="187"/>
      <c r="F595" s="31"/>
      <c r="G595" s="31"/>
      <c r="H595" s="31"/>
      <c r="I595" s="31"/>
      <c r="J595" s="31"/>
      <c r="K595" s="760"/>
      <c r="L595" s="761"/>
      <c r="M595" s="760"/>
      <c r="N595" s="31"/>
      <c r="O595" s="31"/>
      <c r="P595" s="31"/>
      <c r="Q595" s="31"/>
      <c r="R595" s="31"/>
      <c r="S595" s="31"/>
      <c r="T595" s="762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</row>
    <row r="596">
      <c r="A596" s="31"/>
      <c r="B596" s="31"/>
      <c r="C596" s="31"/>
      <c r="D596" s="31"/>
      <c r="E596" s="187"/>
      <c r="F596" s="31"/>
      <c r="G596" s="31"/>
      <c r="H596" s="31"/>
      <c r="I596" s="31"/>
      <c r="J596" s="31"/>
      <c r="K596" s="760"/>
      <c r="L596" s="761"/>
      <c r="M596" s="760"/>
      <c r="N596" s="31"/>
      <c r="O596" s="31"/>
      <c r="P596" s="31"/>
      <c r="Q596" s="31"/>
      <c r="R596" s="31"/>
      <c r="S596" s="31"/>
      <c r="T596" s="762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</row>
    <row r="597">
      <c r="A597" s="31"/>
      <c r="B597" s="31"/>
      <c r="C597" s="31"/>
      <c r="D597" s="31"/>
      <c r="E597" s="187"/>
      <c r="F597" s="31"/>
      <c r="G597" s="31"/>
      <c r="H597" s="31"/>
      <c r="I597" s="31"/>
      <c r="J597" s="31"/>
      <c r="K597" s="760"/>
      <c r="L597" s="761"/>
      <c r="M597" s="760"/>
      <c r="N597" s="31"/>
      <c r="O597" s="31"/>
      <c r="P597" s="31"/>
      <c r="Q597" s="31"/>
      <c r="R597" s="31"/>
      <c r="S597" s="31"/>
      <c r="T597" s="762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</row>
    <row r="598">
      <c r="A598" s="31"/>
      <c r="B598" s="31"/>
      <c r="C598" s="31"/>
      <c r="D598" s="31"/>
      <c r="E598" s="187"/>
      <c r="F598" s="31"/>
      <c r="G598" s="31"/>
      <c r="H598" s="31"/>
      <c r="I598" s="31"/>
      <c r="J598" s="31"/>
      <c r="K598" s="760"/>
      <c r="L598" s="761"/>
      <c r="M598" s="760"/>
      <c r="N598" s="31"/>
      <c r="O598" s="31"/>
      <c r="P598" s="31"/>
      <c r="Q598" s="31"/>
      <c r="R598" s="31"/>
      <c r="S598" s="31"/>
      <c r="T598" s="762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</row>
    <row r="599">
      <c r="A599" s="31"/>
      <c r="B599" s="31"/>
      <c r="C599" s="31"/>
      <c r="D599" s="31"/>
      <c r="E599" s="187"/>
      <c r="F599" s="31"/>
      <c r="G599" s="31"/>
      <c r="H599" s="31"/>
      <c r="I599" s="31"/>
      <c r="J599" s="31"/>
      <c r="K599" s="760"/>
      <c r="L599" s="761"/>
      <c r="M599" s="760"/>
      <c r="N599" s="31"/>
      <c r="O599" s="31"/>
      <c r="P599" s="31"/>
      <c r="Q599" s="31"/>
      <c r="R599" s="31"/>
      <c r="S599" s="31"/>
      <c r="T599" s="762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</row>
    <row r="600">
      <c r="A600" s="31"/>
      <c r="B600" s="31"/>
      <c r="C600" s="31"/>
      <c r="D600" s="31"/>
      <c r="E600" s="187"/>
      <c r="F600" s="31"/>
      <c r="G600" s="31"/>
      <c r="H600" s="31"/>
      <c r="I600" s="31"/>
      <c r="J600" s="31"/>
      <c r="K600" s="760"/>
      <c r="L600" s="761"/>
      <c r="M600" s="760"/>
      <c r="N600" s="31"/>
      <c r="O600" s="31"/>
      <c r="P600" s="31"/>
      <c r="Q600" s="31"/>
      <c r="R600" s="31"/>
      <c r="S600" s="31"/>
      <c r="T600" s="762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</row>
    <row r="601">
      <c r="A601" s="31"/>
      <c r="B601" s="31"/>
      <c r="C601" s="31"/>
      <c r="D601" s="31"/>
      <c r="E601" s="187"/>
      <c r="F601" s="31"/>
      <c r="G601" s="31"/>
      <c r="H601" s="31"/>
      <c r="I601" s="31"/>
      <c r="J601" s="31"/>
      <c r="K601" s="760"/>
      <c r="L601" s="761"/>
      <c r="M601" s="760"/>
      <c r="N601" s="31"/>
      <c r="O601" s="31"/>
      <c r="P601" s="31"/>
      <c r="Q601" s="31"/>
      <c r="R601" s="31"/>
      <c r="S601" s="31"/>
      <c r="T601" s="762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</row>
    <row r="602">
      <c r="A602" s="31"/>
      <c r="B602" s="31"/>
      <c r="C602" s="31"/>
      <c r="D602" s="31"/>
      <c r="E602" s="187"/>
      <c r="F602" s="31"/>
      <c r="G602" s="31"/>
      <c r="H602" s="31"/>
      <c r="I602" s="31"/>
      <c r="J602" s="31"/>
      <c r="K602" s="760"/>
      <c r="L602" s="761"/>
      <c r="M602" s="760"/>
      <c r="N602" s="31"/>
      <c r="O602" s="31"/>
      <c r="P602" s="31"/>
      <c r="Q602" s="31"/>
      <c r="R602" s="31"/>
      <c r="S602" s="31"/>
      <c r="T602" s="762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</row>
    <row r="603">
      <c r="A603" s="31"/>
      <c r="B603" s="31"/>
      <c r="C603" s="31"/>
      <c r="D603" s="31"/>
      <c r="E603" s="187"/>
      <c r="F603" s="31"/>
      <c r="G603" s="31"/>
      <c r="H603" s="31"/>
      <c r="I603" s="31"/>
      <c r="J603" s="31"/>
      <c r="K603" s="760"/>
      <c r="L603" s="761"/>
      <c r="M603" s="760"/>
      <c r="N603" s="31"/>
      <c r="O603" s="31"/>
      <c r="P603" s="31"/>
      <c r="Q603" s="31"/>
      <c r="R603" s="31"/>
      <c r="S603" s="31"/>
      <c r="T603" s="762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</row>
    <row r="604">
      <c r="A604" s="31"/>
      <c r="B604" s="31"/>
      <c r="C604" s="31"/>
      <c r="D604" s="31"/>
      <c r="E604" s="187"/>
      <c r="F604" s="31"/>
      <c r="G604" s="31"/>
      <c r="H604" s="31"/>
      <c r="I604" s="31"/>
      <c r="J604" s="31"/>
      <c r="K604" s="760"/>
      <c r="L604" s="761"/>
      <c r="M604" s="760"/>
      <c r="N604" s="31"/>
      <c r="O604" s="31"/>
      <c r="P604" s="31"/>
      <c r="Q604" s="31"/>
      <c r="R604" s="31"/>
      <c r="S604" s="31"/>
      <c r="T604" s="762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</row>
    <row r="605">
      <c r="A605" s="31"/>
      <c r="B605" s="31"/>
      <c r="C605" s="31"/>
      <c r="D605" s="31"/>
      <c r="E605" s="187"/>
      <c r="F605" s="31"/>
      <c r="G605" s="31"/>
      <c r="H605" s="31"/>
      <c r="I605" s="31"/>
      <c r="J605" s="31"/>
      <c r="K605" s="760"/>
      <c r="L605" s="761"/>
      <c r="M605" s="760"/>
      <c r="N605" s="31"/>
      <c r="O605" s="31"/>
      <c r="P605" s="31"/>
      <c r="Q605" s="31"/>
      <c r="R605" s="31"/>
      <c r="S605" s="31"/>
      <c r="T605" s="762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</row>
    <row r="606">
      <c r="A606" s="31"/>
      <c r="B606" s="31"/>
      <c r="C606" s="31"/>
      <c r="D606" s="31"/>
      <c r="E606" s="187"/>
      <c r="F606" s="31"/>
      <c r="G606" s="31"/>
      <c r="H606" s="31"/>
      <c r="I606" s="31"/>
      <c r="J606" s="31"/>
      <c r="K606" s="760"/>
      <c r="L606" s="761"/>
      <c r="M606" s="760"/>
      <c r="N606" s="31"/>
      <c r="O606" s="31"/>
      <c r="P606" s="31"/>
      <c r="Q606" s="31"/>
      <c r="R606" s="31"/>
      <c r="S606" s="31"/>
      <c r="T606" s="762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</row>
    <row r="607">
      <c r="A607" s="31"/>
      <c r="B607" s="31"/>
      <c r="C607" s="31"/>
      <c r="D607" s="31"/>
      <c r="E607" s="187"/>
      <c r="F607" s="31"/>
      <c r="G607" s="31"/>
      <c r="H607" s="31"/>
      <c r="I607" s="31"/>
      <c r="J607" s="31"/>
      <c r="K607" s="760"/>
      <c r="L607" s="761"/>
      <c r="M607" s="760"/>
      <c r="N607" s="31"/>
      <c r="O607" s="31"/>
      <c r="P607" s="31"/>
      <c r="Q607" s="31"/>
      <c r="R607" s="31"/>
      <c r="S607" s="31"/>
      <c r="T607" s="762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</row>
    <row r="608">
      <c r="A608" s="31"/>
      <c r="B608" s="31"/>
      <c r="C608" s="31"/>
      <c r="D608" s="31"/>
      <c r="E608" s="187"/>
      <c r="F608" s="31"/>
      <c r="G608" s="31"/>
      <c r="H608" s="31"/>
      <c r="I608" s="31"/>
      <c r="J608" s="31"/>
      <c r="K608" s="760"/>
      <c r="L608" s="761"/>
      <c r="M608" s="760"/>
      <c r="N608" s="31"/>
      <c r="O608" s="31"/>
      <c r="P608" s="31"/>
      <c r="Q608" s="31"/>
      <c r="R608" s="31"/>
      <c r="S608" s="31"/>
      <c r="T608" s="762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</row>
    <row r="609">
      <c r="A609" s="31"/>
      <c r="B609" s="31"/>
      <c r="C609" s="31"/>
      <c r="D609" s="31"/>
      <c r="E609" s="187"/>
      <c r="F609" s="31"/>
      <c r="G609" s="31"/>
      <c r="H609" s="31"/>
      <c r="I609" s="31"/>
      <c r="J609" s="31"/>
      <c r="K609" s="760"/>
      <c r="L609" s="761"/>
      <c r="M609" s="760"/>
      <c r="N609" s="31"/>
      <c r="O609" s="31"/>
      <c r="P609" s="31"/>
      <c r="Q609" s="31"/>
      <c r="R609" s="31"/>
      <c r="S609" s="31"/>
      <c r="T609" s="762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</row>
    <row r="610">
      <c r="A610" s="31"/>
      <c r="B610" s="31"/>
      <c r="C610" s="31"/>
      <c r="D610" s="31"/>
      <c r="E610" s="187"/>
      <c r="F610" s="31"/>
      <c r="G610" s="31"/>
      <c r="H610" s="31"/>
      <c r="I610" s="31"/>
      <c r="J610" s="31"/>
      <c r="K610" s="760"/>
      <c r="L610" s="761"/>
      <c r="M610" s="760"/>
      <c r="N610" s="31"/>
      <c r="O610" s="31"/>
      <c r="P610" s="31"/>
      <c r="Q610" s="31"/>
      <c r="R610" s="31"/>
      <c r="S610" s="31"/>
      <c r="T610" s="762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</row>
    <row r="611">
      <c r="A611" s="31"/>
      <c r="B611" s="31"/>
      <c r="C611" s="31"/>
      <c r="D611" s="31"/>
      <c r="E611" s="187"/>
      <c r="F611" s="31"/>
      <c r="G611" s="31"/>
      <c r="H611" s="31"/>
      <c r="I611" s="31"/>
      <c r="J611" s="31"/>
      <c r="K611" s="760"/>
      <c r="L611" s="761"/>
      <c r="M611" s="760"/>
      <c r="N611" s="31"/>
      <c r="O611" s="31"/>
      <c r="P611" s="31"/>
      <c r="Q611" s="31"/>
      <c r="R611" s="31"/>
      <c r="S611" s="31"/>
      <c r="T611" s="762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</row>
    <row r="612">
      <c r="A612" s="31"/>
      <c r="B612" s="31"/>
      <c r="C612" s="31"/>
      <c r="D612" s="31"/>
      <c r="E612" s="187"/>
      <c r="F612" s="31"/>
      <c r="G612" s="31"/>
      <c r="H612" s="31"/>
      <c r="I612" s="31"/>
      <c r="J612" s="31"/>
      <c r="K612" s="760"/>
      <c r="L612" s="761"/>
      <c r="M612" s="760"/>
      <c r="N612" s="31"/>
      <c r="O612" s="31"/>
      <c r="P612" s="31"/>
      <c r="Q612" s="31"/>
      <c r="R612" s="31"/>
      <c r="S612" s="31"/>
      <c r="T612" s="762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</row>
    <row r="613">
      <c r="A613" s="31"/>
      <c r="B613" s="31"/>
      <c r="C613" s="31"/>
      <c r="D613" s="31"/>
      <c r="E613" s="187"/>
      <c r="F613" s="31"/>
      <c r="G613" s="31"/>
      <c r="H613" s="31"/>
      <c r="I613" s="31"/>
      <c r="J613" s="31"/>
      <c r="K613" s="760"/>
      <c r="L613" s="761"/>
      <c r="M613" s="760"/>
      <c r="N613" s="31"/>
      <c r="O613" s="31"/>
      <c r="P613" s="31"/>
      <c r="Q613" s="31"/>
      <c r="R613" s="31"/>
      <c r="S613" s="31"/>
      <c r="T613" s="762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</row>
    <row r="614">
      <c r="A614" s="31"/>
      <c r="B614" s="31"/>
      <c r="C614" s="31"/>
      <c r="D614" s="31"/>
      <c r="E614" s="187"/>
      <c r="F614" s="31"/>
      <c r="G614" s="31"/>
      <c r="H614" s="31"/>
      <c r="I614" s="31"/>
      <c r="J614" s="31"/>
      <c r="K614" s="760"/>
      <c r="L614" s="761"/>
      <c r="M614" s="760"/>
      <c r="N614" s="31"/>
      <c r="O614" s="31"/>
      <c r="P614" s="31"/>
      <c r="Q614" s="31"/>
      <c r="R614" s="31"/>
      <c r="S614" s="31"/>
      <c r="T614" s="762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</row>
    <row r="615">
      <c r="A615" s="31"/>
      <c r="B615" s="31"/>
      <c r="C615" s="31"/>
      <c r="D615" s="31"/>
      <c r="E615" s="187"/>
      <c r="F615" s="31"/>
      <c r="G615" s="31"/>
      <c r="H615" s="31"/>
      <c r="I615" s="31"/>
      <c r="J615" s="31"/>
      <c r="K615" s="760"/>
      <c r="L615" s="761"/>
      <c r="M615" s="760"/>
      <c r="N615" s="31"/>
      <c r="O615" s="31"/>
      <c r="P615" s="31"/>
      <c r="Q615" s="31"/>
      <c r="R615" s="31"/>
      <c r="S615" s="31"/>
      <c r="T615" s="762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</row>
    <row r="616">
      <c r="A616" s="31"/>
      <c r="B616" s="31"/>
      <c r="C616" s="31"/>
      <c r="D616" s="31"/>
      <c r="E616" s="187"/>
      <c r="F616" s="31"/>
      <c r="G616" s="31"/>
      <c r="H616" s="31"/>
      <c r="I616" s="31"/>
      <c r="J616" s="31"/>
      <c r="K616" s="760"/>
      <c r="L616" s="761"/>
      <c r="M616" s="760"/>
      <c r="N616" s="31"/>
      <c r="O616" s="31"/>
      <c r="P616" s="31"/>
      <c r="Q616" s="31"/>
      <c r="R616" s="31"/>
      <c r="S616" s="31"/>
      <c r="T616" s="762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</row>
    <row r="617">
      <c r="A617" s="31"/>
      <c r="B617" s="31"/>
      <c r="C617" s="31"/>
      <c r="D617" s="31"/>
      <c r="E617" s="187"/>
      <c r="F617" s="31"/>
      <c r="G617" s="31"/>
      <c r="H617" s="31"/>
      <c r="I617" s="31"/>
      <c r="J617" s="31"/>
      <c r="K617" s="760"/>
      <c r="L617" s="761"/>
      <c r="M617" s="760"/>
      <c r="N617" s="31"/>
      <c r="O617" s="31"/>
      <c r="P617" s="31"/>
      <c r="Q617" s="31"/>
      <c r="R617" s="31"/>
      <c r="S617" s="31"/>
      <c r="T617" s="762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</row>
    <row r="618">
      <c r="A618" s="31"/>
      <c r="B618" s="31"/>
      <c r="C618" s="31"/>
      <c r="D618" s="31"/>
      <c r="E618" s="187"/>
      <c r="F618" s="31"/>
      <c r="G618" s="31"/>
      <c r="H618" s="31"/>
      <c r="I618" s="31"/>
      <c r="J618" s="31"/>
      <c r="K618" s="760"/>
      <c r="L618" s="761"/>
      <c r="M618" s="760"/>
      <c r="N618" s="31"/>
      <c r="O618" s="31"/>
      <c r="P618" s="31"/>
      <c r="Q618" s="31"/>
      <c r="R618" s="31"/>
      <c r="S618" s="31"/>
      <c r="T618" s="762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</row>
    <row r="619">
      <c r="A619" s="31"/>
      <c r="B619" s="31"/>
      <c r="C619" s="31"/>
      <c r="D619" s="31"/>
      <c r="E619" s="187"/>
      <c r="F619" s="31"/>
      <c r="G619" s="31"/>
      <c r="H619" s="31"/>
      <c r="I619" s="31"/>
      <c r="J619" s="31"/>
      <c r="K619" s="760"/>
      <c r="L619" s="761"/>
      <c r="M619" s="760"/>
      <c r="N619" s="31"/>
      <c r="O619" s="31"/>
      <c r="P619" s="31"/>
      <c r="Q619" s="31"/>
      <c r="R619" s="31"/>
      <c r="S619" s="31"/>
      <c r="T619" s="762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</row>
    <row r="620">
      <c r="A620" s="31"/>
      <c r="B620" s="31"/>
      <c r="C620" s="31"/>
      <c r="D620" s="31"/>
      <c r="E620" s="187"/>
      <c r="F620" s="31"/>
      <c r="G620" s="31"/>
      <c r="H620" s="31"/>
      <c r="I620" s="31"/>
      <c r="J620" s="31"/>
      <c r="K620" s="760"/>
      <c r="L620" s="761"/>
      <c r="M620" s="760"/>
      <c r="N620" s="31"/>
      <c r="O620" s="31"/>
      <c r="P620" s="31"/>
      <c r="Q620" s="31"/>
      <c r="R620" s="31"/>
      <c r="S620" s="31"/>
      <c r="T620" s="762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</row>
    <row r="621">
      <c r="A621" s="31"/>
      <c r="B621" s="31"/>
      <c r="C621" s="31"/>
      <c r="D621" s="31"/>
      <c r="E621" s="187"/>
      <c r="F621" s="31"/>
      <c r="G621" s="31"/>
      <c r="H621" s="31"/>
      <c r="I621" s="31"/>
      <c r="J621" s="31"/>
      <c r="K621" s="760"/>
      <c r="L621" s="761"/>
      <c r="M621" s="760"/>
      <c r="N621" s="31"/>
      <c r="O621" s="31"/>
      <c r="P621" s="31"/>
      <c r="Q621" s="31"/>
      <c r="R621" s="31"/>
      <c r="S621" s="31"/>
      <c r="T621" s="762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</row>
    <row r="622">
      <c r="A622" s="31"/>
      <c r="B622" s="31"/>
      <c r="C622" s="31"/>
      <c r="D622" s="31"/>
      <c r="E622" s="187"/>
      <c r="F622" s="31"/>
      <c r="G622" s="31"/>
      <c r="H622" s="31"/>
      <c r="I622" s="31"/>
      <c r="J622" s="31"/>
      <c r="K622" s="760"/>
      <c r="L622" s="761"/>
      <c r="M622" s="760"/>
      <c r="N622" s="31"/>
      <c r="O622" s="31"/>
      <c r="P622" s="31"/>
      <c r="Q622" s="31"/>
      <c r="R622" s="31"/>
      <c r="S622" s="31"/>
      <c r="T622" s="762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</row>
    <row r="623">
      <c r="A623" s="31"/>
      <c r="B623" s="31"/>
      <c r="C623" s="31"/>
      <c r="D623" s="31"/>
      <c r="E623" s="187"/>
      <c r="F623" s="31"/>
      <c r="G623" s="31"/>
      <c r="H623" s="31"/>
      <c r="I623" s="31"/>
      <c r="J623" s="31"/>
      <c r="K623" s="760"/>
      <c r="L623" s="761"/>
      <c r="M623" s="760"/>
      <c r="N623" s="31"/>
      <c r="O623" s="31"/>
      <c r="P623" s="31"/>
      <c r="Q623" s="31"/>
      <c r="R623" s="31"/>
      <c r="S623" s="31"/>
      <c r="T623" s="762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</row>
    <row r="624">
      <c r="A624" s="31"/>
      <c r="B624" s="31"/>
      <c r="C624" s="31"/>
      <c r="D624" s="31"/>
      <c r="E624" s="187"/>
      <c r="F624" s="31"/>
      <c r="G624" s="31"/>
      <c r="H624" s="31"/>
      <c r="I624" s="31"/>
      <c r="J624" s="31"/>
      <c r="K624" s="760"/>
      <c r="L624" s="761"/>
      <c r="M624" s="760"/>
      <c r="N624" s="31"/>
      <c r="O624" s="31"/>
      <c r="P624" s="31"/>
      <c r="Q624" s="31"/>
      <c r="R624" s="31"/>
      <c r="S624" s="31"/>
      <c r="T624" s="762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</row>
    <row r="625">
      <c r="A625" s="31"/>
      <c r="B625" s="31"/>
      <c r="C625" s="31"/>
      <c r="D625" s="31"/>
      <c r="E625" s="187"/>
      <c r="F625" s="31"/>
      <c r="G625" s="31"/>
      <c r="H625" s="31"/>
      <c r="I625" s="31"/>
      <c r="J625" s="31"/>
      <c r="K625" s="760"/>
      <c r="L625" s="761"/>
      <c r="M625" s="760"/>
      <c r="N625" s="31"/>
      <c r="O625" s="31"/>
      <c r="P625" s="31"/>
      <c r="Q625" s="31"/>
      <c r="R625" s="31"/>
      <c r="S625" s="31"/>
      <c r="T625" s="762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</row>
    <row r="626">
      <c r="A626" s="31"/>
      <c r="B626" s="31"/>
      <c r="C626" s="31"/>
      <c r="D626" s="31"/>
      <c r="E626" s="187"/>
      <c r="F626" s="31"/>
      <c r="G626" s="31"/>
      <c r="H626" s="31"/>
      <c r="I626" s="31"/>
      <c r="J626" s="31"/>
      <c r="K626" s="760"/>
      <c r="L626" s="761"/>
      <c r="M626" s="760"/>
      <c r="N626" s="31"/>
      <c r="O626" s="31"/>
      <c r="P626" s="31"/>
      <c r="Q626" s="31"/>
      <c r="R626" s="31"/>
      <c r="S626" s="31"/>
      <c r="T626" s="762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</row>
    <row r="627">
      <c r="A627" s="31"/>
      <c r="B627" s="31"/>
      <c r="C627" s="31"/>
      <c r="D627" s="31"/>
      <c r="E627" s="187"/>
      <c r="F627" s="31"/>
      <c r="G627" s="31"/>
      <c r="H627" s="31"/>
      <c r="I627" s="31"/>
      <c r="J627" s="31"/>
      <c r="K627" s="760"/>
      <c r="L627" s="761"/>
      <c r="M627" s="760"/>
      <c r="N627" s="31"/>
      <c r="O627" s="31"/>
      <c r="P627" s="31"/>
      <c r="Q627" s="31"/>
      <c r="R627" s="31"/>
      <c r="S627" s="31"/>
      <c r="T627" s="762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</row>
    <row r="628">
      <c r="A628" s="31"/>
      <c r="B628" s="31"/>
      <c r="C628" s="31"/>
      <c r="D628" s="31"/>
      <c r="E628" s="187"/>
      <c r="F628" s="31"/>
      <c r="G628" s="31"/>
      <c r="H628" s="31"/>
      <c r="I628" s="31"/>
      <c r="J628" s="31"/>
      <c r="K628" s="760"/>
      <c r="L628" s="761"/>
      <c r="M628" s="760"/>
      <c r="N628" s="31"/>
      <c r="O628" s="31"/>
      <c r="P628" s="31"/>
      <c r="Q628" s="31"/>
      <c r="R628" s="31"/>
      <c r="S628" s="31"/>
      <c r="T628" s="762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</row>
    <row r="629">
      <c r="A629" s="31"/>
      <c r="B629" s="31"/>
      <c r="C629" s="31"/>
      <c r="D629" s="31"/>
      <c r="E629" s="187"/>
      <c r="F629" s="31"/>
      <c r="G629" s="31"/>
      <c r="H629" s="31"/>
      <c r="I629" s="31"/>
      <c r="J629" s="31"/>
      <c r="K629" s="760"/>
      <c r="L629" s="761"/>
      <c r="M629" s="760"/>
      <c r="N629" s="31"/>
      <c r="O629" s="31"/>
      <c r="P629" s="31"/>
      <c r="Q629" s="31"/>
      <c r="R629" s="31"/>
      <c r="S629" s="31"/>
      <c r="T629" s="762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</row>
    <row r="630">
      <c r="A630" s="31"/>
      <c r="B630" s="31"/>
      <c r="C630" s="31"/>
      <c r="D630" s="31"/>
      <c r="E630" s="187"/>
      <c r="F630" s="31"/>
      <c r="G630" s="31"/>
      <c r="H630" s="31"/>
      <c r="I630" s="31"/>
      <c r="J630" s="31"/>
      <c r="K630" s="760"/>
      <c r="L630" s="761"/>
      <c r="M630" s="760"/>
      <c r="N630" s="31"/>
      <c r="O630" s="31"/>
      <c r="P630" s="31"/>
      <c r="Q630" s="31"/>
      <c r="R630" s="31"/>
      <c r="S630" s="31"/>
      <c r="T630" s="762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</row>
    <row r="631">
      <c r="A631" s="31"/>
      <c r="B631" s="31"/>
      <c r="C631" s="31"/>
      <c r="D631" s="31"/>
      <c r="E631" s="187"/>
      <c r="F631" s="31"/>
      <c r="G631" s="31"/>
      <c r="H631" s="31"/>
      <c r="I631" s="31"/>
      <c r="J631" s="31"/>
      <c r="K631" s="760"/>
      <c r="L631" s="761"/>
      <c r="M631" s="760"/>
      <c r="N631" s="31"/>
      <c r="O631" s="31"/>
      <c r="P631" s="31"/>
      <c r="Q631" s="31"/>
      <c r="R631" s="31"/>
      <c r="S631" s="31"/>
      <c r="T631" s="762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</row>
    <row r="632">
      <c r="A632" s="31"/>
      <c r="B632" s="31"/>
      <c r="C632" s="31"/>
      <c r="D632" s="31"/>
      <c r="E632" s="187"/>
      <c r="F632" s="31"/>
      <c r="G632" s="31"/>
      <c r="H632" s="31"/>
      <c r="I632" s="31"/>
      <c r="J632" s="31"/>
      <c r="K632" s="760"/>
      <c r="L632" s="761"/>
      <c r="M632" s="760"/>
      <c r="N632" s="31"/>
      <c r="O632" s="31"/>
      <c r="P632" s="31"/>
      <c r="Q632" s="31"/>
      <c r="R632" s="31"/>
      <c r="S632" s="31"/>
      <c r="T632" s="762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</row>
    <row r="633">
      <c r="A633" s="31"/>
      <c r="B633" s="31"/>
      <c r="C633" s="31"/>
      <c r="D633" s="31"/>
      <c r="E633" s="187"/>
      <c r="F633" s="31"/>
      <c r="G633" s="31"/>
      <c r="H633" s="31"/>
      <c r="I633" s="31"/>
      <c r="J633" s="31"/>
      <c r="K633" s="760"/>
      <c r="L633" s="761"/>
      <c r="M633" s="760"/>
      <c r="N633" s="31"/>
      <c r="O633" s="31"/>
      <c r="P633" s="31"/>
      <c r="Q633" s="31"/>
      <c r="R633" s="31"/>
      <c r="S633" s="31"/>
      <c r="T633" s="762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</row>
    <row r="634">
      <c r="A634" s="31"/>
      <c r="B634" s="31"/>
      <c r="C634" s="31"/>
      <c r="D634" s="31"/>
      <c r="E634" s="187"/>
      <c r="F634" s="31"/>
      <c r="G634" s="31"/>
      <c r="H634" s="31"/>
      <c r="I634" s="31"/>
      <c r="J634" s="31"/>
      <c r="K634" s="760"/>
      <c r="L634" s="761"/>
      <c r="M634" s="760"/>
      <c r="N634" s="31"/>
      <c r="O634" s="31"/>
      <c r="P634" s="31"/>
      <c r="Q634" s="31"/>
      <c r="R634" s="31"/>
      <c r="S634" s="31"/>
      <c r="T634" s="762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</row>
    <row r="635">
      <c r="A635" s="31"/>
      <c r="B635" s="31"/>
      <c r="C635" s="31"/>
      <c r="D635" s="31"/>
      <c r="E635" s="187"/>
      <c r="F635" s="31"/>
      <c r="G635" s="31"/>
      <c r="H635" s="31"/>
      <c r="I635" s="31"/>
      <c r="J635" s="31"/>
      <c r="K635" s="760"/>
      <c r="L635" s="761"/>
      <c r="M635" s="760"/>
      <c r="N635" s="31"/>
      <c r="O635" s="31"/>
      <c r="P635" s="31"/>
      <c r="Q635" s="31"/>
      <c r="R635" s="31"/>
      <c r="S635" s="31"/>
      <c r="T635" s="762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</row>
    <row r="636">
      <c r="A636" s="31"/>
      <c r="B636" s="31"/>
      <c r="C636" s="31"/>
      <c r="D636" s="31"/>
      <c r="E636" s="187"/>
      <c r="F636" s="31"/>
      <c r="G636" s="31"/>
      <c r="H636" s="31"/>
      <c r="I636" s="31"/>
      <c r="J636" s="31"/>
      <c r="K636" s="760"/>
      <c r="L636" s="761"/>
      <c r="M636" s="760"/>
      <c r="N636" s="31"/>
      <c r="O636" s="31"/>
      <c r="P636" s="31"/>
      <c r="Q636" s="31"/>
      <c r="R636" s="31"/>
      <c r="S636" s="31"/>
      <c r="T636" s="762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</row>
    <row r="637">
      <c r="A637" s="31"/>
      <c r="B637" s="31"/>
      <c r="C637" s="31"/>
      <c r="D637" s="31"/>
      <c r="E637" s="187"/>
      <c r="F637" s="31"/>
      <c r="G637" s="31"/>
      <c r="H637" s="31"/>
      <c r="I637" s="31"/>
      <c r="J637" s="31"/>
      <c r="K637" s="760"/>
      <c r="L637" s="761"/>
      <c r="M637" s="760"/>
      <c r="N637" s="31"/>
      <c r="O637" s="31"/>
      <c r="P637" s="31"/>
      <c r="Q637" s="31"/>
      <c r="R637" s="31"/>
      <c r="S637" s="31"/>
      <c r="T637" s="762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</row>
    <row r="638">
      <c r="A638" s="31"/>
      <c r="B638" s="31"/>
      <c r="C638" s="31"/>
      <c r="D638" s="31"/>
      <c r="E638" s="187"/>
      <c r="F638" s="31"/>
      <c r="G638" s="31"/>
      <c r="H638" s="31"/>
      <c r="I638" s="31"/>
      <c r="J638" s="31"/>
      <c r="K638" s="760"/>
      <c r="L638" s="761"/>
      <c r="M638" s="760"/>
      <c r="N638" s="31"/>
      <c r="O638" s="31"/>
      <c r="P638" s="31"/>
      <c r="Q638" s="31"/>
      <c r="R638" s="31"/>
      <c r="S638" s="31"/>
      <c r="T638" s="762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</row>
    <row r="639">
      <c r="A639" s="31"/>
      <c r="B639" s="31"/>
      <c r="C639" s="31"/>
      <c r="D639" s="31"/>
      <c r="E639" s="187"/>
      <c r="F639" s="31"/>
      <c r="G639" s="31"/>
      <c r="H639" s="31"/>
      <c r="I639" s="31"/>
      <c r="J639" s="31"/>
      <c r="K639" s="760"/>
      <c r="L639" s="761"/>
      <c r="M639" s="760"/>
      <c r="N639" s="31"/>
      <c r="O639" s="31"/>
      <c r="P639" s="31"/>
      <c r="Q639" s="31"/>
      <c r="R639" s="31"/>
      <c r="S639" s="31"/>
      <c r="T639" s="762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</row>
    <row r="640">
      <c r="A640" s="31"/>
      <c r="B640" s="31"/>
      <c r="C640" s="31"/>
      <c r="D640" s="31"/>
      <c r="E640" s="187"/>
      <c r="F640" s="31"/>
      <c r="G640" s="31"/>
      <c r="H640" s="31"/>
      <c r="I640" s="31"/>
      <c r="J640" s="31"/>
      <c r="K640" s="760"/>
      <c r="L640" s="761"/>
      <c r="M640" s="760"/>
      <c r="N640" s="31"/>
      <c r="O640" s="31"/>
      <c r="P640" s="31"/>
      <c r="Q640" s="31"/>
      <c r="R640" s="31"/>
      <c r="S640" s="31"/>
      <c r="T640" s="762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</row>
    <row r="641">
      <c r="A641" s="31"/>
      <c r="B641" s="31"/>
      <c r="C641" s="31"/>
      <c r="D641" s="31"/>
      <c r="E641" s="187"/>
      <c r="F641" s="31"/>
      <c r="G641" s="31"/>
      <c r="H641" s="31"/>
      <c r="I641" s="31"/>
      <c r="J641" s="31"/>
      <c r="K641" s="760"/>
      <c r="L641" s="761"/>
      <c r="M641" s="760"/>
      <c r="N641" s="31"/>
      <c r="O641" s="31"/>
      <c r="P641" s="31"/>
      <c r="Q641" s="31"/>
      <c r="R641" s="31"/>
      <c r="S641" s="31"/>
      <c r="T641" s="762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</row>
    <row r="642">
      <c r="A642" s="31"/>
      <c r="B642" s="31"/>
      <c r="C642" s="31"/>
      <c r="D642" s="31"/>
      <c r="E642" s="187"/>
      <c r="F642" s="31"/>
      <c r="G642" s="31"/>
      <c r="H642" s="31"/>
      <c r="I642" s="31"/>
      <c r="J642" s="31"/>
      <c r="K642" s="760"/>
      <c r="L642" s="761"/>
      <c r="M642" s="760"/>
      <c r="N642" s="31"/>
      <c r="O642" s="31"/>
      <c r="P642" s="31"/>
      <c r="Q642" s="31"/>
      <c r="R642" s="31"/>
      <c r="S642" s="31"/>
      <c r="T642" s="762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</row>
    <row r="643">
      <c r="A643" s="31"/>
      <c r="B643" s="31"/>
      <c r="C643" s="31"/>
      <c r="D643" s="31"/>
      <c r="E643" s="187"/>
      <c r="F643" s="31"/>
      <c r="G643" s="31"/>
      <c r="H643" s="31"/>
      <c r="I643" s="31"/>
      <c r="J643" s="31"/>
      <c r="K643" s="760"/>
      <c r="L643" s="761"/>
      <c r="M643" s="760"/>
      <c r="N643" s="31"/>
      <c r="O643" s="31"/>
      <c r="P643" s="31"/>
      <c r="Q643" s="31"/>
      <c r="R643" s="31"/>
      <c r="S643" s="31"/>
      <c r="T643" s="762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</row>
    <row r="644">
      <c r="A644" s="31"/>
      <c r="B644" s="31"/>
      <c r="C644" s="31"/>
      <c r="D644" s="31"/>
      <c r="E644" s="187"/>
      <c r="F644" s="31"/>
      <c r="G644" s="31"/>
      <c r="H644" s="31"/>
      <c r="I644" s="31"/>
      <c r="J644" s="31"/>
      <c r="K644" s="760"/>
      <c r="L644" s="761"/>
      <c r="M644" s="760"/>
      <c r="N644" s="31"/>
      <c r="O644" s="31"/>
      <c r="P644" s="31"/>
      <c r="Q644" s="31"/>
      <c r="R644" s="31"/>
      <c r="S644" s="31"/>
      <c r="T644" s="762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</row>
    <row r="645">
      <c r="A645" s="31"/>
      <c r="B645" s="31"/>
      <c r="C645" s="31"/>
      <c r="D645" s="31"/>
      <c r="E645" s="187"/>
      <c r="F645" s="31"/>
      <c r="G645" s="31"/>
      <c r="H645" s="31"/>
      <c r="I645" s="31"/>
      <c r="J645" s="31"/>
      <c r="K645" s="760"/>
      <c r="L645" s="761"/>
      <c r="M645" s="760"/>
      <c r="N645" s="31"/>
      <c r="O645" s="31"/>
      <c r="P645" s="31"/>
      <c r="Q645" s="31"/>
      <c r="R645" s="31"/>
      <c r="S645" s="31"/>
      <c r="T645" s="762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</row>
    <row r="646">
      <c r="A646" s="31"/>
      <c r="B646" s="31"/>
      <c r="C646" s="31"/>
      <c r="D646" s="31"/>
      <c r="E646" s="187"/>
      <c r="F646" s="31"/>
      <c r="G646" s="31"/>
      <c r="H646" s="31"/>
      <c r="I646" s="31"/>
      <c r="J646" s="31"/>
      <c r="K646" s="760"/>
      <c r="L646" s="761"/>
      <c r="M646" s="760"/>
      <c r="N646" s="31"/>
      <c r="O646" s="31"/>
      <c r="P646" s="31"/>
      <c r="Q646" s="31"/>
      <c r="R646" s="31"/>
      <c r="S646" s="31"/>
      <c r="T646" s="762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</row>
    <row r="647">
      <c r="A647" s="31"/>
      <c r="B647" s="31"/>
      <c r="C647" s="31"/>
      <c r="D647" s="31"/>
      <c r="E647" s="187"/>
      <c r="F647" s="31"/>
      <c r="G647" s="31"/>
      <c r="H647" s="31"/>
      <c r="I647" s="31"/>
      <c r="J647" s="31"/>
      <c r="K647" s="760"/>
      <c r="L647" s="761"/>
      <c r="M647" s="760"/>
      <c r="N647" s="31"/>
      <c r="O647" s="31"/>
      <c r="P647" s="31"/>
      <c r="Q647" s="31"/>
      <c r="R647" s="31"/>
      <c r="S647" s="31"/>
      <c r="T647" s="762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</row>
    <row r="648">
      <c r="A648" s="31"/>
      <c r="B648" s="31"/>
      <c r="C648" s="31"/>
      <c r="D648" s="31"/>
      <c r="E648" s="187"/>
      <c r="F648" s="31"/>
      <c r="G648" s="31"/>
      <c r="H648" s="31"/>
      <c r="I648" s="31"/>
      <c r="J648" s="31"/>
      <c r="K648" s="760"/>
      <c r="L648" s="761"/>
      <c r="M648" s="760"/>
      <c r="N648" s="31"/>
      <c r="O648" s="31"/>
      <c r="P648" s="31"/>
      <c r="Q648" s="31"/>
      <c r="R648" s="31"/>
      <c r="S648" s="31"/>
      <c r="T648" s="762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</row>
    <row r="649">
      <c r="A649" s="31"/>
      <c r="B649" s="31"/>
      <c r="C649" s="31"/>
      <c r="D649" s="31"/>
      <c r="E649" s="187"/>
      <c r="F649" s="31"/>
      <c r="G649" s="31"/>
      <c r="H649" s="31"/>
      <c r="I649" s="31"/>
      <c r="J649" s="31"/>
      <c r="K649" s="760"/>
      <c r="L649" s="761"/>
      <c r="M649" s="760"/>
      <c r="N649" s="31"/>
      <c r="O649" s="31"/>
      <c r="P649" s="31"/>
      <c r="Q649" s="31"/>
      <c r="R649" s="31"/>
      <c r="S649" s="31"/>
      <c r="T649" s="762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</row>
    <row r="650">
      <c r="A650" s="31"/>
      <c r="B650" s="31"/>
      <c r="C650" s="31"/>
      <c r="D650" s="31"/>
      <c r="E650" s="187"/>
      <c r="F650" s="31"/>
      <c r="G650" s="31"/>
      <c r="H650" s="31"/>
      <c r="I650" s="31"/>
      <c r="J650" s="31"/>
      <c r="K650" s="760"/>
      <c r="L650" s="761"/>
      <c r="M650" s="760"/>
      <c r="N650" s="31"/>
      <c r="O650" s="31"/>
      <c r="P650" s="31"/>
      <c r="Q650" s="31"/>
      <c r="R650" s="31"/>
      <c r="S650" s="31"/>
      <c r="T650" s="762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</row>
    <row r="651">
      <c r="A651" s="31"/>
      <c r="B651" s="31"/>
      <c r="C651" s="31"/>
      <c r="D651" s="31"/>
      <c r="E651" s="187"/>
      <c r="F651" s="31"/>
      <c r="G651" s="31"/>
      <c r="H651" s="31"/>
      <c r="I651" s="31"/>
      <c r="J651" s="31"/>
      <c r="K651" s="760"/>
      <c r="L651" s="761"/>
      <c r="M651" s="760"/>
      <c r="N651" s="31"/>
      <c r="O651" s="31"/>
      <c r="P651" s="31"/>
      <c r="Q651" s="31"/>
      <c r="R651" s="31"/>
      <c r="S651" s="31"/>
      <c r="T651" s="762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</row>
    <row r="652">
      <c r="A652" s="31"/>
      <c r="B652" s="31"/>
      <c r="C652" s="31"/>
      <c r="D652" s="31"/>
      <c r="E652" s="187"/>
      <c r="F652" s="31"/>
      <c r="G652" s="31"/>
      <c r="H652" s="31"/>
      <c r="I652" s="31"/>
      <c r="J652" s="31"/>
      <c r="K652" s="760"/>
      <c r="L652" s="761"/>
      <c r="M652" s="760"/>
      <c r="N652" s="31"/>
      <c r="O652" s="31"/>
      <c r="P652" s="31"/>
      <c r="Q652" s="31"/>
      <c r="R652" s="31"/>
      <c r="S652" s="31"/>
      <c r="T652" s="762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</row>
    <row r="653">
      <c r="A653" s="31"/>
      <c r="B653" s="31"/>
      <c r="C653" s="31"/>
      <c r="D653" s="31"/>
      <c r="E653" s="187"/>
      <c r="F653" s="31"/>
      <c r="G653" s="31"/>
      <c r="H653" s="31"/>
      <c r="I653" s="31"/>
      <c r="J653" s="31"/>
      <c r="K653" s="760"/>
      <c r="L653" s="761"/>
      <c r="M653" s="760"/>
      <c r="N653" s="31"/>
      <c r="O653" s="31"/>
      <c r="P653" s="31"/>
      <c r="Q653" s="31"/>
      <c r="R653" s="31"/>
      <c r="S653" s="31"/>
      <c r="T653" s="762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</row>
    <row r="654">
      <c r="A654" s="31"/>
      <c r="B654" s="31"/>
      <c r="C654" s="31"/>
      <c r="D654" s="31"/>
      <c r="E654" s="187"/>
      <c r="F654" s="31"/>
      <c r="G654" s="31"/>
      <c r="H654" s="31"/>
      <c r="I654" s="31"/>
      <c r="J654" s="31"/>
      <c r="K654" s="760"/>
      <c r="L654" s="761"/>
      <c r="M654" s="760"/>
      <c r="N654" s="31"/>
      <c r="O654" s="31"/>
      <c r="P654" s="31"/>
      <c r="Q654" s="31"/>
      <c r="R654" s="31"/>
      <c r="S654" s="31"/>
      <c r="T654" s="762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</row>
    <row r="655">
      <c r="A655" s="31"/>
      <c r="B655" s="31"/>
      <c r="C655" s="31"/>
      <c r="D655" s="31"/>
      <c r="E655" s="187"/>
      <c r="F655" s="31"/>
      <c r="G655" s="31"/>
      <c r="H655" s="31"/>
      <c r="I655" s="31"/>
      <c r="J655" s="31"/>
      <c r="K655" s="760"/>
      <c r="L655" s="761"/>
      <c r="M655" s="760"/>
      <c r="N655" s="31"/>
      <c r="O655" s="31"/>
      <c r="P655" s="31"/>
      <c r="Q655" s="31"/>
      <c r="R655" s="31"/>
      <c r="S655" s="31"/>
      <c r="T655" s="762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</row>
    <row r="656">
      <c r="A656" s="31"/>
      <c r="B656" s="31"/>
      <c r="C656" s="31"/>
      <c r="D656" s="31"/>
      <c r="E656" s="187"/>
      <c r="F656" s="31"/>
      <c r="G656" s="31"/>
      <c r="H656" s="31"/>
      <c r="I656" s="31"/>
      <c r="J656" s="31"/>
      <c r="K656" s="760"/>
      <c r="L656" s="761"/>
      <c r="M656" s="760"/>
      <c r="N656" s="31"/>
      <c r="O656" s="31"/>
      <c r="P656" s="31"/>
      <c r="Q656" s="31"/>
      <c r="R656" s="31"/>
      <c r="S656" s="31"/>
      <c r="T656" s="762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</row>
    <row r="657">
      <c r="A657" s="31"/>
      <c r="B657" s="31"/>
      <c r="C657" s="31"/>
      <c r="D657" s="31"/>
      <c r="E657" s="187"/>
      <c r="F657" s="31"/>
      <c r="G657" s="31"/>
      <c r="H657" s="31"/>
      <c r="I657" s="31"/>
      <c r="J657" s="31"/>
      <c r="K657" s="760"/>
      <c r="L657" s="761"/>
      <c r="M657" s="760"/>
      <c r="N657" s="31"/>
      <c r="O657" s="31"/>
      <c r="P657" s="31"/>
      <c r="Q657" s="31"/>
      <c r="R657" s="31"/>
      <c r="S657" s="31"/>
      <c r="T657" s="762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</row>
    <row r="658">
      <c r="A658" s="31"/>
      <c r="B658" s="31"/>
      <c r="C658" s="31"/>
      <c r="D658" s="31"/>
      <c r="E658" s="187"/>
      <c r="F658" s="31"/>
      <c r="G658" s="31"/>
      <c r="H658" s="31"/>
      <c r="I658" s="31"/>
      <c r="J658" s="31"/>
      <c r="K658" s="760"/>
      <c r="L658" s="761"/>
      <c r="M658" s="760"/>
      <c r="N658" s="31"/>
      <c r="O658" s="31"/>
      <c r="P658" s="31"/>
      <c r="Q658" s="31"/>
      <c r="R658" s="31"/>
      <c r="S658" s="31"/>
      <c r="T658" s="762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</row>
    <row r="659">
      <c r="A659" s="31"/>
      <c r="B659" s="31"/>
      <c r="C659" s="31"/>
      <c r="D659" s="31"/>
      <c r="E659" s="187"/>
      <c r="F659" s="31"/>
      <c r="G659" s="31"/>
      <c r="H659" s="31"/>
      <c r="I659" s="31"/>
      <c r="J659" s="31"/>
      <c r="K659" s="760"/>
      <c r="L659" s="761"/>
      <c r="M659" s="760"/>
      <c r="N659" s="31"/>
      <c r="O659" s="31"/>
      <c r="P659" s="31"/>
      <c r="Q659" s="31"/>
      <c r="R659" s="31"/>
      <c r="S659" s="31"/>
      <c r="T659" s="762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</row>
    <row r="660">
      <c r="A660" s="31"/>
      <c r="B660" s="31"/>
      <c r="C660" s="31"/>
      <c r="D660" s="31"/>
      <c r="E660" s="187"/>
      <c r="F660" s="31"/>
      <c r="G660" s="31"/>
      <c r="H660" s="31"/>
      <c r="I660" s="31"/>
      <c r="J660" s="31"/>
      <c r="K660" s="760"/>
      <c r="L660" s="761"/>
      <c r="M660" s="760"/>
      <c r="N660" s="31"/>
      <c r="O660" s="31"/>
      <c r="P660" s="31"/>
      <c r="Q660" s="31"/>
      <c r="R660" s="31"/>
      <c r="S660" s="31"/>
      <c r="T660" s="762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</row>
    <row r="661">
      <c r="A661" s="31"/>
      <c r="B661" s="31"/>
      <c r="C661" s="31"/>
      <c r="D661" s="31"/>
      <c r="E661" s="187"/>
      <c r="F661" s="31"/>
      <c r="G661" s="31"/>
      <c r="H661" s="31"/>
      <c r="I661" s="31"/>
      <c r="J661" s="31"/>
      <c r="K661" s="760"/>
      <c r="L661" s="761"/>
      <c r="M661" s="760"/>
      <c r="N661" s="31"/>
      <c r="O661" s="31"/>
      <c r="P661" s="31"/>
      <c r="Q661" s="31"/>
      <c r="R661" s="31"/>
      <c r="S661" s="31"/>
      <c r="T661" s="762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</row>
    <row r="662">
      <c r="A662" s="31"/>
      <c r="B662" s="31"/>
      <c r="C662" s="31"/>
      <c r="D662" s="31"/>
      <c r="E662" s="187"/>
      <c r="F662" s="31"/>
      <c r="G662" s="31"/>
      <c r="H662" s="31"/>
      <c r="I662" s="31"/>
      <c r="J662" s="31"/>
      <c r="K662" s="760"/>
      <c r="L662" s="761"/>
      <c r="M662" s="760"/>
      <c r="N662" s="31"/>
      <c r="O662" s="31"/>
      <c r="P662" s="31"/>
      <c r="Q662" s="31"/>
      <c r="R662" s="31"/>
      <c r="S662" s="31"/>
      <c r="T662" s="762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</row>
    <row r="663">
      <c r="A663" s="31"/>
      <c r="B663" s="31"/>
      <c r="C663" s="31"/>
      <c r="D663" s="31"/>
      <c r="E663" s="187"/>
      <c r="F663" s="31"/>
      <c r="G663" s="31"/>
      <c r="H663" s="31"/>
      <c r="I663" s="31"/>
      <c r="J663" s="31"/>
      <c r="K663" s="760"/>
      <c r="L663" s="761"/>
      <c r="M663" s="760"/>
      <c r="N663" s="31"/>
      <c r="O663" s="31"/>
      <c r="P663" s="31"/>
      <c r="Q663" s="31"/>
      <c r="R663" s="31"/>
      <c r="S663" s="31"/>
      <c r="T663" s="762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</row>
    <row r="664">
      <c r="A664" s="31"/>
      <c r="B664" s="31"/>
      <c r="C664" s="31"/>
      <c r="D664" s="31"/>
      <c r="E664" s="187"/>
      <c r="F664" s="31"/>
      <c r="G664" s="31"/>
      <c r="H664" s="31"/>
      <c r="I664" s="31"/>
      <c r="J664" s="31"/>
      <c r="K664" s="760"/>
      <c r="L664" s="761"/>
      <c r="M664" s="760"/>
      <c r="N664" s="31"/>
      <c r="O664" s="31"/>
      <c r="P664" s="31"/>
      <c r="Q664" s="31"/>
      <c r="R664" s="31"/>
      <c r="S664" s="31"/>
      <c r="T664" s="762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</row>
    <row r="665">
      <c r="A665" s="31"/>
      <c r="B665" s="31"/>
      <c r="C665" s="31"/>
      <c r="D665" s="31"/>
      <c r="E665" s="187"/>
      <c r="F665" s="31"/>
      <c r="G665" s="31"/>
      <c r="H665" s="31"/>
      <c r="I665" s="31"/>
      <c r="J665" s="31"/>
      <c r="K665" s="760"/>
      <c r="L665" s="761"/>
      <c r="M665" s="760"/>
      <c r="N665" s="31"/>
      <c r="O665" s="31"/>
      <c r="P665" s="31"/>
      <c r="Q665" s="31"/>
      <c r="R665" s="31"/>
      <c r="S665" s="31"/>
      <c r="T665" s="762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</row>
    <row r="666">
      <c r="A666" s="31"/>
      <c r="B666" s="31"/>
      <c r="C666" s="31"/>
      <c r="D666" s="31"/>
      <c r="E666" s="187"/>
      <c r="F666" s="31"/>
      <c r="G666" s="31"/>
      <c r="H666" s="31"/>
      <c r="I666" s="31"/>
      <c r="J666" s="31"/>
      <c r="K666" s="760"/>
      <c r="L666" s="761"/>
      <c r="M666" s="760"/>
      <c r="N666" s="31"/>
      <c r="O666" s="31"/>
      <c r="P666" s="31"/>
      <c r="Q666" s="31"/>
      <c r="R666" s="31"/>
      <c r="S666" s="31"/>
      <c r="T666" s="762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</row>
    <row r="667">
      <c r="A667" s="31"/>
      <c r="B667" s="31"/>
      <c r="C667" s="31"/>
      <c r="D667" s="31"/>
      <c r="E667" s="187"/>
      <c r="F667" s="31"/>
      <c r="G667" s="31"/>
      <c r="H667" s="31"/>
      <c r="I667" s="31"/>
      <c r="J667" s="31"/>
      <c r="K667" s="760"/>
      <c r="L667" s="761"/>
      <c r="M667" s="760"/>
      <c r="N667" s="31"/>
      <c r="O667" s="31"/>
      <c r="P667" s="31"/>
      <c r="Q667" s="31"/>
      <c r="R667" s="31"/>
      <c r="S667" s="31"/>
      <c r="T667" s="762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</row>
    <row r="668">
      <c r="A668" s="31"/>
      <c r="B668" s="31"/>
      <c r="C668" s="31"/>
      <c r="D668" s="31"/>
      <c r="E668" s="187"/>
      <c r="F668" s="31"/>
      <c r="G668" s="31"/>
      <c r="H668" s="31"/>
      <c r="I668" s="31"/>
      <c r="J668" s="31"/>
      <c r="K668" s="760"/>
      <c r="L668" s="761"/>
      <c r="M668" s="760"/>
      <c r="N668" s="31"/>
      <c r="O668" s="31"/>
      <c r="P668" s="31"/>
      <c r="Q668" s="31"/>
      <c r="R668" s="31"/>
      <c r="S668" s="31"/>
      <c r="T668" s="762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</row>
    <row r="669">
      <c r="A669" s="31"/>
      <c r="B669" s="31"/>
      <c r="C669" s="31"/>
      <c r="D669" s="31"/>
      <c r="E669" s="187"/>
      <c r="F669" s="31"/>
      <c r="G669" s="31"/>
      <c r="H669" s="31"/>
      <c r="I669" s="31"/>
      <c r="J669" s="31"/>
      <c r="K669" s="760"/>
      <c r="L669" s="761"/>
      <c r="M669" s="760"/>
      <c r="N669" s="31"/>
      <c r="O669" s="31"/>
      <c r="P669" s="31"/>
      <c r="Q669" s="31"/>
      <c r="R669" s="31"/>
      <c r="S669" s="31"/>
      <c r="T669" s="762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</row>
    <row r="670">
      <c r="A670" s="31"/>
      <c r="B670" s="31"/>
      <c r="C670" s="31"/>
      <c r="D670" s="31"/>
      <c r="E670" s="187"/>
      <c r="F670" s="31"/>
      <c r="G670" s="31"/>
      <c r="H670" s="31"/>
      <c r="I670" s="31"/>
      <c r="J670" s="31"/>
      <c r="K670" s="760"/>
      <c r="L670" s="761"/>
      <c r="M670" s="760"/>
      <c r="N670" s="31"/>
      <c r="O670" s="31"/>
      <c r="P670" s="31"/>
      <c r="Q670" s="31"/>
      <c r="R670" s="31"/>
      <c r="S670" s="31"/>
      <c r="T670" s="762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</row>
    <row r="671">
      <c r="A671" s="31"/>
      <c r="B671" s="31"/>
      <c r="C671" s="31"/>
      <c r="D671" s="31"/>
      <c r="E671" s="187"/>
      <c r="F671" s="31"/>
      <c r="G671" s="31"/>
      <c r="H671" s="31"/>
      <c r="I671" s="31"/>
      <c r="J671" s="31"/>
      <c r="K671" s="760"/>
      <c r="L671" s="761"/>
      <c r="M671" s="760"/>
      <c r="N671" s="31"/>
      <c r="O671" s="31"/>
      <c r="P671" s="31"/>
      <c r="Q671" s="31"/>
      <c r="R671" s="31"/>
      <c r="S671" s="31"/>
      <c r="T671" s="762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</row>
    <row r="672">
      <c r="A672" s="31"/>
      <c r="B672" s="31"/>
      <c r="C672" s="31"/>
      <c r="D672" s="31"/>
      <c r="E672" s="187"/>
      <c r="F672" s="31"/>
      <c r="G672" s="31"/>
      <c r="H672" s="31"/>
      <c r="I672" s="31"/>
      <c r="J672" s="31"/>
      <c r="K672" s="760"/>
      <c r="L672" s="761"/>
      <c r="M672" s="760"/>
      <c r="N672" s="31"/>
      <c r="O672" s="31"/>
      <c r="P672" s="31"/>
      <c r="Q672" s="31"/>
      <c r="R672" s="31"/>
      <c r="S672" s="31"/>
      <c r="T672" s="762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</row>
    <row r="673">
      <c r="A673" s="31"/>
      <c r="B673" s="31"/>
      <c r="C673" s="31"/>
      <c r="D673" s="31"/>
      <c r="E673" s="187"/>
      <c r="F673" s="31"/>
      <c r="G673" s="31"/>
      <c r="H673" s="31"/>
      <c r="I673" s="31"/>
      <c r="J673" s="31"/>
      <c r="K673" s="760"/>
      <c r="L673" s="761"/>
      <c r="M673" s="760"/>
      <c r="N673" s="31"/>
      <c r="O673" s="31"/>
      <c r="P673" s="31"/>
      <c r="Q673" s="31"/>
      <c r="R673" s="31"/>
      <c r="S673" s="31"/>
      <c r="T673" s="762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</row>
    <row r="674">
      <c r="A674" s="31"/>
      <c r="B674" s="31"/>
      <c r="C674" s="31"/>
      <c r="D674" s="31"/>
      <c r="E674" s="187"/>
      <c r="F674" s="31"/>
      <c r="G674" s="31"/>
      <c r="H674" s="31"/>
      <c r="I674" s="31"/>
      <c r="J674" s="31"/>
      <c r="K674" s="760"/>
      <c r="L674" s="761"/>
      <c r="M674" s="760"/>
      <c r="N674" s="31"/>
      <c r="O674" s="31"/>
      <c r="P674" s="31"/>
      <c r="Q674" s="31"/>
      <c r="R674" s="31"/>
      <c r="S674" s="31"/>
      <c r="T674" s="762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</row>
    <row r="675">
      <c r="A675" s="31"/>
      <c r="B675" s="31"/>
      <c r="C675" s="31"/>
      <c r="D675" s="31"/>
      <c r="E675" s="187"/>
      <c r="F675" s="31"/>
      <c r="G675" s="31"/>
      <c r="H675" s="31"/>
      <c r="I675" s="31"/>
      <c r="J675" s="31"/>
      <c r="K675" s="760"/>
      <c r="L675" s="761"/>
      <c r="M675" s="760"/>
      <c r="N675" s="31"/>
      <c r="O675" s="31"/>
      <c r="P675" s="31"/>
      <c r="Q675" s="31"/>
      <c r="R675" s="31"/>
      <c r="S675" s="31"/>
      <c r="T675" s="762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</row>
    <row r="676">
      <c r="A676" s="31"/>
      <c r="B676" s="31"/>
      <c r="C676" s="31"/>
      <c r="D676" s="31"/>
      <c r="E676" s="187"/>
      <c r="F676" s="31"/>
      <c r="G676" s="31"/>
      <c r="H676" s="31"/>
      <c r="I676" s="31"/>
      <c r="J676" s="31"/>
      <c r="K676" s="760"/>
      <c r="L676" s="761"/>
      <c r="M676" s="760"/>
      <c r="N676" s="31"/>
      <c r="O676" s="31"/>
      <c r="P676" s="31"/>
      <c r="Q676" s="31"/>
      <c r="R676" s="31"/>
      <c r="S676" s="31"/>
      <c r="T676" s="762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</row>
    <row r="677">
      <c r="A677" s="31"/>
      <c r="B677" s="31"/>
      <c r="C677" s="31"/>
      <c r="D677" s="31"/>
      <c r="E677" s="187"/>
      <c r="F677" s="31"/>
      <c r="G677" s="31"/>
      <c r="H677" s="31"/>
      <c r="I677" s="31"/>
      <c r="J677" s="31"/>
      <c r="K677" s="760"/>
      <c r="L677" s="761"/>
      <c r="M677" s="760"/>
      <c r="N677" s="31"/>
      <c r="O677" s="31"/>
      <c r="P677" s="31"/>
      <c r="Q677" s="31"/>
      <c r="R677" s="31"/>
      <c r="S677" s="31"/>
      <c r="T677" s="762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</row>
    <row r="678">
      <c r="A678" s="31"/>
      <c r="B678" s="31"/>
      <c r="C678" s="31"/>
      <c r="D678" s="31"/>
      <c r="E678" s="187"/>
      <c r="F678" s="31"/>
      <c r="G678" s="31"/>
      <c r="H678" s="31"/>
      <c r="I678" s="31"/>
      <c r="J678" s="31"/>
      <c r="K678" s="760"/>
      <c r="L678" s="761"/>
      <c r="M678" s="760"/>
      <c r="N678" s="31"/>
      <c r="O678" s="31"/>
      <c r="P678" s="31"/>
      <c r="Q678" s="31"/>
      <c r="R678" s="31"/>
      <c r="S678" s="31"/>
      <c r="T678" s="762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</row>
    <row r="679">
      <c r="A679" s="31"/>
      <c r="B679" s="31"/>
      <c r="C679" s="31"/>
      <c r="D679" s="31"/>
      <c r="E679" s="187"/>
      <c r="F679" s="31"/>
      <c r="G679" s="31"/>
      <c r="H679" s="31"/>
      <c r="I679" s="31"/>
      <c r="J679" s="31"/>
      <c r="K679" s="760"/>
      <c r="L679" s="761"/>
      <c r="M679" s="760"/>
      <c r="N679" s="31"/>
      <c r="O679" s="31"/>
      <c r="P679" s="31"/>
      <c r="Q679" s="31"/>
      <c r="R679" s="31"/>
      <c r="S679" s="31"/>
      <c r="T679" s="762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</row>
    <row r="680">
      <c r="A680" s="31"/>
      <c r="B680" s="31"/>
      <c r="C680" s="31"/>
      <c r="D680" s="31"/>
      <c r="E680" s="187"/>
      <c r="F680" s="31"/>
      <c r="G680" s="31"/>
      <c r="H680" s="31"/>
      <c r="I680" s="31"/>
      <c r="J680" s="31"/>
      <c r="K680" s="760"/>
      <c r="L680" s="761"/>
      <c r="M680" s="760"/>
      <c r="N680" s="31"/>
      <c r="O680" s="31"/>
      <c r="P680" s="31"/>
      <c r="Q680" s="31"/>
      <c r="R680" s="31"/>
      <c r="S680" s="31"/>
      <c r="T680" s="762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</row>
    <row r="681">
      <c r="A681" s="31"/>
      <c r="B681" s="31"/>
      <c r="C681" s="31"/>
      <c r="D681" s="31"/>
      <c r="E681" s="187"/>
      <c r="F681" s="31"/>
      <c r="G681" s="31"/>
      <c r="H681" s="31"/>
      <c r="I681" s="31"/>
      <c r="J681" s="31"/>
      <c r="K681" s="760"/>
      <c r="L681" s="761"/>
      <c r="M681" s="760"/>
      <c r="N681" s="31"/>
      <c r="O681" s="31"/>
      <c r="P681" s="31"/>
      <c r="Q681" s="31"/>
      <c r="R681" s="31"/>
      <c r="S681" s="31"/>
      <c r="T681" s="762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</row>
    <row r="682">
      <c r="A682" s="31"/>
      <c r="B682" s="31"/>
      <c r="C682" s="31"/>
      <c r="D682" s="31"/>
      <c r="E682" s="187"/>
      <c r="F682" s="31"/>
      <c r="G682" s="31"/>
      <c r="H682" s="31"/>
      <c r="I682" s="31"/>
      <c r="J682" s="31"/>
      <c r="K682" s="760"/>
      <c r="L682" s="761"/>
      <c r="M682" s="760"/>
      <c r="N682" s="31"/>
      <c r="O682" s="31"/>
      <c r="P682" s="31"/>
      <c r="Q682" s="31"/>
      <c r="R682" s="31"/>
      <c r="S682" s="31"/>
      <c r="T682" s="762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</row>
    <row r="683">
      <c r="A683" s="31"/>
      <c r="B683" s="31"/>
      <c r="C683" s="31"/>
      <c r="D683" s="31"/>
      <c r="E683" s="187"/>
      <c r="F683" s="31"/>
      <c r="G683" s="31"/>
      <c r="H683" s="31"/>
      <c r="I683" s="31"/>
      <c r="J683" s="31"/>
      <c r="K683" s="760"/>
      <c r="L683" s="761"/>
      <c r="M683" s="760"/>
      <c r="N683" s="31"/>
      <c r="O683" s="31"/>
      <c r="P683" s="31"/>
      <c r="Q683" s="31"/>
      <c r="R683" s="31"/>
      <c r="S683" s="31"/>
      <c r="T683" s="762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</row>
    <row r="684">
      <c r="A684" s="31"/>
      <c r="B684" s="31"/>
      <c r="C684" s="31"/>
      <c r="D684" s="31"/>
      <c r="E684" s="187"/>
      <c r="F684" s="31"/>
      <c r="G684" s="31"/>
      <c r="H684" s="31"/>
      <c r="I684" s="31"/>
      <c r="J684" s="31"/>
      <c r="K684" s="760"/>
      <c r="L684" s="761"/>
      <c r="M684" s="760"/>
      <c r="N684" s="31"/>
      <c r="O684" s="31"/>
      <c r="P684" s="31"/>
      <c r="Q684" s="31"/>
      <c r="R684" s="31"/>
      <c r="S684" s="31"/>
      <c r="T684" s="762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</row>
    <row r="685">
      <c r="A685" s="31"/>
      <c r="B685" s="31"/>
      <c r="C685" s="31"/>
      <c r="D685" s="31"/>
      <c r="E685" s="187"/>
      <c r="F685" s="31"/>
      <c r="G685" s="31"/>
      <c r="H685" s="31"/>
      <c r="I685" s="31"/>
      <c r="J685" s="31"/>
      <c r="K685" s="760"/>
      <c r="L685" s="761"/>
      <c r="M685" s="760"/>
      <c r="N685" s="31"/>
      <c r="O685" s="31"/>
      <c r="P685" s="31"/>
      <c r="Q685" s="31"/>
      <c r="R685" s="31"/>
      <c r="S685" s="31"/>
      <c r="T685" s="762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</row>
    <row r="686">
      <c r="A686" s="31"/>
      <c r="B686" s="31"/>
      <c r="C686" s="31"/>
      <c r="D686" s="31"/>
      <c r="E686" s="187"/>
      <c r="F686" s="31"/>
      <c r="G686" s="31"/>
      <c r="H686" s="31"/>
      <c r="I686" s="31"/>
      <c r="J686" s="31"/>
      <c r="K686" s="760"/>
      <c r="L686" s="761"/>
      <c r="M686" s="760"/>
      <c r="N686" s="31"/>
      <c r="O686" s="31"/>
      <c r="P686" s="31"/>
      <c r="Q686" s="31"/>
      <c r="R686" s="31"/>
      <c r="S686" s="31"/>
      <c r="T686" s="762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</row>
    <row r="687">
      <c r="A687" s="31"/>
      <c r="B687" s="31"/>
      <c r="C687" s="31"/>
      <c r="D687" s="31"/>
      <c r="E687" s="187"/>
      <c r="F687" s="31"/>
      <c r="G687" s="31"/>
      <c r="H687" s="31"/>
      <c r="I687" s="31"/>
      <c r="J687" s="31"/>
      <c r="K687" s="760"/>
      <c r="L687" s="761"/>
      <c r="M687" s="760"/>
      <c r="N687" s="31"/>
      <c r="O687" s="31"/>
      <c r="P687" s="31"/>
      <c r="Q687" s="31"/>
      <c r="R687" s="31"/>
      <c r="S687" s="31"/>
      <c r="T687" s="762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</row>
    <row r="688">
      <c r="A688" s="31"/>
      <c r="B688" s="31"/>
      <c r="C688" s="31"/>
      <c r="D688" s="31"/>
      <c r="E688" s="187"/>
      <c r="F688" s="31"/>
      <c r="G688" s="31"/>
      <c r="H688" s="31"/>
      <c r="I688" s="31"/>
      <c r="J688" s="31"/>
      <c r="K688" s="760"/>
      <c r="L688" s="761"/>
      <c r="M688" s="760"/>
      <c r="N688" s="31"/>
      <c r="O688" s="31"/>
      <c r="P688" s="31"/>
      <c r="Q688" s="31"/>
      <c r="R688" s="31"/>
      <c r="S688" s="31"/>
      <c r="T688" s="762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</row>
    <row r="689">
      <c r="A689" s="31"/>
      <c r="B689" s="31"/>
      <c r="C689" s="31"/>
      <c r="D689" s="31"/>
      <c r="E689" s="187"/>
      <c r="F689" s="31"/>
      <c r="G689" s="31"/>
      <c r="H689" s="31"/>
      <c r="I689" s="31"/>
      <c r="J689" s="31"/>
      <c r="K689" s="760"/>
      <c r="L689" s="761"/>
      <c r="M689" s="760"/>
      <c r="N689" s="31"/>
      <c r="O689" s="31"/>
      <c r="P689" s="31"/>
      <c r="Q689" s="31"/>
      <c r="R689" s="31"/>
      <c r="S689" s="31"/>
      <c r="T689" s="762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</row>
    <row r="690">
      <c r="A690" s="31"/>
      <c r="B690" s="31"/>
      <c r="C690" s="31"/>
      <c r="D690" s="31"/>
      <c r="E690" s="187"/>
      <c r="F690" s="31"/>
      <c r="G690" s="31"/>
      <c r="H690" s="31"/>
      <c r="I690" s="31"/>
      <c r="J690" s="31"/>
      <c r="K690" s="760"/>
      <c r="L690" s="761"/>
      <c r="M690" s="760"/>
      <c r="N690" s="31"/>
      <c r="O690" s="31"/>
      <c r="P690" s="31"/>
      <c r="Q690" s="31"/>
      <c r="R690" s="31"/>
      <c r="S690" s="31"/>
      <c r="T690" s="762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</row>
    <row r="691">
      <c r="A691" s="31"/>
      <c r="B691" s="31"/>
      <c r="C691" s="31"/>
      <c r="D691" s="31"/>
      <c r="E691" s="187"/>
      <c r="F691" s="31"/>
      <c r="G691" s="31"/>
      <c r="H691" s="31"/>
      <c r="I691" s="31"/>
      <c r="J691" s="31"/>
      <c r="K691" s="760"/>
      <c r="L691" s="761"/>
      <c r="M691" s="760"/>
      <c r="N691" s="31"/>
      <c r="O691" s="31"/>
      <c r="P691" s="31"/>
      <c r="Q691" s="31"/>
      <c r="R691" s="31"/>
      <c r="S691" s="31"/>
      <c r="T691" s="762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</row>
    <row r="692">
      <c r="A692" s="31"/>
      <c r="B692" s="31"/>
      <c r="C692" s="31"/>
      <c r="D692" s="31"/>
      <c r="E692" s="187"/>
      <c r="F692" s="31"/>
      <c r="G692" s="31"/>
      <c r="H692" s="31"/>
      <c r="I692" s="31"/>
      <c r="J692" s="31"/>
      <c r="K692" s="760"/>
      <c r="L692" s="761"/>
      <c r="M692" s="760"/>
      <c r="N692" s="31"/>
      <c r="O692" s="31"/>
      <c r="P692" s="31"/>
      <c r="Q692" s="31"/>
      <c r="R692" s="31"/>
      <c r="S692" s="31"/>
      <c r="T692" s="762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</row>
    <row r="693">
      <c r="A693" s="31"/>
      <c r="B693" s="31"/>
      <c r="C693" s="31"/>
      <c r="D693" s="31"/>
      <c r="E693" s="187"/>
      <c r="F693" s="31"/>
      <c r="G693" s="31"/>
      <c r="H693" s="31"/>
      <c r="I693" s="31"/>
      <c r="J693" s="31"/>
      <c r="K693" s="760"/>
      <c r="L693" s="761"/>
      <c r="M693" s="760"/>
      <c r="N693" s="31"/>
      <c r="O693" s="31"/>
      <c r="P693" s="31"/>
      <c r="Q693" s="31"/>
      <c r="R693" s="31"/>
      <c r="S693" s="31"/>
      <c r="T693" s="762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</row>
    <row r="694">
      <c r="A694" s="31"/>
      <c r="B694" s="31"/>
      <c r="C694" s="31"/>
      <c r="D694" s="31"/>
      <c r="E694" s="187"/>
      <c r="F694" s="31"/>
      <c r="G694" s="31"/>
      <c r="H694" s="31"/>
      <c r="I694" s="31"/>
      <c r="J694" s="31"/>
      <c r="K694" s="760"/>
      <c r="L694" s="761"/>
      <c r="M694" s="760"/>
      <c r="N694" s="31"/>
      <c r="O694" s="31"/>
      <c r="P694" s="31"/>
      <c r="Q694" s="31"/>
      <c r="R694" s="31"/>
      <c r="S694" s="31"/>
      <c r="T694" s="762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</row>
    <row r="695">
      <c r="A695" s="31"/>
      <c r="B695" s="31"/>
      <c r="C695" s="31"/>
      <c r="D695" s="31"/>
      <c r="E695" s="187"/>
      <c r="F695" s="31"/>
      <c r="G695" s="31"/>
      <c r="H695" s="31"/>
      <c r="I695" s="31"/>
      <c r="J695" s="31"/>
      <c r="K695" s="760"/>
      <c r="L695" s="761"/>
      <c r="M695" s="760"/>
      <c r="N695" s="31"/>
      <c r="O695" s="31"/>
      <c r="P695" s="31"/>
      <c r="Q695" s="31"/>
      <c r="R695" s="31"/>
      <c r="S695" s="31"/>
      <c r="T695" s="762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</row>
    <row r="696">
      <c r="A696" s="31"/>
      <c r="B696" s="31"/>
      <c r="C696" s="31"/>
      <c r="D696" s="31"/>
      <c r="E696" s="187"/>
      <c r="F696" s="31"/>
      <c r="G696" s="31"/>
      <c r="H696" s="31"/>
      <c r="I696" s="31"/>
      <c r="J696" s="31"/>
      <c r="K696" s="760"/>
      <c r="L696" s="761"/>
      <c r="M696" s="760"/>
      <c r="N696" s="31"/>
      <c r="O696" s="31"/>
      <c r="P696" s="31"/>
      <c r="Q696" s="31"/>
      <c r="R696" s="31"/>
      <c r="S696" s="31"/>
      <c r="T696" s="762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</row>
    <row r="697">
      <c r="A697" s="31"/>
      <c r="B697" s="31"/>
      <c r="C697" s="31"/>
      <c r="D697" s="31"/>
      <c r="E697" s="187"/>
      <c r="F697" s="31"/>
      <c r="G697" s="31"/>
      <c r="H697" s="31"/>
      <c r="I697" s="31"/>
      <c r="J697" s="31"/>
      <c r="K697" s="760"/>
      <c r="L697" s="761"/>
      <c r="M697" s="760"/>
      <c r="N697" s="31"/>
      <c r="O697" s="31"/>
      <c r="P697" s="31"/>
      <c r="Q697" s="31"/>
      <c r="R697" s="31"/>
      <c r="S697" s="31"/>
      <c r="T697" s="762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</row>
    <row r="698">
      <c r="A698" s="31"/>
      <c r="B698" s="31"/>
      <c r="C698" s="31"/>
      <c r="D698" s="31"/>
      <c r="E698" s="187"/>
      <c r="F698" s="31"/>
      <c r="G698" s="31"/>
      <c r="H698" s="31"/>
      <c r="I698" s="31"/>
      <c r="J698" s="31"/>
      <c r="K698" s="760"/>
      <c r="L698" s="761"/>
      <c r="M698" s="760"/>
      <c r="N698" s="31"/>
      <c r="O698" s="31"/>
      <c r="P698" s="31"/>
      <c r="Q698" s="31"/>
      <c r="R698" s="31"/>
      <c r="S698" s="31"/>
      <c r="T698" s="762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</row>
    <row r="699">
      <c r="A699" s="31"/>
      <c r="B699" s="31"/>
      <c r="C699" s="31"/>
      <c r="D699" s="31"/>
      <c r="E699" s="187"/>
      <c r="F699" s="31"/>
      <c r="G699" s="31"/>
      <c r="H699" s="31"/>
      <c r="I699" s="31"/>
      <c r="J699" s="31"/>
      <c r="K699" s="760"/>
      <c r="L699" s="761"/>
      <c r="M699" s="760"/>
      <c r="N699" s="31"/>
      <c r="O699" s="31"/>
      <c r="P699" s="31"/>
      <c r="Q699" s="31"/>
      <c r="R699" s="31"/>
      <c r="S699" s="31"/>
      <c r="T699" s="762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</row>
    <row r="700">
      <c r="A700" s="31"/>
      <c r="B700" s="31"/>
      <c r="C700" s="31"/>
      <c r="D700" s="31"/>
      <c r="E700" s="187"/>
      <c r="F700" s="31"/>
      <c r="G700" s="31"/>
      <c r="H700" s="31"/>
      <c r="I700" s="31"/>
      <c r="J700" s="31"/>
      <c r="K700" s="760"/>
      <c r="L700" s="761"/>
      <c r="M700" s="760"/>
      <c r="N700" s="31"/>
      <c r="O700" s="31"/>
      <c r="P700" s="31"/>
      <c r="Q700" s="31"/>
      <c r="R700" s="31"/>
      <c r="S700" s="31"/>
      <c r="T700" s="762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</row>
    <row r="701">
      <c r="A701" s="31"/>
      <c r="B701" s="31"/>
      <c r="C701" s="31"/>
      <c r="D701" s="31"/>
      <c r="E701" s="187"/>
      <c r="F701" s="31"/>
      <c r="G701" s="31"/>
      <c r="H701" s="31"/>
      <c r="I701" s="31"/>
      <c r="J701" s="31"/>
      <c r="K701" s="760"/>
      <c r="L701" s="761"/>
      <c r="M701" s="760"/>
      <c r="N701" s="31"/>
      <c r="O701" s="31"/>
      <c r="P701" s="31"/>
      <c r="Q701" s="31"/>
      <c r="R701" s="31"/>
      <c r="S701" s="31"/>
      <c r="T701" s="762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</row>
    <row r="702">
      <c r="A702" s="31"/>
      <c r="B702" s="31"/>
      <c r="C702" s="31"/>
      <c r="D702" s="31"/>
      <c r="E702" s="187"/>
      <c r="F702" s="31"/>
      <c r="G702" s="31"/>
      <c r="H702" s="31"/>
      <c r="I702" s="31"/>
      <c r="J702" s="31"/>
      <c r="K702" s="760"/>
      <c r="L702" s="761"/>
      <c r="M702" s="760"/>
      <c r="N702" s="31"/>
      <c r="O702" s="31"/>
      <c r="P702" s="31"/>
      <c r="Q702" s="31"/>
      <c r="R702" s="31"/>
      <c r="S702" s="31"/>
      <c r="T702" s="762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</row>
    <row r="703">
      <c r="A703" s="31"/>
      <c r="B703" s="31"/>
      <c r="C703" s="31"/>
      <c r="D703" s="31"/>
      <c r="E703" s="187"/>
      <c r="F703" s="31"/>
      <c r="G703" s="31"/>
      <c r="H703" s="31"/>
      <c r="I703" s="31"/>
      <c r="J703" s="31"/>
      <c r="K703" s="760"/>
      <c r="L703" s="761"/>
      <c r="M703" s="760"/>
      <c r="N703" s="31"/>
      <c r="O703" s="31"/>
      <c r="P703" s="31"/>
      <c r="Q703" s="31"/>
      <c r="R703" s="31"/>
      <c r="S703" s="31"/>
      <c r="T703" s="762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</row>
    <row r="704">
      <c r="A704" s="31"/>
      <c r="B704" s="31"/>
      <c r="C704" s="31"/>
      <c r="D704" s="31"/>
      <c r="E704" s="187"/>
      <c r="F704" s="31"/>
      <c r="G704" s="31"/>
      <c r="H704" s="31"/>
      <c r="I704" s="31"/>
      <c r="J704" s="31"/>
      <c r="K704" s="760"/>
      <c r="L704" s="761"/>
      <c r="M704" s="760"/>
      <c r="N704" s="31"/>
      <c r="O704" s="31"/>
      <c r="P704" s="31"/>
      <c r="Q704" s="31"/>
      <c r="R704" s="31"/>
      <c r="S704" s="31"/>
      <c r="T704" s="762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</row>
    <row r="705">
      <c r="A705" s="31"/>
      <c r="B705" s="31"/>
      <c r="C705" s="31"/>
      <c r="D705" s="31"/>
      <c r="E705" s="187"/>
      <c r="F705" s="31"/>
      <c r="G705" s="31"/>
      <c r="H705" s="31"/>
      <c r="I705" s="31"/>
      <c r="J705" s="31"/>
      <c r="K705" s="760"/>
      <c r="L705" s="761"/>
      <c r="M705" s="760"/>
      <c r="N705" s="31"/>
      <c r="O705" s="31"/>
      <c r="P705" s="31"/>
      <c r="Q705" s="31"/>
      <c r="R705" s="31"/>
      <c r="S705" s="31"/>
      <c r="T705" s="762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</row>
    <row r="706">
      <c r="A706" s="31"/>
      <c r="B706" s="31"/>
      <c r="C706" s="31"/>
      <c r="D706" s="31"/>
      <c r="E706" s="187"/>
      <c r="F706" s="31"/>
      <c r="G706" s="31"/>
      <c r="H706" s="31"/>
      <c r="I706" s="31"/>
      <c r="J706" s="31"/>
      <c r="K706" s="760"/>
      <c r="L706" s="761"/>
      <c r="M706" s="760"/>
      <c r="N706" s="31"/>
      <c r="O706" s="31"/>
      <c r="P706" s="31"/>
      <c r="Q706" s="31"/>
      <c r="R706" s="31"/>
      <c r="S706" s="31"/>
      <c r="T706" s="762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</row>
  </sheetData>
  <mergeCells count="3">
    <mergeCell ref="A1:G3"/>
    <mergeCell ref="H1:P3"/>
    <mergeCell ref="Q1:T3"/>
  </mergeCells>
  <dataValidations>
    <dataValidation type="list" allowBlank="1" showErrorMessage="1" sqref="P5:P15 P20:P26 P29:P33 P35:P37 P41 P55:P58 P60:P61 P64:P69 P71 P73:P74 P78 P80 P93 P97 P144 P151">
      <formula1>"MINUTA ENVIADA,MINUTA ASSINADA,PEDIDO DE VENDA"</formula1>
    </dataValidation>
    <dataValidation type="list" allowBlank="1" showErrorMessage="1" sqref="R19 R28 R39:R40 R43 R45:R49 R51:R54 R63 R72 R77 R82 R98 R101 R115:R117 R138:R141 R150 R153:R157 R159:R168 R171:R187 R189:R197 R202 R207:R210 R214:R218 R220:R221 R223">
      <formula1>"E-MAIL,KOMMO,TELEFONE FIXO,WHATSAPP,INDICAÇÃO,CONARH,SSOMED / SITE"</formula1>
    </dataValidation>
    <dataValidation type="list" allowBlank="1" showErrorMessage="1" sqref="N16:N19 N22 N27:N28 N34 N39:N40 N42:N54 N59 N62:N63 N70 N72 N75:N79 N81:N87 N90:N91 N94:N96 N98:N106 N108:N112 N115:N143 N145:N150 N152:N157 N159:N231">
      <formula1>"PROPOSTA ENVIADA,CONTRATO FECHADO,RECUSADO,FECHADO CRISTIANO"</formula1>
    </dataValidation>
    <dataValidation type="list" allowBlank="1" showErrorMessage="1" sqref="S5:S10 S12:S15 S20:S26 S29:S33 S35:S38 S41 S55:S58 S60:S61 S64:S69 S71 S73:S74 S78 S80 S88:S89 S92:S93 S97 S107 S113:S114 S144 S151 S158">
      <formula1>"LUCAS,VITÓRIA,VINICIOS,VINICIUS,ALEXANDRE,MIKAELLE,CRISTIANO,GUSTAVO,CAILLANE,WENDY"</formula1>
    </dataValidation>
    <dataValidation type="list" allowBlank="1" showErrorMessage="1" sqref="S19 S28 S39:S40 S43 S45:S47 S63 S72 S77 S98 S101 S138:S141 S150 S154:S157 S159:S168 S171:S197 S202 S207:S210 S214:S218 S220:S221 S223">
      <formula1>"LUCAS,VITÓRIA,VINICIOS,ALEXANDRE,MIKAELLE,CRISTIANO,GUSTAVO,CAILLANE,AMANDA,JESSICA"</formula1>
    </dataValidation>
    <dataValidation type="list" allowBlank="1" showErrorMessage="1" sqref="R127 R132 R134 R145 R169 R198:R201 R203:R206 R211:R213 R219 R222 R224:R231">
      <formula1>"E-MAIL,KOMMO,TELEFONE FIXO,WHATSAPP,INDICAÇÃO,CONARH"</formula1>
    </dataValidation>
    <dataValidation type="list" allowBlank="1" showErrorMessage="1" sqref="S11 S16:S18 S27 S34 S42 S44 S50 S59 S62 S70 S75:S76 S79 S81:S87 S90:S91 S94:S96 S99:S100 S102:S106 S108:S112 S118:S126 S128:S131 S133 S135:S137 S142:S143 S146:S149 S152:S153 S170">
      <formula1>"LUCAS,VITÓRIA,VINICIUS,ALEXANDRE,MIKAELLE,CRISTIANO,GUSTAVO,CAILLANE,AMANDA"</formula1>
    </dataValidation>
    <dataValidation type="list" allowBlank="1" showErrorMessage="1" sqref="R16:R18 R22 R27 R34 R42 R44 R50 R59 R62 R70 R75:R76 R78:R79 R81 R83:R87 R90:R91 R94:R96 R99:R100 R102:R106 R108:R112 R118:R126 R128:R131 R133 R135:R137 R142:R143 R146:R149 R152 R170">
      <formula1>"E-MAIL,KOMMO,TELEFONE FIXO,WHATSAPP,INDICAÇÃO,CONARH,SSOMED/SITE"</formula1>
    </dataValidation>
    <dataValidation type="list" allowBlank="1" showErrorMessage="1" sqref="S48:S49 S51:S54 S115:S117 S127 S132 S134 S145 S169 S198:S201 S203:S206 S211:S213 S219 S222 S224:S231">
      <formula1>"LUCAS,VITÓRIA,VINICIOS,VINICIUS,ALEXANDRE,MIKAELLE,CRISTIANO,GUSTAVO"</formula1>
    </dataValidation>
    <dataValidation type="list" allowBlank="1" showErrorMessage="1" sqref="R5:R15 R20:R21 R23:R26 R29:R33 R35:R38 R41 R55:R58 R60:R61 R64:R69 R71 R73:R74 R80 R88:R89 R92:R93 R97 R107 R113:R114 R144 R151 R158 R188">
      <formula1>"E-MAIL,KOMMO,TELEFONE FIXO,WHATSAPP,INDICAÇÃO,CONARH,PLANILHA LEAD,SSOMED / SITE"</formula1>
    </dataValidation>
    <dataValidation type="list" allowBlank="1" showErrorMessage="1" sqref="O5:O231">
      <formula1>"NOVO,ANTIGO"</formula1>
    </dataValidation>
    <dataValidation type="list" allowBlank="1" showErrorMessage="1" sqref="N5:N15 N20:N21 N23:N26 N29:N33 N35:N38 N41 N55:N58 N60:N61 N64:N69 N71 N73:N74 N80 N88:N89 N92:N93 N97 N107 N113:N114 N144 N151 N158">
      <formula1>"PROPOSTA ENVIADA,CONTRATO FECHADO,RECUSADO"</formula1>
    </dataValidation>
    <dataValidation type="list" allowBlank="1" showErrorMessage="1" sqref="P16:P19 P27:P28 P34 P38:P40 P42:P54 P59 P62:P63 P70 P72 P75:P77 P79 P81:P92 P94:P96 P98:P143 P145:P150 P152:P231">
      <formula1>"MINUTA ENVIADA,MINUTA ASSINADA"</formula1>
    </dataValidation>
  </dataValidations>
  <hyperlinks>
    <hyperlink r:id="rId2" ref="F9"/>
    <hyperlink r:id="rId3" ref="F10"/>
    <hyperlink r:id="rId4" ref="F11"/>
    <hyperlink r:id="rId5" ref="F13"/>
    <hyperlink r:id="rId6" ref="F14"/>
    <hyperlink r:id="rId7" ref="F21"/>
    <hyperlink r:id="rId8" ref="F22"/>
    <hyperlink r:id="rId9" ref="F23"/>
    <hyperlink r:id="rId10" ref="F27"/>
    <hyperlink r:id="rId11" ref="F28"/>
    <hyperlink r:id="rId12" ref="F30"/>
    <hyperlink r:id="rId13" ref="F39"/>
    <hyperlink r:id="rId14" ref="F42"/>
    <hyperlink r:id="rId15" ref="F46"/>
    <hyperlink r:id="rId16" ref="F48"/>
    <hyperlink r:id="rId17" ref="F49"/>
    <hyperlink r:id="rId18" ref="F54"/>
    <hyperlink r:id="rId19" ref="F57"/>
    <hyperlink r:id="rId20" ref="F58"/>
    <hyperlink r:id="rId21" ref="F59"/>
    <hyperlink r:id="rId22" ref="E62"/>
    <hyperlink r:id="rId23" ref="F62"/>
    <hyperlink r:id="rId24" ref="F70"/>
    <hyperlink r:id="rId25" ref="E71"/>
    <hyperlink r:id="rId26" ref="F71"/>
    <hyperlink r:id="rId27" ref="F74"/>
    <hyperlink r:id="rId28" ref="F76"/>
    <hyperlink r:id="rId29" ref="F80"/>
    <hyperlink r:id="rId30" ref="E81"/>
    <hyperlink r:id="rId31" ref="F81"/>
    <hyperlink r:id="rId32" ref="F82"/>
    <hyperlink r:id="rId33" ref="E83"/>
    <hyperlink r:id="rId34" ref="F83"/>
    <hyperlink r:id="rId35" ref="F94"/>
    <hyperlink r:id="rId36" ref="F96"/>
    <hyperlink r:id="rId37" ref="F99"/>
    <hyperlink r:id="rId38" ref="F101"/>
    <hyperlink r:id="rId39" ref="F107"/>
    <hyperlink r:id="rId40" ref="F109"/>
    <hyperlink r:id="rId41" ref="F110"/>
    <hyperlink r:id="rId42" ref="F111"/>
    <hyperlink r:id="rId43" ref="F118"/>
    <hyperlink r:id="rId44" ref="F120"/>
    <hyperlink r:id="rId45" ref="F121"/>
    <hyperlink r:id="rId46" ref="F122"/>
    <hyperlink r:id="rId47" ref="F140"/>
    <hyperlink r:id="rId48" ref="F145"/>
    <hyperlink r:id="rId49" ref="F152"/>
    <hyperlink r:id="rId50" ref="F154"/>
    <hyperlink r:id="rId51" ref="F158"/>
    <hyperlink r:id="rId52" ref="F191"/>
    <hyperlink r:id="rId53" ref="F198"/>
    <hyperlink r:id="rId54" ref="F202"/>
    <hyperlink r:id="rId55" ref="F203"/>
    <hyperlink r:id="rId56" ref="F206"/>
    <hyperlink r:id="rId57" ref="F228"/>
    <hyperlink r:id="rId58" ref="F230"/>
  </hyperlinks>
  <drawing r:id="rId59"/>
  <legacyDrawing r:id="rId6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72.25"/>
    <col customWidth="1" min="3" max="3" width="17.88"/>
    <col customWidth="1" min="4" max="4" width="39.25"/>
    <col customWidth="1" min="5" max="5" width="13.63"/>
    <col customWidth="1" min="6" max="6" width="42.63"/>
    <col customWidth="1" min="7" max="7" width="16.88"/>
    <col customWidth="1" min="8" max="8" width="43.13"/>
    <col customWidth="1" min="9" max="9" width="10.13"/>
    <col customWidth="1" min="10" max="10" width="15.25"/>
    <col customWidth="1" min="11" max="11" width="16.75"/>
    <col customWidth="1" min="12" max="12" width="17.38"/>
    <col customWidth="1" min="13" max="13" width="15.13"/>
    <col customWidth="1" min="14" max="14" width="23.75"/>
    <col customWidth="1" min="15" max="15" width="20.38"/>
    <col customWidth="1" min="16" max="16" width="22.38"/>
    <col customWidth="1" min="17" max="17" width="13.38"/>
    <col customWidth="1" min="18" max="18" width="20.5"/>
    <col customWidth="1" min="19" max="19" width="19.0"/>
    <col customWidth="1" min="20" max="20" width="117.0"/>
    <col customWidth="1" min="21" max="21" width="8.75"/>
  </cols>
  <sheetData>
    <row r="1" ht="25.5" customHeight="1">
      <c r="A1" s="1" t="s">
        <v>0</v>
      </c>
      <c r="H1" s="1" t="s">
        <v>1</v>
      </c>
      <c r="Q1" s="1" t="s">
        <v>2</v>
      </c>
      <c r="U1" s="600"/>
      <c r="V1" s="600"/>
      <c r="W1" s="600"/>
      <c r="X1" s="600"/>
      <c r="Y1" s="600"/>
      <c r="Z1" s="600"/>
      <c r="AA1" s="600"/>
      <c r="AB1" s="600"/>
      <c r="AC1" s="600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</row>
    <row r="2" ht="15.0" customHeight="1">
      <c r="U2" s="600"/>
      <c r="V2" s="600"/>
      <c r="W2" s="600"/>
      <c r="X2" s="600"/>
      <c r="Y2" s="600"/>
      <c r="Z2" s="600"/>
      <c r="AA2" s="600"/>
      <c r="AB2" s="600"/>
      <c r="AC2" s="600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</row>
    <row r="3" ht="15.0" customHeight="1">
      <c r="U3" s="600"/>
      <c r="V3" s="600"/>
      <c r="W3" s="600"/>
      <c r="X3" s="600"/>
      <c r="Y3" s="600"/>
      <c r="Z3" s="600"/>
      <c r="AA3" s="600"/>
      <c r="AB3" s="600"/>
      <c r="AC3" s="600"/>
      <c r="AD3" s="763"/>
      <c r="AE3" s="763"/>
      <c r="AF3" s="763"/>
      <c r="AG3" s="763"/>
      <c r="AH3" s="763"/>
      <c r="AI3" s="763"/>
      <c r="AJ3" s="763"/>
      <c r="AK3" s="763"/>
      <c r="AL3" s="763"/>
      <c r="AM3" s="763"/>
      <c r="AN3" s="763"/>
      <c r="AO3" s="763"/>
    </row>
    <row r="4" ht="24.75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01" t="s">
        <v>10</v>
      </c>
      <c r="I4" s="602" t="s">
        <v>11</v>
      </c>
      <c r="J4" s="602" t="s">
        <v>12</v>
      </c>
      <c r="K4" s="603" t="s">
        <v>13</v>
      </c>
      <c r="L4" s="602" t="s">
        <v>533</v>
      </c>
      <c r="M4" s="603" t="s">
        <v>14</v>
      </c>
      <c r="N4" s="602" t="s">
        <v>15</v>
      </c>
      <c r="O4" s="602" t="s">
        <v>10</v>
      </c>
      <c r="P4" s="602" t="s">
        <v>16</v>
      </c>
      <c r="Q4" s="602" t="s">
        <v>17</v>
      </c>
      <c r="R4" s="602" t="s">
        <v>18</v>
      </c>
      <c r="S4" s="604" t="s">
        <v>19</v>
      </c>
      <c r="T4" s="604" t="s">
        <v>20</v>
      </c>
      <c r="U4" s="600"/>
      <c r="V4" s="600"/>
      <c r="W4" s="600"/>
      <c r="X4" s="600"/>
      <c r="Y4" s="600"/>
      <c r="Z4" s="600"/>
      <c r="AA4" s="600"/>
      <c r="AB4" s="600"/>
      <c r="AC4" s="606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</row>
    <row r="5">
      <c r="A5" s="12">
        <v>1.0</v>
      </c>
      <c r="B5" s="764" t="s">
        <v>3249</v>
      </c>
      <c r="C5" s="764" t="s">
        <v>3250</v>
      </c>
      <c r="D5" s="764" t="s">
        <v>3251</v>
      </c>
      <c r="E5" s="764" t="s">
        <v>3252</v>
      </c>
      <c r="F5" s="764" t="s">
        <v>3253</v>
      </c>
      <c r="G5" s="764" t="s">
        <v>399</v>
      </c>
      <c r="H5" s="764" t="s">
        <v>3254</v>
      </c>
      <c r="I5" s="765">
        <v>46156.0</v>
      </c>
      <c r="J5" s="766"/>
      <c r="K5" s="767">
        <v>11426.0</v>
      </c>
      <c r="L5" s="768">
        <v>1.0</v>
      </c>
      <c r="M5" s="767">
        <f>K5*1</f>
        <v>11426</v>
      </c>
      <c r="N5" s="764" t="s">
        <v>28</v>
      </c>
      <c r="O5" s="764" t="s">
        <v>29</v>
      </c>
      <c r="P5" s="764" t="s">
        <v>40</v>
      </c>
      <c r="Q5" s="764"/>
      <c r="R5" s="764" t="s">
        <v>73</v>
      </c>
      <c r="S5" s="764" t="s">
        <v>31</v>
      </c>
      <c r="T5" s="769" t="s">
        <v>4505</v>
      </c>
      <c r="U5" s="770"/>
      <c r="V5" s="770"/>
      <c r="W5" s="770"/>
      <c r="X5" s="770"/>
      <c r="Y5" s="770"/>
      <c r="Z5" s="770"/>
      <c r="AA5" s="770"/>
      <c r="AB5" s="770"/>
      <c r="AC5" s="770"/>
      <c r="AD5" s="770"/>
      <c r="AE5" s="770"/>
      <c r="AF5" s="770"/>
      <c r="AG5" s="770"/>
      <c r="AH5" s="770"/>
      <c r="AI5" s="770"/>
      <c r="AJ5" s="770"/>
      <c r="AK5" s="770"/>
      <c r="AL5" s="770"/>
      <c r="AM5" s="770"/>
      <c r="AN5" s="770"/>
      <c r="AO5" s="770"/>
    </row>
    <row r="6">
      <c r="A6" s="12">
        <v>2.0</v>
      </c>
      <c r="B6" s="172" t="s">
        <v>3632</v>
      </c>
      <c r="C6" s="172" t="s">
        <v>3633</v>
      </c>
      <c r="D6" s="172" t="s">
        <v>3630</v>
      </c>
      <c r="E6" s="172">
        <v>1.1925103476E10</v>
      </c>
      <c r="F6" s="618" t="s">
        <v>4506</v>
      </c>
      <c r="G6" s="137">
        <v>7.0</v>
      </c>
      <c r="H6" s="103" t="s">
        <v>711</v>
      </c>
      <c r="I6" s="619">
        <v>46168.0</v>
      </c>
      <c r="J6" s="609"/>
      <c r="K6" s="138" t="s">
        <v>1268</v>
      </c>
      <c r="L6" s="620">
        <v>1.0</v>
      </c>
      <c r="M6" s="138">
        <v>1000.0</v>
      </c>
      <c r="N6" s="137" t="s">
        <v>58</v>
      </c>
      <c r="O6" s="137" t="s">
        <v>29</v>
      </c>
      <c r="P6" s="137" t="s">
        <v>40</v>
      </c>
      <c r="Q6" s="172"/>
      <c r="R6" s="137" t="s">
        <v>233</v>
      </c>
      <c r="S6" s="137" t="s">
        <v>129</v>
      </c>
      <c r="T6" s="62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</row>
    <row r="7">
      <c r="A7" s="12">
        <v>3.0</v>
      </c>
      <c r="B7" s="103" t="s">
        <v>3857</v>
      </c>
      <c r="C7" s="771" t="s">
        <v>3858</v>
      </c>
      <c r="D7" s="103" t="s">
        <v>3859</v>
      </c>
      <c r="E7" s="196">
        <v>1.146781088E9</v>
      </c>
      <c r="F7" s="196" t="s">
        <v>4507</v>
      </c>
      <c r="G7" s="137">
        <v>1.0</v>
      </c>
      <c r="H7" s="137" t="s">
        <v>4508</v>
      </c>
      <c r="I7" s="137" t="s">
        <v>3862</v>
      </c>
      <c r="J7" s="609"/>
      <c r="K7" s="138" t="s">
        <v>211</v>
      </c>
      <c r="L7" s="620">
        <v>1.0</v>
      </c>
      <c r="M7" s="138">
        <v>1000.0</v>
      </c>
      <c r="N7" s="137" t="s">
        <v>58</v>
      </c>
      <c r="O7" s="137" t="s">
        <v>91</v>
      </c>
      <c r="P7" s="137" t="s">
        <v>40</v>
      </c>
      <c r="Q7" s="137"/>
      <c r="R7" s="137" t="s">
        <v>3645</v>
      </c>
      <c r="S7" s="137" t="s">
        <v>129</v>
      </c>
      <c r="T7" s="772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</row>
    <row r="8" ht="13.5" customHeight="1">
      <c r="A8" s="12">
        <v>4.0</v>
      </c>
      <c r="B8" s="103" t="s">
        <v>3863</v>
      </c>
      <c r="C8" s="97" t="s">
        <v>3864</v>
      </c>
      <c r="D8" s="97" t="s">
        <v>3865</v>
      </c>
      <c r="E8" s="181" t="s">
        <v>3866</v>
      </c>
      <c r="F8" s="97" t="s">
        <v>3867</v>
      </c>
      <c r="G8" s="97">
        <v>2.0</v>
      </c>
      <c r="H8" s="161" t="s">
        <v>1874</v>
      </c>
      <c r="I8" s="298">
        <v>46188.0</v>
      </c>
      <c r="J8" s="81"/>
      <c r="K8" s="102">
        <v>120.0</v>
      </c>
      <c r="L8" s="479">
        <v>12.0</v>
      </c>
      <c r="M8" s="102">
        <v>1440.0</v>
      </c>
      <c r="N8" s="161" t="s">
        <v>58</v>
      </c>
      <c r="O8" s="161" t="s">
        <v>29</v>
      </c>
      <c r="P8" s="161" t="s">
        <v>40</v>
      </c>
      <c r="Q8" s="166"/>
      <c r="R8" s="161" t="s">
        <v>233</v>
      </c>
      <c r="S8" s="161" t="s">
        <v>129</v>
      </c>
      <c r="T8" s="607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</row>
    <row r="9">
      <c r="A9" s="12">
        <v>5.0</v>
      </c>
      <c r="B9" s="103" t="s">
        <v>3446</v>
      </c>
      <c r="C9" s="103" t="s">
        <v>3447</v>
      </c>
      <c r="D9" s="103" t="s">
        <v>3448</v>
      </c>
      <c r="E9" s="103" t="s">
        <v>3449</v>
      </c>
      <c r="F9" s="103" t="s">
        <v>3450</v>
      </c>
      <c r="G9" s="103">
        <v>1.0</v>
      </c>
      <c r="H9" s="103" t="s">
        <v>1874</v>
      </c>
      <c r="I9" s="174">
        <v>46163.0</v>
      </c>
      <c r="J9" s="104"/>
      <c r="K9" s="197"/>
      <c r="L9" s="480"/>
      <c r="M9" s="197">
        <v>1668.0</v>
      </c>
      <c r="N9" s="137" t="s">
        <v>58</v>
      </c>
      <c r="O9" s="137" t="s">
        <v>29</v>
      </c>
      <c r="P9" s="137" t="s">
        <v>40</v>
      </c>
      <c r="Q9" s="103"/>
      <c r="R9" s="137" t="s">
        <v>73</v>
      </c>
      <c r="S9" s="137" t="s">
        <v>2208</v>
      </c>
      <c r="T9" s="607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</row>
    <row r="10">
      <c r="A10" s="12">
        <v>6.0</v>
      </c>
      <c r="B10" s="103" t="s">
        <v>3451</v>
      </c>
      <c r="C10" s="103" t="s">
        <v>3452</v>
      </c>
      <c r="D10" s="103" t="s">
        <v>3453</v>
      </c>
      <c r="E10" s="103" t="s">
        <v>3454</v>
      </c>
      <c r="F10" s="103" t="s">
        <v>3455</v>
      </c>
      <c r="G10" s="103">
        <v>1.0</v>
      </c>
      <c r="H10" s="103" t="s">
        <v>1874</v>
      </c>
      <c r="I10" s="174">
        <v>46156.0</v>
      </c>
      <c r="J10" s="174">
        <v>46209.0</v>
      </c>
      <c r="K10" s="197">
        <v>139.0</v>
      </c>
      <c r="L10" s="480">
        <v>12.0</v>
      </c>
      <c r="M10" s="175">
        <f>K10*12</f>
        <v>1668</v>
      </c>
      <c r="N10" s="137" t="s">
        <v>71</v>
      </c>
      <c r="O10" s="137" t="s">
        <v>29</v>
      </c>
      <c r="P10" s="137" t="s">
        <v>72</v>
      </c>
      <c r="Q10" s="103">
        <v>3418.0</v>
      </c>
      <c r="R10" s="137" t="s">
        <v>73</v>
      </c>
      <c r="S10" s="137" t="s">
        <v>2208</v>
      </c>
      <c r="T10" s="607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</row>
    <row r="11">
      <c r="A11" s="12">
        <v>7.0</v>
      </c>
      <c r="B11" s="103" t="s">
        <v>3461</v>
      </c>
      <c r="C11" s="103" t="s">
        <v>3462</v>
      </c>
      <c r="D11" s="103" t="s">
        <v>3463</v>
      </c>
      <c r="E11" s="103" t="s">
        <v>3464</v>
      </c>
      <c r="F11" s="103" t="s">
        <v>3465</v>
      </c>
      <c r="G11" s="103">
        <v>11.0</v>
      </c>
      <c r="H11" s="103" t="s">
        <v>1874</v>
      </c>
      <c r="I11" s="174">
        <v>46155.0</v>
      </c>
      <c r="J11" s="104"/>
      <c r="K11" s="197"/>
      <c r="L11" s="480"/>
      <c r="M11" s="197">
        <v>2338.0</v>
      </c>
      <c r="N11" s="137" t="s">
        <v>58</v>
      </c>
      <c r="O11" s="137" t="s">
        <v>29</v>
      </c>
      <c r="P11" s="137" t="s">
        <v>40</v>
      </c>
      <c r="Q11" s="103"/>
      <c r="R11" s="137" t="s">
        <v>73</v>
      </c>
      <c r="S11" s="137" t="s">
        <v>2208</v>
      </c>
      <c r="T11" s="607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</row>
    <row r="12">
      <c r="A12" s="12">
        <v>8.0</v>
      </c>
      <c r="B12" s="103" t="s">
        <v>3466</v>
      </c>
      <c r="C12" s="103" t="s">
        <v>3467</v>
      </c>
      <c r="D12" s="103" t="s">
        <v>3468</v>
      </c>
      <c r="E12" s="103" t="s">
        <v>3469</v>
      </c>
      <c r="F12" s="103" t="s">
        <v>3470</v>
      </c>
      <c r="G12" s="103">
        <v>6.0</v>
      </c>
      <c r="H12" s="103" t="s">
        <v>1874</v>
      </c>
      <c r="I12" s="174">
        <v>46163.0</v>
      </c>
      <c r="J12" s="104"/>
      <c r="K12" s="197"/>
      <c r="L12" s="480"/>
      <c r="M12" s="197">
        <v>2028.0</v>
      </c>
      <c r="N12" s="137" t="s">
        <v>58</v>
      </c>
      <c r="O12" s="137" t="s">
        <v>29</v>
      </c>
      <c r="P12" s="137" t="s">
        <v>40</v>
      </c>
      <c r="Q12" s="103"/>
      <c r="R12" s="137" t="s">
        <v>73</v>
      </c>
      <c r="S12" s="137" t="s">
        <v>2208</v>
      </c>
      <c r="T12" s="607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</row>
    <row r="13">
      <c r="A13" s="12">
        <v>9.0</v>
      </c>
      <c r="B13" s="487" t="s">
        <v>3868</v>
      </c>
      <c r="C13" s="487" t="s">
        <v>3869</v>
      </c>
      <c r="D13" s="137" t="s">
        <v>3870</v>
      </c>
      <c r="E13" s="97" t="s">
        <v>3871</v>
      </c>
      <c r="F13" s="386" t="s">
        <v>4509</v>
      </c>
      <c r="G13" s="137">
        <v>2.0</v>
      </c>
      <c r="H13" s="137" t="s">
        <v>3873</v>
      </c>
      <c r="I13" s="619">
        <v>46175.0</v>
      </c>
      <c r="J13" s="609"/>
      <c r="K13" s="138" t="s">
        <v>1268</v>
      </c>
      <c r="L13" s="620">
        <v>1.0</v>
      </c>
      <c r="M13" s="138">
        <v>1450.0</v>
      </c>
      <c r="N13" s="137" t="s">
        <v>58</v>
      </c>
      <c r="O13" s="137" t="s">
        <v>29</v>
      </c>
      <c r="P13" s="137" t="s">
        <v>40</v>
      </c>
      <c r="Q13" s="137"/>
      <c r="R13" s="137" t="s">
        <v>3645</v>
      </c>
      <c r="S13" s="137" t="s">
        <v>129</v>
      </c>
      <c r="T13" s="772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</row>
    <row r="14">
      <c r="A14" s="12">
        <v>10.0</v>
      </c>
      <c r="B14" s="97" t="s">
        <v>722</v>
      </c>
      <c r="C14" s="97" t="s">
        <v>723</v>
      </c>
      <c r="D14" s="97" t="s">
        <v>3770</v>
      </c>
      <c r="E14" s="181" t="s">
        <v>1503</v>
      </c>
      <c r="F14" s="97" t="s">
        <v>726</v>
      </c>
      <c r="G14" s="161">
        <v>19.0</v>
      </c>
      <c r="H14" s="161" t="s">
        <v>3771</v>
      </c>
      <c r="I14" s="298">
        <v>46188.0</v>
      </c>
      <c r="J14" s="81"/>
      <c r="K14" s="102" t="s">
        <v>57</v>
      </c>
      <c r="L14" s="479">
        <v>1.0</v>
      </c>
      <c r="M14" s="102">
        <v>1500.0</v>
      </c>
      <c r="N14" s="161" t="s">
        <v>58</v>
      </c>
      <c r="O14" s="161" t="s">
        <v>91</v>
      </c>
      <c r="P14" s="161" t="s">
        <v>40</v>
      </c>
      <c r="Q14" s="166"/>
      <c r="R14" s="161" t="s">
        <v>233</v>
      </c>
      <c r="S14" s="161" t="s">
        <v>129</v>
      </c>
      <c r="T14" s="607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</row>
    <row r="15">
      <c r="A15" s="12">
        <v>11.0</v>
      </c>
      <c r="B15" s="172" t="s">
        <v>3276</v>
      </c>
      <c r="C15" s="172" t="s">
        <v>3277</v>
      </c>
      <c r="D15" s="172" t="s">
        <v>3278</v>
      </c>
      <c r="E15" s="137" t="s">
        <v>3279</v>
      </c>
      <c r="F15" s="618" t="s">
        <v>4510</v>
      </c>
      <c r="G15" s="172">
        <v>1.0</v>
      </c>
      <c r="H15" s="103" t="s">
        <v>2100</v>
      </c>
      <c r="I15" s="174">
        <v>46160.0</v>
      </c>
      <c r="J15" s="104"/>
      <c r="K15" s="197">
        <v>139.0</v>
      </c>
      <c r="L15" s="480">
        <v>12.0</v>
      </c>
      <c r="M15" s="175">
        <f>L15*K15</f>
        <v>1668</v>
      </c>
      <c r="N15" s="137" t="s">
        <v>58</v>
      </c>
      <c r="O15" s="137" t="s">
        <v>29</v>
      </c>
      <c r="P15" s="137" t="s">
        <v>40</v>
      </c>
      <c r="Q15" s="103"/>
      <c r="R15" s="137" t="s">
        <v>73</v>
      </c>
      <c r="S15" s="137" t="s">
        <v>129</v>
      </c>
      <c r="T15" s="607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</row>
    <row r="16">
      <c r="A16" s="12">
        <v>12.0</v>
      </c>
      <c r="B16" s="137" t="s">
        <v>3714</v>
      </c>
      <c r="C16" s="137" t="s">
        <v>3715</v>
      </c>
      <c r="D16" s="137" t="s">
        <v>3716</v>
      </c>
      <c r="E16" s="103" t="s">
        <v>3717</v>
      </c>
      <c r="F16" s="103" t="s">
        <v>3718</v>
      </c>
      <c r="G16" s="137">
        <v>3.0</v>
      </c>
      <c r="H16" s="137" t="s">
        <v>1874</v>
      </c>
      <c r="I16" s="619">
        <v>46170.0</v>
      </c>
      <c r="J16" s="609"/>
      <c r="K16" s="138">
        <v>151.0</v>
      </c>
      <c r="L16" s="620">
        <v>12.0</v>
      </c>
      <c r="M16" s="170">
        <f>K16*L16</f>
        <v>1812</v>
      </c>
      <c r="N16" s="137" t="s">
        <v>28</v>
      </c>
      <c r="O16" s="137" t="s">
        <v>29</v>
      </c>
      <c r="P16" s="137" t="s">
        <v>40</v>
      </c>
      <c r="Q16" s="172"/>
      <c r="R16" s="137" t="s">
        <v>73</v>
      </c>
      <c r="S16" s="137" t="s">
        <v>129</v>
      </c>
      <c r="T16" s="62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</row>
    <row r="17">
      <c r="A17" s="12">
        <v>13.0</v>
      </c>
      <c r="B17" s="97" t="s">
        <v>3876</v>
      </c>
      <c r="C17" s="97" t="s">
        <v>3877</v>
      </c>
      <c r="D17" s="81"/>
      <c r="E17" s="81">
        <v>1.2996767494E10</v>
      </c>
      <c r="F17" s="81"/>
      <c r="G17" s="97">
        <v>3.0</v>
      </c>
      <c r="H17" s="161" t="s">
        <v>1874</v>
      </c>
      <c r="I17" s="298">
        <v>46185.0</v>
      </c>
      <c r="J17" s="81"/>
      <c r="K17" s="102">
        <v>151.0</v>
      </c>
      <c r="L17" s="479">
        <v>12.0</v>
      </c>
      <c r="M17" s="111">
        <f>L17*K17</f>
        <v>1812</v>
      </c>
      <c r="N17" s="161" t="s">
        <v>58</v>
      </c>
      <c r="O17" s="161" t="s">
        <v>29</v>
      </c>
      <c r="P17" s="161" t="s">
        <v>40</v>
      </c>
      <c r="Q17" s="166"/>
      <c r="R17" s="161" t="s">
        <v>73</v>
      </c>
      <c r="S17" s="161" t="s">
        <v>129</v>
      </c>
      <c r="T17" s="607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</row>
    <row r="18">
      <c r="A18" s="12">
        <v>14.0</v>
      </c>
      <c r="B18" s="103" t="s">
        <v>2605</v>
      </c>
      <c r="C18" s="103" t="s">
        <v>2606</v>
      </c>
      <c r="D18" s="137" t="s">
        <v>2607</v>
      </c>
      <c r="E18" s="103">
        <v>1.199906609E9</v>
      </c>
      <c r="F18" s="103" t="s">
        <v>2608</v>
      </c>
      <c r="G18" s="137">
        <v>5.0</v>
      </c>
      <c r="H18" s="137" t="s">
        <v>2100</v>
      </c>
      <c r="I18" s="619">
        <v>46139.0</v>
      </c>
      <c r="J18" s="609"/>
      <c r="K18" s="138">
        <v>157.0</v>
      </c>
      <c r="L18" s="620">
        <v>12.0</v>
      </c>
      <c r="M18" s="138">
        <f t="shared" ref="M18:M19" si="1">K18*12</f>
        <v>1884</v>
      </c>
      <c r="N18" s="137" t="s">
        <v>58</v>
      </c>
      <c r="O18" s="137" t="s">
        <v>29</v>
      </c>
      <c r="P18" s="137" t="s">
        <v>40</v>
      </c>
      <c r="Q18" s="172"/>
      <c r="R18" s="137" t="s">
        <v>41</v>
      </c>
      <c r="S18" s="137" t="s">
        <v>129</v>
      </c>
      <c r="T18" s="611" t="s">
        <v>3878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</row>
    <row r="19">
      <c r="A19" s="12">
        <v>15.0</v>
      </c>
      <c r="B19" s="103" t="s">
        <v>3481</v>
      </c>
      <c r="C19" s="103" t="s">
        <v>3482</v>
      </c>
      <c r="D19" s="103" t="s">
        <v>3483</v>
      </c>
      <c r="E19" s="103">
        <v>1.19470324E10</v>
      </c>
      <c r="F19" s="196" t="s">
        <v>4511</v>
      </c>
      <c r="G19" s="103">
        <v>4.0</v>
      </c>
      <c r="H19" s="103" t="s">
        <v>48</v>
      </c>
      <c r="I19" s="174">
        <v>46163.0</v>
      </c>
      <c r="J19" s="104"/>
      <c r="K19" s="197">
        <v>157.0</v>
      </c>
      <c r="L19" s="480">
        <v>12.0</v>
      </c>
      <c r="M19" s="175">
        <f t="shared" si="1"/>
        <v>1884</v>
      </c>
      <c r="N19" s="137" t="s">
        <v>58</v>
      </c>
      <c r="O19" s="137" t="s">
        <v>29</v>
      </c>
      <c r="P19" s="137" t="s">
        <v>40</v>
      </c>
      <c r="Q19" s="103"/>
      <c r="R19" s="137" t="s">
        <v>233</v>
      </c>
      <c r="S19" s="137" t="s">
        <v>129</v>
      </c>
      <c r="T19" s="663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</row>
    <row r="20">
      <c r="A20" s="12">
        <v>16.0</v>
      </c>
      <c r="B20" s="103" t="s">
        <v>3886</v>
      </c>
      <c r="C20" s="773" t="s">
        <v>3887</v>
      </c>
      <c r="D20" s="137" t="s">
        <v>3859</v>
      </c>
      <c r="E20" s="196">
        <v>1.146781088E9</v>
      </c>
      <c r="F20" s="196" t="s">
        <v>4512</v>
      </c>
      <c r="G20" s="137">
        <v>5.0</v>
      </c>
      <c r="H20" s="137" t="s">
        <v>3861</v>
      </c>
      <c r="I20" s="619">
        <v>46175.0</v>
      </c>
      <c r="J20" s="609"/>
      <c r="K20" s="138" t="s">
        <v>1268</v>
      </c>
      <c r="L20" s="620">
        <v>1.0</v>
      </c>
      <c r="M20" s="138">
        <v>2000.0</v>
      </c>
      <c r="N20" s="137" t="s">
        <v>58</v>
      </c>
      <c r="O20" s="137" t="s">
        <v>29</v>
      </c>
      <c r="P20" s="137" t="s">
        <v>40</v>
      </c>
      <c r="Q20" s="137"/>
      <c r="R20" s="137" t="s">
        <v>3645</v>
      </c>
      <c r="S20" s="137" t="s">
        <v>129</v>
      </c>
      <c r="T20" s="62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</row>
    <row r="21">
      <c r="A21" s="12">
        <v>17.0</v>
      </c>
      <c r="B21" s="97" t="s">
        <v>3943</v>
      </c>
      <c r="C21" s="97">
        <v>4.2236704000104E13</v>
      </c>
      <c r="D21" s="97" t="s">
        <v>3944</v>
      </c>
      <c r="E21" s="774">
        <v>1.1940126177E10</v>
      </c>
      <c r="F21" s="775" t="s">
        <v>4513</v>
      </c>
      <c r="G21" s="137">
        <v>12.0</v>
      </c>
      <c r="H21" s="137" t="s">
        <v>48</v>
      </c>
      <c r="I21" s="619">
        <v>46175.0</v>
      </c>
      <c r="J21" s="609"/>
      <c r="K21" s="138">
        <v>205.0</v>
      </c>
      <c r="L21" s="620">
        <v>12.0</v>
      </c>
      <c r="M21" s="170">
        <f>L21*K21</f>
        <v>2460</v>
      </c>
      <c r="N21" s="137" t="s">
        <v>58</v>
      </c>
      <c r="O21" s="137" t="s">
        <v>29</v>
      </c>
      <c r="P21" s="137" t="s">
        <v>40</v>
      </c>
      <c r="Q21" s="137"/>
      <c r="R21" s="137" t="s">
        <v>233</v>
      </c>
      <c r="S21" s="137" t="s">
        <v>129</v>
      </c>
      <c r="T21" s="772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</row>
    <row r="22">
      <c r="A22" s="12">
        <v>18.0</v>
      </c>
      <c r="B22" s="487" t="s">
        <v>3946</v>
      </c>
      <c r="C22" s="488" t="s">
        <v>3947</v>
      </c>
      <c r="D22" s="112" t="s">
        <v>3948</v>
      </c>
      <c r="E22" s="673" t="s">
        <v>3949</v>
      </c>
      <c r="F22" s="673" t="s">
        <v>3950</v>
      </c>
      <c r="G22" s="112" t="s">
        <v>26</v>
      </c>
      <c r="H22" s="112" t="s">
        <v>3951</v>
      </c>
      <c r="I22" s="674">
        <v>46175.0</v>
      </c>
      <c r="J22" s="675"/>
      <c r="K22" s="142" t="s">
        <v>57</v>
      </c>
      <c r="L22" s="676">
        <v>1.0</v>
      </c>
      <c r="M22" s="142" t="s">
        <v>3952</v>
      </c>
      <c r="N22" s="112" t="s">
        <v>58</v>
      </c>
      <c r="O22" s="677" t="s">
        <v>91</v>
      </c>
      <c r="P22" s="112" t="s">
        <v>40</v>
      </c>
      <c r="Q22" s="144"/>
      <c r="R22" s="679" t="s">
        <v>73</v>
      </c>
      <c r="S22" s="112" t="s">
        <v>148</v>
      </c>
      <c r="T22" s="776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</row>
    <row r="23">
      <c r="A23" s="12">
        <v>19.0</v>
      </c>
      <c r="B23" s="487" t="s">
        <v>1455</v>
      </c>
      <c r="C23" s="487" t="s">
        <v>1456</v>
      </c>
      <c r="D23" s="137" t="s">
        <v>3948</v>
      </c>
      <c r="E23" s="97" t="s">
        <v>4514</v>
      </c>
      <c r="F23" s="386" t="s">
        <v>4515</v>
      </c>
      <c r="G23" s="137" t="s">
        <v>26</v>
      </c>
      <c r="H23" s="137" t="s">
        <v>3951</v>
      </c>
      <c r="I23" s="619">
        <v>46175.0</v>
      </c>
      <c r="J23" s="609"/>
      <c r="K23" s="138" t="s">
        <v>57</v>
      </c>
      <c r="L23" s="620">
        <v>1.0</v>
      </c>
      <c r="M23" s="138">
        <v>3250.0</v>
      </c>
      <c r="N23" s="137" t="s">
        <v>58</v>
      </c>
      <c r="O23" s="137" t="s">
        <v>91</v>
      </c>
      <c r="P23" s="137" t="s">
        <v>40</v>
      </c>
      <c r="Q23" s="137"/>
      <c r="R23" s="137" t="s">
        <v>73</v>
      </c>
      <c r="S23" s="137" t="s">
        <v>148</v>
      </c>
      <c r="T23" s="776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</row>
    <row r="24">
      <c r="A24" s="12">
        <v>20.0</v>
      </c>
      <c r="B24" s="172" t="s">
        <v>2234</v>
      </c>
      <c r="C24" s="172" t="s">
        <v>2235</v>
      </c>
      <c r="D24" s="172" t="s">
        <v>2236</v>
      </c>
      <c r="E24" s="172" t="s">
        <v>2237</v>
      </c>
      <c r="F24" s="172" t="s">
        <v>2238</v>
      </c>
      <c r="G24" s="172">
        <v>65.0</v>
      </c>
      <c r="H24" s="103" t="s">
        <v>711</v>
      </c>
      <c r="I24" s="174">
        <v>46125.0</v>
      </c>
      <c r="J24" s="104"/>
      <c r="K24" s="197" t="s">
        <v>57</v>
      </c>
      <c r="L24" s="480">
        <v>1.0</v>
      </c>
      <c r="M24" s="197">
        <v>2800.0</v>
      </c>
      <c r="N24" s="137" t="s">
        <v>58</v>
      </c>
      <c r="O24" s="137" t="s">
        <v>91</v>
      </c>
      <c r="P24" s="137" t="s">
        <v>40</v>
      </c>
      <c r="Q24" s="104"/>
      <c r="R24" s="137" t="s">
        <v>233</v>
      </c>
      <c r="S24" s="137" t="s">
        <v>129</v>
      </c>
      <c r="T24" s="607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</row>
    <row r="25">
      <c r="A25" s="12">
        <v>21.0</v>
      </c>
      <c r="B25" s="97" t="s">
        <v>4020</v>
      </c>
      <c r="C25" s="97" t="s">
        <v>4021</v>
      </c>
      <c r="D25" s="97" t="s">
        <v>4022</v>
      </c>
      <c r="E25" s="97" t="s">
        <v>4023</v>
      </c>
      <c r="F25" s="97" t="s">
        <v>4024</v>
      </c>
      <c r="G25" s="161">
        <v>12.0</v>
      </c>
      <c r="H25" s="161" t="s">
        <v>39</v>
      </c>
      <c r="I25" s="708">
        <v>46176.0</v>
      </c>
      <c r="J25" s="298"/>
      <c r="K25" s="164">
        <v>205.0</v>
      </c>
      <c r="L25" s="709">
        <v>12.0</v>
      </c>
      <c r="M25" s="165">
        <f t="shared" ref="M25:M27" si="2">K25*12</f>
        <v>2460</v>
      </c>
      <c r="N25" s="161" t="s">
        <v>58</v>
      </c>
      <c r="O25" s="161" t="s">
        <v>29</v>
      </c>
      <c r="P25" s="161" t="s">
        <v>40</v>
      </c>
      <c r="Q25" s="161"/>
      <c r="R25" s="161" t="s">
        <v>1979</v>
      </c>
      <c r="S25" s="161" t="s">
        <v>148</v>
      </c>
      <c r="T25" s="635" t="s">
        <v>4025</v>
      </c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</row>
    <row r="26">
      <c r="A26" s="12">
        <v>22.0</v>
      </c>
      <c r="B26" s="103" t="s">
        <v>4052</v>
      </c>
      <c r="C26" s="137" t="s">
        <v>4053</v>
      </c>
      <c r="D26" s="137" t="s">
        <v>4054</v>
      </c>
      <c r="E26" s="137" t="s">
        <v>4055</v>
      </c>
      <c r="F26" s="712" t="s">
        <v>4056</v>
      </c>
      <c r="G26" s="137">
        <v>1.0</v>
      </c>
      <c r="H26" s="103" t="s">
        <v>2816</v>
      </c>
      <c r="I26" s="174">
        <v>46178.0</v>
      </c>
      <c r="J26" s="104"/>
      <c r="K26" s="197">
        <v>139.0</v>
      </c>
      <c r="L26" s="480">
        <v>12.0</v>
      </c>
      <c r="M26" s="197">
        <f t="shared" si="2"/>
        <v>1668</v>
      </c>
      <c r="N26" s="137" t="s">
        <v>58</v>
      </c>
      <c r="O26" s="137" t="s">
        <v>29</v>
      </c>
      <c r="P26" s="137" t="s">
        <v>40</v>
      </c>
      <c r="Q26" s="172"/>
      <c r="R26" s="137" t="s">
        <v>73</v>
      </c>
      <c r="S26" s="137" t="s">
        <v>148</v>
      </c>
      <c r="T26" s="626" t="s">
        <v>4057</v>
      </c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</row>
    <row r="27">
      <c r="A27" s="12">
        <v>23.0</v>
      </c>
      <c r="B27" s="716" t="s">
        <v>4062</v>
      </c>
      <c r="C27" s="638" t="s">
        <v>4063</v>
      </c>
      <c r="D27" s="97" t="s">
        <v>3233</v>
      </c>
      <c r="E27" s="638" t="s">
        <v>4064</v>
      </c>
      <c r="F27" s="386" t="s">
        <v>4516</v>
      </c>
      <c r="G27" s="97">
        <v>100.0</v>
      </c>
      <c r="H27" s="103" t="s">
        <v>2816</v>
      </c>
      <c r="I27" s="298">
        <v>46181.0</v>
      </c>
      <c r="J27" s="81"/>
      <c r="K27" s="102">
        <v>1405.0</v>
      </c>
      <c r="L27" s="479">
        <v>12.0</v>
      </c>
      <c r="M27" s="102">
        <f t="shared" si="2"/>
        <v>16860</v>
      </c>
      <c r="N27" s="137" t="s">
        <v>58</v>
      </c>
      <c r="O27" s="137" t="s">
        <v>29</v>
      </c>
      <c r="P27" s="137" t="s">
        <v>40</v>
      </c>
      <c r="Q27" s="81"/>
      <c r="R27" s="137" t="s">
        <v>3645</v>
      </c>
      <c r="S27" s="137" t="s">
        <v>148</v>
      </c>
      <c r="T27" s="611" t="s">
        <v>4066</v>
      </c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</row>
    <row r="28">
      <c r="A28" s="12">
        <v>24.0</v>
      </c>
      <c r="B28" s="97" t="s">
        <v>4077</v>
      </c>
      <c r="C28" s="97" t="s">
        <v>4078</v>
      </c>
      <c r="D28" s="97" t="s">
        <v>4079</v>
      </c>
      <c r="E28" s="97" t="s">
        <v>4080</v>
      </c>
      <c r="F28" s="97" t="s">
        <v>4081</v>
      </c>
      <c r="G28" s="97">
        <v>13.0</v>
      </c>
      <c r="H28" s="103" t="s">
        <v>3755</v>
      </c>
      <c r="I28" s="298">
        <v>46181.0</v>
      </c>
      <c r="J28" s="81"/>
      <c r="K28" s="102"/>
      <c r="L28" s="479"/>
      <c r="M28" s="102">
        <v>2532.0</v>
      </c>
      <c r="N28" s="137" t="s">
        <v>58</v>
      </c>
      <c r="O28" s="137" t="s">
        <v>91</v>
      </c>
      <c r="P28" s="137" t="s">
        <v>40</v>
      </c>
      <c r="Q28" s="81"/>
      <c r="R28" s="137" t="s">
        <v>3645</v>
      </c>
      <c r="S28" s="137" t="s">
        <v>2208</v>
      </c>
      <c r="T28" s="61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</row>
    <row r="29">
      <c r="A29" s="12">
        <v>25.0</v>
      </c>
      <c r="B29" s="106" t="s">
        <v>4099</v>
      </c>
      <c r="C29" s="106" t="s">
        <v>4100</v>
      </c>
      <c r="D29" s="106" t="s">
        <v>4101</v>
      </c>
      <c r="E29" s="106">
        <v>1.1972436016E10</v>
      </c>
      <c r="F29" s="106" t="s">
        <v>4102</v>
      </c>
      <c r="G29" s="106">
        <v>2.0</v>
      </c>
      <c r="H29" s="106" t="s">
        <v>3839</v>
      </c>
      <c r="I29" s="108">
        <v>46192.0</v>
      </c>
      <c r="J29" s="109"/>
      <c r="K29" s="89">
        <v>212.5</v>
      </c>
      <c r="L29" s="254" t="s">
        <v>1278</v>
      </c>
      <c r="M29" s="89">
        <f t="shared" ref="M29:M30" si="3">K29*4</f>
        <v>850</v>
      </c>
      <c r="N29" s="86" t="s">
        <v>58</v>
      </c>
      <c r="O29" s="86" t="s">
        <v>29</v>
      </c>
      <c r="P29" s="86" t="s">
        <v>40</v>
      </c>
      <c r="Q29" s="90"/>
      <c r="R29" s="86" t="s">
        <v>233</v>
      </c>
      <c r="S29" s="86" t="s">
        <v>110</v>
      </c>
      <c r="T29" s="777" t="s">
        <v>4517</v>
      </c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</row>
    <row r="30">
      <c r="A30" s="12">
        <v>26.0</v>
      </c>
      <c r="B30" s="106" t="s">
        <v>4105</v>
      </c>
      <c r="C30" s="106" t="s">
        <v>4106</v>
      </c>
      <c r="D30" s="106" t="s">
        <v>4101</v>
      </c>
      <c r="E30" s="106">
        <v>1.1972436016E10</v>
      </c>
      <c r="F30" s="106" t="s">
        <v>4102</v>
      </c>
      <c r="G30" s="106">
        <v>2.0</v>
      </c>
      <c r="H30" s="106" t="s">
        <v>3839</v>
      </c>
      <c r="I30" s="108">
        <v>46192.0</v>
      </c>
      <c r="J30" s="109"/>
      <c r="K30" s="89">
        <v>212.5</v>
      </c>
      <c r="L30" s="254" t="s">
        <v>1278</v>
      </c>
      <c r="M30" s="89">
        <f t="shared" si="3"/>
        <v>850</v>
      </c>
      <c r="N30" s="86" t="s">
        <v>58</v>
      </c>
      <c r="O30" s="86" t="s">
        <v>29</v>
      </c>
      <c r="P30" s="86" t="s">
        <v>40</v>
      </c>
      <c r="Q30" s="90"/>
      <c r="R30" s="86" t="s">
        <v>233</v>
      </c>
      <c r="S30" s="86" t="s">
        <v>110</v>
      </c>
      <c r="T30" s="777" t="s">
        <v>4518</v>
      </c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</row>
    <row r="31">
      <c r="A31" s="12">
        <v>27.0</v>
      </c>
      <c r="B31" s="106" t="s">
        <v>3145</v>
      </c>
      <c r="C31" s="106" t="s">
        <v>3146</v>
      </c>
      <c r="D31" s="106" t="s">
        <v>3147</v>
      </c>
      <c r="E31" s="106" t="s">
        <v>3148</v>
      </c>
      <c r="F31" s="173" t="s">
        <v>3149</v>
      </c>
      <c r="G31" s="106">
        <v>27.0</v>
      </c>
      <c r="H31" s="103" t="s">
        <v>711</v>
      </c>
      <c r="I31" s="108">
        <v>46153.0</v>
      </c>
      <c r="J31" s="109"/>
      <c r="K31" s="89">
        <f>M31/4</f>
        <v>275</v>
      </c>
      <c r="L31" s="254" t="s">
        <v>1278</v>
      </c>
      <c r="M31" s="89">
        <v>1100.0</v>
      </c>
      <c r="N31" s="86" t="s">
        <v>58</v>
      </c>
      <c r="O31" s="86" t="s">
        <v>29</v>
      </c>
      <c r="P31" s="86" t="s">
        <v>40</v>
      </c>
      <c r="Q31" s="90"/>
      <c r="R31" s="86" t="s">
        <v>73</v>
      </c>
      <c r="S31" s="86" t="s">
        <v>110</v>
      </c>
      <c r="T31" s="777" t="s">
        <v>4519</v>
      </c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</row>
    <row r="32">
      <c r="A32" s="12">
        <v>28.0</v>
      </c>
      <c r="B32" s="548" t="s">
        <v>4142</v>
      </c>
      <c r="C32" s="548" t="s">
        <v>4143</v>
      </c>
      <c r="D32" s="548" t="s">
        <v>4144</v>
      </c>
      <c r="E32" s="548" t="s">
        <v>4145</v>
      </c>
      <c r="F32" s="548" t="s">
        <v>4146</v>
      </c>
      <c r="G32" s="548">
        <v>6.0</v>
      </c>
      <c r="H32" s="548" t="s">
        <v>4147</v>
      </c>
      <c r="I32" s="305">
        <v>46183.0</v>
      </c>
      <c r="J32" s="778"/>
      <c r="K32" s="132">
        <v>1400.0</v>
      </c>
      <c r="L32" s="561">
        <v>1.0</v>
      </c>
      <c r="M32" s="132">
        <f t="shared" ref="M32:M33" si="4">K32*1</f>
        <v>1400</v>
      </c>
      <c r="N32" s="304" t="s">
        <v>28</v>
      </c>
      <c r="O32" s="548" t="s">
        <v>29</v>
      </c>
      <c r="P32" s="548" t="s">
        <v>40</v>
      </c>
      <c r="Q32" s="779"/>
      <c r="R32" s="548" t="s">
        <v>73</v>
      </c>
      <c r="S32" s="548" t="s">
        <v>31</v>
      </c>
      <c r="T32" s="236" t="s">
        <v>4520</v>
      </c>
      <c r="U32" s="780"/>
      <c r="V32" s="780"/>
      <c r="W32" s="780"/>
      <c r="X32" s="780"/>
      <c r="Y32" s="780"/>
      <c r="Z32" s="780"/>
      <c r="AA32" s="780"/>
      <c r="AB32" s="780"/>
      <c r="AC32" s="780"/>
      <c r="AD32" s="780"/>
      <c r="AE32" s="780"/>
      <c r="AF32" s="780"/>
      <c r="AG32" s="780"/>
      <c r="AH32" s="780"/>
      <c r="AI32" s="780"/>
      <c r="AJ32" s="780"/>
      <c r="AK32" s="780"/>
      <c r="AL32" s="780"/>
      <c r="AM32" s="780"/>
      <c r="AN32" s="780"/>
      <c r="AO32" s="780"/>
    </row>
    <row r="33">
      <c r="A33" s="12">
        <v>29.0</v>
      </c>
      <c r="B33" s="548" t="s">
        <v>4152</v>
      </c>
      <c r="C33" s="548" t="s">
        <v>4153</v>
      </c>
      <c r="D33" s="548" t="s">
        <v>4154</v>
      </c>
      <c r="E33" s="548" t="s">
        <v>4155</v>
      </c>
      <c r="F33" s="548" t="s">
        <v>4156</v>
      </c>
      <c r="G33" s="548">
        <v>264.0</v>
      </c>
      <c r="H33" s="103" t="s">
        <v>711</v>
      </c>
      <c r="I33" s="305">
        <v>46184.0</v>
      </c>
      <c r="J33" s="778"/>
      <c r="K33" s="132">
        <v>2500.0</v>
      </c>
      <c r="L33" s="561">
        <v>1.0</v>
      </c>
      <c r="M33" s="132">
        <f t="shared" si="4"/>
        <v>2500</v>
      </c>
      <c r="N33" s="548" t="s">
        <v>58</v>
      </c>
      <c r="O33" s="548" t="s">
        <v>29</v>
      </c>
      <c r="P33" s="548" t="s">
        <v>40</v>
      </c>
      <c r="Q33" s="779"/>
      <c r="R33" s="548" t="s">
        <v>73</v>
      </c>
      <c r="S33" s="548" t="s">
        <v>31</v>
      </c>
      <c r="T33" s="626" t="s">
        <v>4521</v>
      </c>
      <c r="U33" s="780"/>
      <c r="V33" s="780"/>
      <c r="W33" s="780"/>
      <c r="X33" s="780"/>
      <c r="Y33" s="780"/>
      <c r="Z33" s="780"/>
      <c r="AA33" s="780"/>
      <c r="AB33" s="780"/>
      <c r="AC33" s="780"/>
      <c r="AD33" s="780"/>
      <c r="AE33" s="780"/>
      <c r="AF33" s="780"/>
      <c r="AG33" s="780"/>
      <c r="AH33" s="780"/>
      <c r="AI33" s="780"/>
      <c r="AJ33" s="780"/>
      <c r="AK33" s="780"/>
      <c r="AL33" s="780"/>
      <c r="AM33" s="780"/>
      <c r="AN33" s="780"/>
      <c r="AO33" s="780"/>
    </row>
    <row r="34">
      <c r="A34" s="12">
        <v>30.0</v>
      </c>
      <c r="B34" s="172" t="s">
        <v>3639</v>
      </c>
      <c r="C34" s="103" t="s">
        <v>3640</v>
      </c>
      <c r="D34" s="103" t="s">
        <v>3641</v>
      </c>
      <c r="E34" s="103" t="s">
        <v>3642</v>
      </c>
      <c r="F34" s="196" t="s">
        <v>4522</v>
      </c>
      <c r="G34" s="137">
        <v>5.0</v>
      </c>
      <c r="H34" s="137" t="s">
        <v>3644</v>
      </c>
      <c r="I34" s="619">
        <v>46169.0</v>
      </c>
      <c r="J34" s="609"/>
      <c r="K34" s="138">
        <v>263.0</v>
      </c>
      <c r="L34" s="620">
        <v>12.0</v>
      </c>
      <c r="M34" s="170">
        <f>K34*12</f>
        <v>3156</v>
      </c>
      <c r="N34" s="137" t="s">
        <v>58</v>
      </c>
      <c r="O34" s="137" t="s">
        <v>29</v>
      </c>
      <c r="P34" s="137" t="s">
        <v>40</v>
      </c>
      <c r="Q34" s="172"/>
      <c r="R34" s="137" t="s">
        <v>3645</v>
      </c>
      <c r="S34" s="137" t="s">
        <v>129</v>
      </c>
      <c r="T34" s="66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</row>
    <row r="35">
      <c r="A35" s="12">
        <v>31.0</v>
      </c>
      <c r="B35" s="97" t="s">
        <v>1479</v>
      </c>
      <c r="C35" s="97" t="s">
        <v>4198</v>
      </c>
      <c r="D35" s="97" t="s">
        <v>4199</v>
      </c>
      <c r="E35" s="181"/>
      <c r="F35" s="97" t="s">
        <v>4200</v>
      </c>
      <c r="G35" s="161">
        <v>390.0</v>
      </c>
      <c r="H35" s="161" t="s">
        <v>4201</v>
      </c>
      <c r="I35" s="708">
        <v>46188.0</v>
      </c>
      <c r="J35" s="623"/>
      <c r="K35" s="164">
        <v>1733.33</v>
      </c>
      <c r="L35" s="709">
        <v>3.0</v>
      </c>
      <c r="M35" s="164">
        <v>5200.0</v>
      </c>
      <c r="N35" s="161" t="s">
        <v>58</v>
      </c>
      <c r="O35" s="161" t="s">
        <v>91</v>
      </c>
      <c r="P35" s="161" t="s">
        <v>40</v>
      </c>
      <c r="Q35" s="166"/>
      <c r="R35" s="161" t="s">
        <v>73</v>
      </c>
      <c r="S35" s="161" t="s">
        <v>129</v>
      </c>
      <c r="T35" s="62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</row>
    <row r="36">
      <c r="A36" s="12">
        <v>32.0</v>
      </c>
      <c r="B36" s="97" t="s">
        <v>4214</v>
      </c>
      <c r="C36" s="737" t="s">
        <v>4215</v>
      </c>
      <c r="D36" s="97" t="s">
        <v>3602</v>
      </c>
      <c r="E36" s="181" t="s">
        <v>4216</v>
      </c>
      <c r="F36" s="97" t="s">
        <v>4205</v>
      </c>
      <c r="G36" s="97">
        <v>6.0</v>
      </c>
      <c r="H36" s="97" t="s">
        <v>1874</v>
      </c>
      <c r="I36" s="298">
        <v>45825.0</v>
      </c>
      <c r="J36" s="81"/>
      <c r="K36" s="102">
        <v>169.0</v>
      </c>
      <c r="L36" s="479">
        <v>12.0</v>
      </c>
      <c r="M36" s="102">
        <v>2028.0</v>
      </c>
      <c r="N36" s="161" t="s">
        <v>58</v>
      </c>
      <c r="O36" s="161" t="s">
        <v>29</v>
      </c>
      <c r="P36" s="161" t="s">
        <v>40</v>
      </c>
      <c r="Q36" s="166"/>
      <c r="R36" s="161" t="s">
        <v>73</v>
      </c>
      <c r="S36" s="161" t="s">
        <v>2208</v>
      </c>
      <c r="T36" s="607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</row>
    <row r="37">
      <c r="A37" s="12">
        <v>33.0</v>
      </c>
      <c r="B37" s="97" t="s">
        <v>4217</v>
      </c>
      <c r="C37" s="737" t="s">
        <v>4218</v>
      </c>
      <c r="D37" s="97" t="s">
        <v>3602</v>
      </c>
      <c r="E37" s="181" t="s">
        <v>4216</v>
      </c>
      <c r="F37" s="97" t="s">
        <v>4205</v>
      </c>
      <c r="G37" s="97">
        <v>10.0</v>
      </c>
      <c r="H37" s="97" t="s">
        <v>1874</v>
      </c>
      <c r="I37" s="298">
        <v>46190.0</v>
      </c>
      <c r="J37" s="81"/>
      <c r="K37" s="102">
        <v>193.0</v>
      </c>
      <c r="L37" s="479">
        <v>12.0</v>
      </c>
      <c r="M37" s="102">
        <v>2316.0</v>
      </c>
      <c r="N37" s="161" t="s">
        <v>58</v>
      </c>
      <c r="O37" s="161" t="s">
        <v>29</v>
      </c>
      <c r="P37" s="161" t="s">
        <v>40</v>
      </c>
      <c r="Q37" s="166"/>
      <c r="R37" s="161" t="s">
        <v>73</v>
      </c>
      <c r="S37" s="161" t="s">
        <v>2208</v>
      </c>
      <c r="T37" s="607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</row>
    <row r="38">
      <c r="A38" s="12">
        <v>34.0</v>
      </c>
      <c r="B38" s="97" t="s">
        <v>4223</v>
      </c>
      <c r="C38" s="97" t="s">
        <v>4224</v>
      </c>
      <c r="D38" s="97" t="s">
        <v>4225</v>
      </c>
      <c r="E38" s="181" t="s">
        <v>295</v>
      </c>
      <c r="F38" s="97" t="s">
        <v>4226</v>
      </c>
      <c r="G38" s="97">
        <v>10.0</v>
      </c>
      <c r="H38" s="97" t="s">
        <v>4227</v>
      </c>
      <c r="I38" s="298">
        <v>46188.0</v>
      </c>
      <c r="J38" s="81"/>
      <c r="K38" s="102" t="s">
        <v>1268</v>
      </c>
      <c r="L38" s="479">
        <v>1.0</v>
      </c>
      <c r="M38" s="102">
        <v>5200.0</v>
      </c>
      <c r="N38" s="161" t="s">
        <v>58</v>
      </c>
      <c r="O38" s="161" t="s">
        <v>91</v>
      </c>
      <c r="P38" s="161" t="s">
        <v>40</v>
      </c>
      <c r="Q38" s="166"/>
      <c r="R38" s="161" t="s">
        <v>73</v>
      </c>
      <c r="S38" s="161" t="s">
        <v>129</v>
      </c>
      <c r="T38" s="607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</row>
    <row r="39">
      <c r="A39" s="12">
        <v>35.0</v>
      </c>
      <c r="B39" s="106" t="s">
        <v>4238</v>
      </c>
      <c r="C39" s="106" t="s">
        <v>4239</v>
      </c>
      <c r="D39" s="106" t="s">
        <v>4240</v>
      </c>
      <c r="E39" s="106">
        <v>1.1933392021E10</v>
      </c>
      <c r="F39" s="106" t="s">
        <v>4241</v>
      </c>
      <c r="G39" s="106">
        <v>6.0</v>
      </c>
      <c r="H39" s="120" t="s">
        <v>1874</v>
      </c>
      <c r="I39" s="317">
        <v>46209.0</v>
      </c>
      <c r="J39" s="781">
        <v>46217.0</v>
      </c>
      <c r="K39" s="125">
        <v>160.0</v>
      </c>
      <c r="L39" s="456" t="s">
        <v>1178</v>
      </c>
      <c r="M39" s="125">
        <v>1920.0</v>
      </c>
      <c r="N39" s="120" t="s">
        <v>71</v>
      </c>
      <c r="O39" s="86" t="s">
        <v>29</v>
      </c>
      <c r="P39" s="120" t="s">
        <v>72</v>
      </c>
      <c r="Q39" s="90"/>
      <c r="R39" s="86" t="s">
        <v>73</v>
      </c>
      <c r="S39" s="120" t="s">
        <v>2208</v>
      </c>
      <c r="T39" s="777" t="s">
        <v>4523</v>
      </c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</row>
    <row r="40">
      <c r="A40" s="12">
        <v>36.0</v>
      </c>
      <c r="B40" s="303" t="s">
        <v>4243</v>
      </c>
      <c r="C40" s="303" t="s">
        <v>4244</v>
      </c>
      <c r="D40" s="303" t="s">
        <v>4245</v>
      </c>
      <c r="E40" s="303" t="s">
        <v>4246</v>
      </c>
      <c r="F40" s="303" t="s">
        <v>4247</v>
      </c>
      <c r="G40" s="303">
        <v>9.0</v>
      </c>
      <c r="H40" s="303" t="s">
        <v>1874</v>
      </c>
      <c r="I40" s="305">
        <v>46188.0</v>
      </c>
      <c r="J40" s="778"/>
      <c r="K40" s="132">
        <v>193.0</v>
      </c>
      <c r="L40" s="561">
        <v>12.0</v>
      </c>
      <c r="M40" s="132">
        <f t="shared" ref="M40:M45" si="5">K40*L40</f>
        <v>2316</v>
      </c>
      <c r="N40" s="548" t="s">
        <v>28</v>
      </c>
      <c r="O40" s="548" t="s">
        <v>29</v>
      </c>
      <c r="P40" s="548" t="s">
        <v>40</v>
      </c>
      <c r="Q40" s="778"/>
      <c r="R40" s="548" t="s">
        <v>73</v>
      </c>
      <c r="S40" s="548" t="s">
        <v>31</v>
      </c>
      <c r="T40" s="782" t="s">
        <v>4524</v>
      </c>
      <c r="U40" s="780"/>
      <c r="V40" s="780"/>
      <c r="W40" s="780"/>
      <c r="X40" s="780"/>
      <c r="Y40" s="780"/>
      <c r="Z40" s="780"/>
      <c r="AA40" s="780"/>
      <c r="AB40" s="780"/>
      <c r="AC40" s="780"/>
      <c r="AD40" s="780"/>
      <c r="AE40" s="780"/>
      <c r="AF40" s="780"/>
      <c r="AG40" s="780"/>
      <c r="AH40" s="780"/>
      <c r="AI40" s="780"/>
      <c r="AJ40" s="780"/>
      <c r="AK40" s="780"/>
      <c r="AL40" s="780"/>
      <c r="AM40" s="780"/>
      <c r="AN40" s="780"/>
      <c r="AO40" s="780"/>
    </row>
    <row r="41">
      <c r="A41" s="12">
        <v>37.0</v>
      </c>
      <c r="B41" s="303" t="s">
        <v>2519</v>
      </c>
      <c r="C41" s="303" t="s">
        <v>1575</v>
      </c>
      <c r="D41" s="303" t="s">
        <v>4255</v>
      </c>
      <c r="E41" s="303" t="s">
        <v>1577</v>
      </c>
      <c r="F41" s="303" t="s">
        <v>4256</v>
      </c>
      <c r="G41" s="303">
        <v>40.0</v>
      </c>
      <c r="H41" s="303" t="s">
        <v>1874</v>
      </c>
      <c r="I41" s="305">
        <v>46184.0</v>
      </c>
      <c r="J41" s="778"/>
      <c r="K41" s="132">
        <v>1230.33</v>
      </c>
      <c r="L41" s="561">
        <v>12.0</v>
      </c>
      <c r="M41" s="132">
        <f t="shared" si="5"/>
        <v>14763.96</v>
      </c>
      <c r="N41" s="548" t="s">
        <v>28</v>
      </c>
      <c r="O41" s="548" t="s">
        <v>91</v>
      </c>
      <c r="P41" s="548" t="s">
        <v>40</v>
      </c>
      <c r="Q41" s="778"/>
      <c r="R41" s="548" t="s">
        <v>73</v>
      </c>
      <c r="S41" s="548" t="s">
        <v>31</v>
      </c>
      <c r="T41" s="782" t="s">
        <v>4525</v>
      </c>
      <c r="U41" s="780"/>
      <c r="V41" s="780"/>
      <c r="W41" s="780"/>
      <c r="X41" s="780"/>
      <c r="Y41" s="780"/>
      <c r="Z41" s="780"/>
      <c r="AA41" s="780"/>
      <c r="AB41" s="780"/>
      <c r="AC41" s="780"/>
      <c r="AD41" s="780"/>
      <c r="AE41" s="780"/>
      <c r="AF41" s="780"/>
      <c r="AG41" s="780"/>
      <c r="AH41" s="780"/>
      <c r="AI41" s="780"/>
      <c r="AJ41" s="780"/>
      <c r="AK41" s="780"/>
      <c r="AL41" s="780"/>
      <c r="AM41" s="780"/>
      <c r="AN41" s="780"/>
      <c r="AO41" s="780"/>
    </row>
    <row r="42">
      <c r="A42" s="12">
        <v>38.0</v>
      </c>
      <c r="B42" s="303" t="s">
        <v>4258</v>
      </c>
      <c r="C42" s="303" t="s">
        <v>4259</v>
      </c>
      <c r="D42" s="303" t="s">
        <v>4260</v>
      </c>
      <c r="E42" s="303" t="s">
        <v>4261</v>
      </c>
      <c r="F42" s="303" t="s">
        <v>4262</v>
      </c>
      <c r="G42" s="303">
        <v>1.0</v>
      </c>
      <c r="H42" s="303" t="s">
        <v>1874</v>
      </c>
      <c r="I42" s="305">
        <v>46190.0</v>
      </c>
      <c r="J42" s="778"/>
      <c r="K42" s="132">
        <v>1700.0</v>
      </c>
      <c r="L42" s="561">
        <v>1.0</v>
      </c>
      <c r="M42" s="132">
        <f t="shared" si="5"/>
        <v>1700</v>
      </c>
      <c r="N42" s="783" t="s">
        <v>28</v>
      </c>
      <c r="O42" s="779" t="s">
        <v>29</v>
      </c>
      <c r="P42" s="548" t="s">
        <v>40</v>
      </c>
      <c r="Q42" s="779"/>
      <c r="R42" s="548" t="s">
        <v>73</v>
      </c>
      <c r="S42" s="548" t="s">
        <v>31</v>
      </c>
      <c r="T42" s="782" t="s">
        <v>4526</v>
      </c>
      <c r="U42" s="780"/>
      <c r="V42" s="780"/>
      <c r="W42" s="780"/>
      <c r="X42" s="780"/>
      <c r="Y42" s="780"/>
      <c r="Z42" s="780"/>
      <c r="AA42" s="780"/>
      <c r="AB42" s="780"/>
      <c r="AC42" s="780"/>
      <c r="AD42" s="780"/>
      <c r="AE42" s="780"/>
      <c r="AF42" s="780"/>
      <c r="AG42" s="780"/>
      <c r="AH42" s="780"/>
      <c r="AI42" s="780"/>
      <c r="AJ42" s="780"/>
      <c r="AK42" s="780"/>
      <c r="AL42" s="780"/>
      <c r="AM42" s="780"/>
      <c r="AN42" s="780"/>
      <c r="AO42" s="780"/>
    </row>
    <row r="43">
      <c r="A43" s="12">
        <v>39.0</v>
      </c>
      <c r="B43" s="548" t="s">
        <v>4288</v>
      </c>
      <c r="C43" s="548" t="s">
        <v>4289</v>
      </c>
      <c r="D43" s="548" t="s">
        <v>4290</v>
      </c>
      <c r="E43" s="548" t="s">
        <v>4291</v>
      </c>
      <c r="F43" s="548" t="s">
        <v>4292</v>
      </c>
      <c r="G43" s="548">
        <v>218.0</v>
      </c>
      <c r="H43" s="548" t="s">
        <v>4293</v>
      </c>
      <c r="I43" s="305">
        <v>46192.0</v>
      </c>
      <c r="J43" s="778"/>
      <c r="K43" s="132">
        <v>4302.0</v>
      </c>
      <c r="L43" s="561">
        <v>1.0</v>
      </c>
      <c r="M43" s="132">
        <f t="shared" si="5"/>
        <v>4302</v>
      </c>
      <c r="N43" s="548" t="s">
        <v>58</v>
      </c>
      <c r="O43" s="548" t="s">
        <v>29</v>
      </c>
      <c r="P43" s="548" t="s">
        <v>40</v>
      </c>
      <c r="Q43" s="778"/>
      <c r="R43" s="548" t="s">
        <v>73</v>
      </c>
      <c r="S43" s="548" t="s">
        <v>31</v>
      </c>
      <c r="T43" s="782" t="s">
        <v>4527</v>
      </c>
      <c r="U43" s="780"/>
      <c r="V43" s="780"/>
      <c r="W43" s="780"/>
      <c r="X43" s="780"/>
      <c r="Y43" s="780"/>
      <c r="Z43" s="780"/>
      <c r="AA43" s="780"/>
      <c r="AB43" s="780"/>
      <c r="AC43" s="780"/>
      <c r="AD43" s="780"/>
      <c r="AE43" s="780"/>
      <c r="AF43" s="780"/>
      <c r="AG43" s="780"/>
      <c r="AH43" s="780"/>
      <c r="AI43" s="780"/>
      <c r="AJ43" s="780"/>
      <c r="AK43" s="780"/>
      <c r="AL43" s="780"/>
      <c r="AM43" s="780"/>
      <c r="AN43" s="780"/>
      <c r="AO43" s="780"/>
    </row>
    <row r="44">
      <c r="A44" s="12">
        <v>40.0</v>
      </c>
      <c r="B44" s="548" t="s">
        <v>4300</v>
      </c>
      <c r="C44" s="548" t="s">
        <v>4301</v>
      </c>
      <c r="D44" s="548" t="s">
        <v>4302</v>
      </c>
      <c r="E44" s="548" t="s">
        <v>4303</v>
      </c>
      <c r="F44" s="548" t="s">
        <v>4304</v>
      </c>
      <c r="G44" s="548">
        <v>2.0</v>
      </c>
      <c r="H44" s="548" t="s">
        <v>4305</v>
      </c>
      <c r="I44" s="305">
        <v>46192.0</v>
      </c>
      <c r="J44" s="778"/>
      <c r="K44" s="132">
        <v>3200.0</v>
      </c>
      <c r="L44" s="561">
        <v>1.0</v>
      </c>
      <c r="M44" s="132">
        <f t="shared" si="5"/>
        <v>3200</v>
      </c>
      <c r="N44" s="548" t="s">
        <v>58</v>
      </c>
      <c r="O44" s="548" t="s">
        <v>91</v>
      </c>
      <c r="P44" s="548" t="s">
        <v>40</v>
      </c>
      <c r="Q44" s="778"/>
      <c r="R44" s="548" t="s">
        <v>73</v>
      </c>
      <c r="S44" s="548" t="s">
        <v>31</v>
      </c>
      <c r="T44" s="782" t="s">
        <v>4528</v>
      </c>
      <c r="U44" s="780"/>
      <c r="V44" s="780"/>
      <c r="W44" s="780"/>
      <c r="X44" s="780"/>
      <c r="Y44" s="780"/>
      <c r="Z44" s="780"/>
      <c r="AA44" s="780"/>
      <c r="AB44" s="780"/>
      <c r="AC44" s="780"/>
      <c r="AD44" s="780"/>
      <c r="AE44" s="780"/>
      <c r="AF44" s="780"/>
      <c r="AG44" s="780"/>
      <c r="AH44" s="780"/>
      <c r="AI44" s="780"/>
      <c r="AJ44" s="780"/>
      <c r="AK44" s="780"/>
      <c r="AL44" s="780"/>
      <c r="AM44" s="780"/>
      <c r="AN44" s="780"/>
      <c r="AO44" s="780"/>
    </row>
    <row r="45">
      <c r="A45" s="12">
        <v>41.0</v>
      </c>
      <c r="B45" s="548" t="s">
        <v>4307</v>
      </c>
      <c r="C45" s="548" t="s">
        <v>4308</v>
      </c>
      <c r="D45" s="548" t="s">
        <v>3931</v>
      </c>
      <c r="E45" s="778"/>
      <c r="F45" s="548" t="s">
        <v>4309</v>
      </c>
      <c r="G45" s="548">
        <v>15.0</v>
      </c>
      <c r="H45" s="303" t="s">
        <v>1874</v>
      </c>
      <c r="I45" s="305">
        <v>46192.0</v>
      </c>
      <c r="J45" s="778"/>
      <c r="K45" s="132">
        <v>230.0</v>
      </c>
      <c r="L45" s="561">
        <v>12.0</v>
      </c>
      <c r="M45" s="132">
        <f t="shared" si="5"/>
        <v>2760</v>
      </c>
      <c r="N45" s="548" t="s">
        <v>28</v>
      </c>
      <c r="O45" s="548" t="s">
        <v>29</v>
      </c>
      <c r="P45" s="548" t="s">
        <v>40</v>
      </c>
      <c r="Q45" s="778"/>
      <c r="R45" s="548" t="s">
        <v>73</v>
      </c>
      <c r="S45" s="548" t="s">
        <v>31</v>
      </c>
      <c r="T45" s="782" t="s">
        <v>4529</v>
      </c>
      <c r="U45" s="780"/>
      <c r="V45" s="780"/>
      <c r="W45" s="780"/>
      <c r="X45" s="780"/>
      <c r="Y45" s="780"/>
      <c r="Z45" s="780"/>
      <c r="AA45" s="780"/>
      <c r="AB45" s="780"/>
      <c r="AC45" s="780"/>
      <c r="AD45" s="780"/>
      <c r="AE45" s="780"/>
      <c r="AF45" s="780"/>
      <c r="AG45" s="780"/>
      <c r="AH45" s="780"/>
      <c r="AI45" s="780"/>
      <c r="AJ45" s="780"/>
      <c r="AK45" s="780"/>
      <c r="AL45" s="780"/>
      <c r="AM45" s="780"/>
      <c r="AN45" s="780"/>
      <c r="AO45" s="780"/>
    </row>
    <row r="46">
      <c r="A46" s="12">
        <v>42.0</v>
      </c>
      <c r="B46" s="97" t="s">
        <v>4332</v>
      </c>
      <c r="C46" s="97" t="s">
        <v>4333</v>
      </c>
      <c r="D46" s="97" t="s">
        <v>4334</v>
      </c>
      <c r="E46" s="470" t="s">
        <v>4335</v>
      </c>
      <c r="F46" s="386" t="s">
        <v>4530</v>
      </c>
      <c r="G46" s="97">
        <v>2.0</v>
      </c>
      <c r="H46" s="97" t="s">
        <v>2837</v>
      </c>
      <c r="I46" s="298">
        <v>46196.0</v>
      </c>
      <c r="J46" s="81"/>
      <c r="K46" s="164">
        <v>1000.0</v>
      </c>
      <c r="L46" s="479">
        <v>1.0</v>
      </c>
      <c r="M46" s="102">
        <v>1000.0</v>
      </c>
      <c r="N46" s="161" t="s">
        <v>58</v>
      </c>
      <c r="O46" s="161" t="s">
        <v>29</v>
      </c>
      <c r="P46" s="161" t="s">
        <v>40</v>
      </c>
      <c r="Q46" s="166"/>
      <c r="R46" s="161" t="s">
        <v>73</v>
      </c>
      <c r="S46" s="161" t="s">
        <v>129</v>
      </c>
      <c r="T46" s="611" t="s">
        <v>4337</v>
      </c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</row>
    <row r="47">
      <c r="A47" s="12">
        <v>43.0</v>
      </c>
      <c r="B47" s="86" t="s">
        <v>4343</v>
      </c>
      <c r="C47" s="86" t="s">
        <v>4344</v>
      </c>
      <c r="D47" s="86" t="s">
        <v>4345</v>
      </c>
      <c r="E47" s="86" t="s">
        <v>4346</v>
      </c>
      <c r="F47" s="86" t="s">
        <v>4347</v>
      </c>
      <c r="G47" s="86" t="s">
        <v>399</v>
      </c>
      <c r="H47" s="103" t="s">
        <v>711</v>
      </c>
      <c r="I47" s="108">
        <v>46195.0</v>
      </c>
      <c r="J47" s="91"/>
      <c r="K47" s="89">
        <v>1000.0</v>
      </c>
      <c r="L47" s="467">
        <v>1.0</v>
      </c>
      <c r="M47" s="89">
        <f t="shared" ref="M47:M49" si="6">K47*1</f>
        <v>1000</v>
      </c>
      <c r="N47" s="86" t="s">
        <v>58</v>
      </c>
      <c r="O47" s="86" t="s">
        <v>91</v>
      </c>
      <c r="P47" s="86" t="s">
        <v>40</v>
      </c>
      <c r="Q47" s="91"/>
      <c r="R47" s="86" t="s">
        <v>41</v>
      </c>
      <c r="S47" s="86" t="s">
        <v>31</v>
      </c>
      <c r="T47" s="236" t="s">
        <v>4531</v>
      </c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</row>
    <row r="48">
      <c r="A48" s="12">
        <v>44.0</v>
      </c>
      <c r="B48" s="86" t="s">
        <v>4349</v>
      </c>
      <c r="C48" s="86" t="s">
        <v>4350</v>
      </c>
      <c r="D48" s="86" t="s">
        <v>4345</v>
      </c>
      <c r="E48" s="86" t="s">
        <v>4346</v>
      </c>
      <c r="F48" s="86" t="s">
        <v>4347</v>
      </c>
      <c r="G48" s="86" t="s">
        <v>399</v>
      </c>
      <c r="H48" s="103" t="s">
        <v>711</v>
      </c>
      <c r="I48" s="108">
        <v>46195.0</v>
      </c>
      <c r="J48" s="91"/>
      <c r="K48" s="89">
        <v>1000.0</v>
      </c>
      <c r="L48" s="467">
        <v>1.0</v>
      </c>
      <c r="M48" s="89">
        <f t="shared" si="6"/>
        <v>1000</v>
      </c>
      <c r="N48" s="86" t="s">
        <v>58</v>
      </c>
      <c r="O48" s="86" t="s">
        <v>91</v>
      </c>
      <c r="P48" s="86" t="s">
        <v>40</v>
      </c>
      <c r="Q48" s="91"/>
      <c r="R48" s="86" t="s">
        <v>41</v>
      </c>
      <c r="S48" s="86" t="s">
        <v>31</v>
      </c>
      <c r="T48" s="236" t="s">
        <v>4532</v>
      </c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</row>
    <row r="49">
      <c r="A49" s="12">
        <v>45.0</v>
      </c>
      <c r="B49" s="86" t="s">
        <v>2524</v>
      </c>
      <c r="C49" s="86" t="s">
        <v>2525</v>
      </c>
      <c r="D49" s="86" t="s">
        <v>4352</v>
      </c>
      <c r="E49" s="89" t="s">
        <v>4353</v>
      </c>
      <c r="F49" s="86" t="s">
        <v>2528</v>
      </c>
      <c r="G49" s="86">
        <v>50.0</v>
      </c>
      <c r="H49" s="86" t="s">
        <v>4354</v>
      </c>
      <c r="I49" s="108">
        <v>46195.0</v>
      </c>
      <c r="J49" s="91"/>
      <c r="K49" s="89">
        <v>2500.0</v>
      </c>
      <c r="L49" s="467">
        <v>1.0</v>
      </c>
      <c r="M49" s="89">
        <f t="shared" si="6"/>
        <v>2500</v>
      </c>
      <c r="N49" s="86" t="s">
        <v>58</v>
      </c>
      <c r="O49" s="86" t="s">
        <v>29</v>
      </c>
      <c r="P49" s="86" t="s">
        <v>40</v>
      </c>
      <c r="Q49" s="91"/>
      <c r="R49" s="86" t="s">
        <v>73</v>
      </c>
      <c r="S49" s="86" t="s">
        <v>31</v>
      </c>
      <c r="T49" s="236" t="s">
        <v>4533</v>
      </c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</row>
    <row r="50">
      <c r="A50" s="12">
        <v>46.0</v>
      </c>
      <c r="B50" s="106" t="s">
        <v>4365</v>
      </c>
      <c r="C50" s="106" t="s">
        <v>4366</v>
      </c>
      <c r="D50" s="106" t="s">
        <v>4367</v>
      </c>
      <c r="E50" s="106">
        <v>1.1992447287E10</v>
      </c>
      <c r="F50" s="173" t="s">
        <v>2438</v>
      </c>
      <c r="G50" s="106" t="s">
        <v>26</v>
      </c>
      <c r="H50" s="106" t="s">
        <v>4368</v>
      </c>
      <c r="I50" s="108">
        <v>46184.0</v>
      </c>
      <c r="J50" s="109"/>
      <c r="K50" s="265">
        <v>500.0</v>
      </c>
      <c r="L50" s="254" t="s">
        <v>1191</v>
      </c>
      <c r="M50" s="89">
        <f>K50*3</f>
        <v>1500</v>
      </c>
      <c r="N50" s="120" t="s">
        <v>28</v>
      </c>
      <c r="O50" s="86" t="s">
        <v>29</v>
      </c>
      <c r="P50" s="86" t="s">
        <v>40</v>
      </c>
      <c r="Q50" s="90"/>
      <c r="R50" s="86" t="s">
        <v>233</v>
      </c>
      <c r="S50" s="86" t="s">
        <v>110</v>
      </c>
      <c r="T50" s="777" t="s">
        <v>4534</v>
      </c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</row>
    <row r="51">
      <c r="A51" s="12">
        <v>47.0</v>
      </c>
      <c r="B51" s="106" t="s">
        <v>4369</v>
      </c>
      <c r="C51" s="106" t="s">
        <v>4370</v>
      </c>
      <c r="D51" s="106" t="s">
        <v>4371</v>
      </c>
      <c r="E51" s="106" t="s">
        <v>4372</v>
      </c>
      <c r="F51" s="106" t="s">
        <v>4373</v>
      </c>
      <c r="G51" s="106">
        <v>110.0</v>
      </c>
      <c r="H51" s="106" t="s">
        <v>3839</v>
      </c>
      <c r="I51" s="108">
        <v>46192.0</v>
      </c>
      <c r="J51" s="109"/>
      <c r="K51" s="89">
        <f>M51/4</f>
        <v>400</v>
      </c>
      <c r="L51" s="254" t="s">
        <v>1278</v>
      </c>
      <c r="M51" s="89">
        <v>1600.0</v>
      </c>
      <c r="N51" s="86" t="s">
        <v>58</v>
      </c>
      <c r="O51" s="86" t="s">
        <v>29</v>
      </c>
      <c r="P51" s="86" t="s">
        <v>40</v>
      </c>
      <c r="Q51" s="90"/>
      <c r="R51" s="86" t="s">
        <v>233</v>
      </c>
      <c r="S51" s="86" t="s">
        <v>110</v>
      </c>
      <c r="T51" s="784" t="s">
        <v>31</v>
      </c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</row>
    <row r="52">
      <c r="A52" s="12">
        <v>48.0</v>
      </c>
      <c r="B52" s="106" t="s">
        <v>3110</v>
      </c>
      <c r="C52" s="106" t="s">
        <v>3111</v>
      </c>
      <c r="D52" s="106" t="s">
        <v>3112</v>
      </c>
      <c r="E52" s="106" t="s">
        <v>3113</v>
      </c>
      <c r="F52" s="106" t="s">
        <v>3114</v>
      </c>
      <c r="G52" s="106">
        <v>1.0</v>
      </c>
      <c r="H52" s="86" t="s">
        <v>123</v>
      </c>
      <c r="I52" s="108">
        <v>46148.0</v>
      </c>
      <c r="J52" s="109"/>
      <c r="K52" s="89">
        <v>139.0</v>
      </c>
      <c r="L52" s="254" t="s">
        <v>1178</v>
      </c>
      <c r="M52" s="89">
        <f t="shared" ref="M52:M57" si="7">K52*12</f>
        <v>1668</v>
      </c>
      <c r="N52" s="86" t="s">
        <v>58</v>
      </c>
      <c r="O52" s="86" t="s">
        <v>29</v>
      </c>
      <c r="P52" s="86" t="s">
        <v>40</v>
      </c>
      <c r="Q52" s="90"/>
      <c r="R52" s="86" t="s">
        <v>73</v>
      </c>
      <c r="S52" s="86" t="s">
        <v>110</v>
      </c>
      <c r="T52" s="777" t="s">
        <v>4535</v>
      </c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</row>
    <row r="53">
      <c r="A53" s="12">
        <v>49.0</v>
      </c>
      <c r="B53" s="24" t="s">
        <v>4374</v>
      </c>
      <c r="C53" s="106" t="s">
        <v>4375</v>
      </c>
      <c r="D53" s="106" t="s">
        <v>4376</v>
      </c>
      <c r="E53" s="106">
        <v>1.1942036669E10</v>
      </c>
      <c r="F53" s="91"/>
      <c r="G53" s="106">
        <v>1.0</v>
      </c>
      <c r="H53" s="106" t="s">
        <v>123</v>
      </c>
      <c r="I53" s="108">
        <v>46195.0</v>
      </c>
      <c r="J53" s="109"/>
      <c r="K53" s="89">
        <v>139.0</v>
      </c>
      <c r="L53" s="254" t="s">
        <v>1178</v>
      </c>
      <c r="M53" s="89">
        <f t="shared" si="7"/>
        <v>1668</v>
      </c>
      <c r="N53" s="86" t="s">
        <v>58</v>
      </c>
      <c r="O53" s="86" t="s">
        <v>29</v>
      </c>
      <c r="P53" s="86" t="s">
        <v>40</v>
      </c>
      <c r="Q53" s="90"/>
      <c r="R53" s="86" t="s">
        <v>233</v>
      </c>
      <c r="S53" s="86" t="s">
        <v>110</v>
      </c>
      <c r="T53" s="777" t="s">
        <v>4536</v>
      </c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</row>
    <row r="54">
      <c r="A54" s="12">
        <v>50.0</v>
      </c>
      <c r="B54" s="106" t="s">
        <v>4383</v>
      </c>
      <c r="C54" s="106" t="s">
        <v>4384</v>
      </c>
      <c r="D54" s="547" t="s">
        <v>4385</v>
      </c>
      <c r="E54" s="106">
        <v>1.1993855766E10</v>
      </c>
      <c r="F54" s="173" t="s">
        <v>4386</v>
      </c>
      <c r="G54" s="106">
        <v>3.0</v>
      </c>
      <c r="H54" s="106" t="s">
        <v>123</v>
      </c>
      <c r="I54" s="108">
        <v>46163.0</v>
      </c>
      <c r="J54" s="109"/>
      <c r="K54" s="89">
        <v>151.0</v>
      </c>
      <c r="L54" s="254" t="s">
        <v>1178</v>
      </c>
      <c r="M54" s="89">
        <f t="shared" si="7"/>
        <v>1812</v>
      </c>
      <c r="N54" s="86" t="s">
        <v>58</v>
      </c>
      <c r="O54" s="86" t="s">
        <v>29</v>
      </c>
      <c r="P54" s="86" t="s">
        <v>40</v>
      </c>
      <c r="Q54" s="90"/>
      <c r="R54" s="86" t="s">
        <v>233</v>
      </c>
      <c r="S54" s="86" t="s">
        <v>110</v>
      </c>
      <c r="T54" s="777" t="s">
        <v>4537</v>
      </c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</row>
    <row r="55">
      <c r="A55" s="12">
        <v>51.0</v>
      </c>
      <c r="B55" s="106" t="s">
        <v>3150</v>
      </c>
      <c r="C55" s="106" t="s">
        <v>3151</v>
      </c>
      <c r="D55" s="106" t="s">
        <v>3152</v>
      </c>
      <c r="E55" s="106" t="s">
        <v>3153</v>
      </c>
      <c r="F55" s="106" t="s">
        <v>3154</v>
      </c>
      <c r="G55" s="106">
        <v>12.0</v>
      </c>
      <c r="H55" s="106" t="s">
        <v>123</v>
      </c>
      <c r="I55" s="108">
        <v>46153.0</v>
      </c>
      <c r="J55" s="109"/>
      <c r="K55" s="89">
        <v>205.0</v>
      </c>
      <c r="L55" s="254" t="s">
        <v>1178</v>
      </c>
      <c r="M55" s="89">
        <f t="shared" si="7"/>
        <v>2460</v>
      </c>
      <c r="N55" s="86" t="s">
        <v>58</v>
      </c>
      <c r="O55" s="86" t="s">
        <v>29</v>
      </c>
      <c r="P55" s="86" t="s">
        <v>40</v>
      </c>
      <c r="Q55" s="90"/>
      <c r="R55" s="86" t="s">
        <v>233</v>
      </c>
      <c r="S55" s="86" t="s">
        <v>110</v>
      </c>
      <c r="T55" s="777" t="s">
        <v>4538</v>
      </c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</row>
    <row r="56">
      <c r="A56" s="12">
        <v>52.0</v>
      </c>
      <c r="B56" s="106" t="s">
        <v>4388</v>
      </c>
      <c r="C56" s="106" t="s">
        <v>4389</v>
      </c>
      <c r="D56" s="106" t="s">
        <v>4390</v>
      </c>
      <c r="E56" s="106">
        <v>1.198326371E10</v>
      </c>
      <c r="F56" s="106" t="s">
        <v>4391</v>
      </c>
      <c r="G56" s="106">
        <v>15.0</v>
      </c>
      <c r="H56" s="106" t="s">
        <v>123</v>
      </c>
      <c r="I56" s="108">
        <v>46168.0</v>
      </c>
      <c r="J56" s="109"/>
      <c r="K56" s="265">
        <v>217.0</v>
      </c>
      <c r="L56" s="254" t="s">
        <v>1178</v>
      </c>
      <c r="M56" s="89">
        <f t="shared" si="7"/>
        <v>2604</v>
      </c>
      <c r="N56" s="86" t="s">
        <v>58</v>
      </c>
      <c r="O56" s="86" t="s">
        <v>29</v>
      </c>
      <c r="P56" s="86" t="s">
        <v>40</v>
      </c>
      <c r="Q56" s="90"/>
      <c r="R56" s="86" t="s">
        <v>233</v>
      </c>
      <c r="S56" s="86" t="s">
        <v>110</v>
      </c>
      <c r="T56" s="777" t="s">
        <v>4539</v>
      </c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</row>
    <row r="57">
      <c r="A57" s="12">
        <v>53.0</v>
      </c>
      <c r="B57" s="106" t="s">
        <v>4393</v>
      </c>
      <c r="C57" s="106" t="s">
        <v>4394</v>
      </c>
      <c r="D57" s="106" t="s">
        <v>4395</v>
      </c>
      <c r="E57" s="106">
        <v>1.1943668165E10</v>
      </c>
      <c r="F57" s="173" t="s">
        <v>4396</v>
      </c>
      <c r="G57" s="106">
        <v>15.0</v>
      </c>
      <c r="H57" s="106" t="s">
        <v>123</v>
      </c>
      <c r="I57" s="108">
        <v>46169.0</v>
      </c>
      <c r="J57" s="109"/>
      <c r="K57" s="89">
        <v>223.0</v>
      </c>
      <c r="L57" s="254" t="s">
        <v>1178</v>
      </c>
      <c r="M57" s="89">
        <f t="shared" si="7"/>
        <v>2676</v>
      </c>
      <c r="N57" s="86" t="s">
        <v>58</v>
      </c>
      <c r="O57" s="86" t="s">
        <v>29</v>
      </c>
      <c r="P57" s="86" t="s">
        <v>40</v>
      </c>
      <c r="Q57" s="90"/>
      <c r="R57" s="86" t="s">
        <v>233</v>
      </c>
      <c r="S57" s="86" t="s">
        <v>110</v>
      </c>
      <c r="T57" s="777" t="s">
        <v>4540</v>
      </c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</row>
    <row r="58">
      <c r="A58" s="12">
        <v>54.0</v>
      </c>
      <c r="B58" s="759" t="s">
        <v>4443</v>
      </c>
      <c r="C58" s="97" t="s">
        <v>4444</v>
      </c>
      <c r="D58" s="97" t="s">
        <v>4445</v>
      </c>
      <c r="E58" s="181" t="s">
        <v>4446</v>
      </c>
      <c r="F58" s="97" t="s">
        <v>4447</v>
      </c>
      <c r="G58" s="81"/>
      <c r="H58" s="103" t="s">
        <v>711</v>
      </c>
      <c r="I58" s="81"/>
      <c r="J58" s="81"/>
      <c r="K58" s="102">
        <v>300.0</v>
      </c>
      <c r="L58" s="479">
        <v>2.0</v>
      </c>
      <c r="M58" s="102">
        <v>600.0</v>
      </c>
      <c r="N58" s="161" t="s">
        <v>58</v>
      </c>
      <c r="O58" s="161" t="s">
        <v>91</v>
      </c>
      <c r="P58" s="161" t="s">
        <v>40</v>
      </c>
      <c r="Q58" s="166"/>
      <c r="R58" s="161" t="s">
        <v>233</v>
      </c>
      <c r="S58" s="161" t="s">
        <v>599</v>
      </c>
      <c r="T58" s="607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</row>
    <row r="59">
      <c r="A59" s="12">
        <v>55.0</v>
      </c>
      <c r="B59" s="106" t="s">
        <v>4477</v>
      </c>
      <c r="C59" s="106" t="s">
        <v>4478</v>
      </c>
      <c r="D59" s="106" t="s">
        <v>4479</v>
      </c>
      <c r="E59" s="106" t="s">
        <v>4480</v>
      </c>
      <c r="F59" s="106" t="s">
        <v>4481</v>
      </c>
      <c r="G59" s="106">
        <v>20.0</v>
      </c>
      <c r="H59" s="103" t="s">
        <v>711</v>
      </c>
      <c r="I59" s="108">
        <v>46176.0</v>
      </c>
      <c r="J59" s="109"/>
      <c r="K59" s="89">
        <v>253.0</v>
      </c>
      <c r="L59" s="254" t="s">
        <v>1178</v>
      </c>
      <c r="M59" s="89">
        <f>K59*12</f>
        <v>3036</v>
      </c>
      <c r="N59" s="86" t="s">
        <v>58</v>
      </c>
      <c r="O59" s="86" t="s">
        <v>29</v>
      </c>
      <c r="P59" s="86" t="s">
        <v>40</v>
      </c>
      <c r="Q59" s="91"/>
      <c r="R59" s="86" t="s">
        <v>233</v>
      </c>
      <c r="S59" s="86" t="s">
        <v>110</v>
      </c>
      <c r="T59" s="777" t="s">
        <v>4541</v>
      </c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</row>
    <row r="60" ht="14.25" customHeight="1">
      <c r="A60" s="12">
        <v>56.0</v>
      </c>
      <c r="B60" s="106" t="s">
        <v>4482</v>
      </c>
      <c r="C60" s="106" t="s">
        <v>4483</v>
      </c>
      <c r="D60" s="106" t="s">
        <v>4484</v>
      </c>
      <c r="E60" s="106" t="s">
        <v>4485</v>
      </c>
      <c r="F60" s="106" t="s">
        <v>4486</v>
      </c>
      <c r="G60" s="106">
        <v>7.0</v>
      </c>
      <c r="H60" s="106" t="s">
        <v>4487</v>
      </c>
      <c r="I60" s="108">
        <v>46160.0</v>
      </c>
      <c r="J60" s="109"/>
      <c r="K60" s="89" t="s">
        <v>211</v>
      </c>
      <c r="L60" s="254" t="s">
        <v>1218</v>
      </c>
      <c r="M60" s="89">
        <v>3100.0</v>
      </c>
      <c r="N60" s="86" t="s">
        <v>58</v>
      </c>
      <c r="O60" s="86" t="s">
        <v>29</v>
      </c>
      <c r="P60" s="86" t="s">
        <v>40</v>
      </c>
      <c r="Q60" s="91"/>
      <c r="R60" s="86" t="s">
        <v>73</v>
      </c>
      <c r="S60" s="86" t="s">
        <v>110</v>
      </c>
      <c r="T60" s="777" t="s">
        <v>4542</v>
      </c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</row>
    <row r="61">
      <c r="A61" s="12">
        <v>57.0</v>
      </c>
      <c r="B61" s="106" t="s">
        <v>4488</v>
      </c>
      <c r="C61" s="24" t="s">
        <v>4489</v>
      </c>
      <c r="D61" s="106" t="s">
        <v>4490</v>
      </c>
      <c r="E61" s="106">
        <v>4.8991715174E10</v>
      </c>
      <c r="F61" s="106" t="s">
        <v>4491</v>
      </c>
      <c r="G61" s="106">
        <v>45.0</v>
      </c>
      <c r="H61" s="106" t="s">
        <v>123</v>
      </c>
      <c r="I61" s="108">
        <v>46191.0</v>
      </c>
      <c r="J61" s="109"/>
      <c r="K61" s="89">
        <v>403.0</v>
      </c>
      <c r="L61" s="254" t="s">
        <v>1178</v>
      </c>
      <c r="M61" s="89">
        <f t="shared" ref="M61:M64" si="8">K61*12</f>
        <v>4836</v>
      </c>
      <c r="N61" s="86" t="s">
        <v>58</v>
      </c>
      <c r="O61" s="86" t="s">
        <v>29</v>
      </c>
      <c r="P61" s="86" t="s">
        <v>40</v>
      </c>
      <c r="Q61" s="91"/>
      <c r="R61" s="86" t="s">
        <v>233</v>
      </c>
      <c r="S61" s="86" t="s">
        <v>110</v>
      </c>
      <c r="T61" s="777" t="s">
        <v>4543</v>
      </c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</row>
    <row r="62">
      <c r="A62" s="12">
        <v>58.0</v>
      </c>
      <c r="B62" s="106" t="s">
        <v>3192</v>
      </c>
      <c r="C62" s="106" t="s">
        <v>3193</v>
      </c>
      <c r="D62" s="106" t="s">
        <v>3194</v>
      </c>
      <c r="E62" s="106" t="s">
        <v>3195</v>
      </c>
      <c r="F62" s="106" t="s">
        <v>3196</v>
      </c>
      <c r="G62" s="106">
        <v>37.0</v>
      </c>
      <c r="H62" s="106" t="s">
        <v>123</v>
      </c>
      <c r="I62" s="108">
        <v>46155.0</v>
      </c>
      <c r="J62" s="109"/>
      <c r="K62" s="89">
        <v>419.95</v>
      </c>
      <c r="L62" s="254" t="s">
        <v>1178</v>
      </c>
      <c r="M62" s="89">
        <f t="shared" si="8"/>
        <v>5039.4</v>
      </c>
      <c r="N62" s="86" t="s">
        <v>58</v>
      </c>
      <c r="O62" s="86" t="s">
        <v>29</v>
      </c>
      <c r="P62" s="86" t="s">
        <v>40</v>
      </c>
      <c r="Q62" s="91"/>
      <c r="R62" s="86" t="s">
        <v>233</v>
      </c>
      <c r="S62" s="86" t="s">
        <v>110</v>
      </c>
      <c r="T62" s="777" t="s">
        <v>4544</v>
      </c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</row>
    <row r="63">
      <c r="A63" s="12">
        <v>59.0</v>
      </c>
      <c r="B63" s="106" t="s">
        <v>3170</v>
      </c>
      <c r="C63" s="24" t="s">
        <v>3171</v>
      </c>
      <c r="D63" s="106" t="s">
        <v>3172</v>
      </c>
      <c r="E63" s="24" t="s">
        <v>3173</v>
      </c>
      <c r="F63" s="173" t="s">
        <v>3174</v>
      </c>
      <c r="G63" s="106">
        <v>70.0</v>
      </c>
      <c r="H63" s="106" t="s">
        <v>123</v>
      </c>
      <c r="I63" s="108">
        <v>46154.0</v>
      </c>
      <c r="J63" s="109"/>
      <c r="K63" s="89">
        <v>735.0</v>
      </c>
      <c r="L63" s="254" t="s">
        <v>1178</v>
      </c>
      <c r="M63" s="89">
        <f t="shared" si="8"/>
        <v>8820</v>
      </c>
      <c r="N63" s="120" t="s">
        <v>28</v>
      </c>
      <c r="O63" s="86" t="s">
        <v>29</v>
      </c>
      <c r="P63" s="86"/>
      <c r="Q63" s="91"/>
      <c r="R63" s="86" t="s">
        <v>73</v>
      </c>
      <c r="S63" s="86" t="s">
        <v>110</v>
      </c>
      <c r="T63" s="777" t="s">
        <v>4545</v>
      </c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</row>
    <row r="64">
      <c r="A64" s="12">
        <v>60.0</v>
      </c>
      <c r="B64" s="106" t="s">
        <v>3067</v>
      </c>
      <c r="C64" s="106" t="s">
        <v>3068</v>
      </c>
      <c r="D64" s="106" t="s">
        <v>3069</v>
      </c>
      <c r="E64" s="106" t="s">
        <v>3070</v>
      </c>
      <c r="F64" s="106" t="s">
        <v>3071</v>
      </c>
      <c r="G64" s="106">
        <v>150.0</v>
      </c>
      <c r="H64" s="106" t="s">
        <v>123</v>
      </c>
      <c r="I64" s="108">
        <v>46142.0</v>
      </c>
      <c r="J64" s="109"/>
      <c r="K64" s="89">
        <v>1551.3</v>
      </c>
      <c r="L64" s="254" t="s">
        <v>1178</v>
      </c>
      <c r="M64" s="89">
        <f t="shared" si="8"/>
        <v>18615.6</v>
      </c>
      <c r="N64" s="86" t="s">
        <v>58</v>
      </c>
      <c r="O64" s="86" t="s">
        <v>29</v>
      </c>
      <c r="P64" s="86" t="s">
        <v>40</v>
      </c>
      <c r="Q64" s="91"/>
      <c r="R64" s="86" t="s">
        <v>73</v>
      </c>
      <c r="S64" s="86" t="s">
        <v>110</v>
      </c>
      <c r="T64" s="777" t="s">
        <v>4546</v>
      </c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</row>
    <row r="65">
      <c r="A65" s="12">
        <v>61.0</v>
      </c>
      <c r="B65" s="106" t="s">
        <v>4495</v>
      </c>
      <c r="C65" s="106" t="s">
        <v>4496</v>
      </c>
      <c r="D65" s="106" t="s">
        <v>4497</v>
      </c>
      <c r="E65" s="106" t="s">
        <v>4498</v>
      </c>
      <c r="F65" s="173" t="s">
        <v>4499</v>
      </c>
      <c r="G65" s="106" t="s">
        <v>26</v>
      </c>
      <c r="H65" s="106" t="s">
        <v>4500</v>
      </c>
      <c r="I65" s="108">
        <v>46185.0</v>
      </c>
      <c r="J65" s="109"/>
      <c r="K65" s="89" t="s">
        <v>4501</v>
      </c>
      <c r="L65" s="254" t="s">
        <v>399</v>
      </c>
      <c r="M65" s="89">
        <v>5000.0</v>
      </c>
      <c r="N65" s="120" t="s">
        <v>28</v>
      </c>
      <c r="O65" s="86" t="s">
        <v>29</v>
      </c>
      <c r="P65" s="86"/>
      <c r="Q65" s="91"/>
      <c r="R65" s="86" t="s">
        <v>73</v>
      </c>
      <c r="S65" s="86" t="s">
        <v>110</v>
      </c>
      <c r="T65" s="784" t="s">
        <v>4547</v>
      </c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</row>
    <row r="66">
      <c r="A66" s="12">
        <v>62.0</v>
      </c>
      <c r="B66" s="475" t="s">
        <v>4502</v>
      </c>
      <c r="C66" s="475">
        <v>3.784896000135E12</v>
      </c>
      <c r="D66" s="475" t="s">
        <v>4503</v>
      </c>
      <c r="E66" s="475">
        <v>1.2997285131E10</v>
      </c>
      <c r="F66" s="475" t="s">
        <v>4504</v>
      </c>
      <c r="G66" s="475">
        <v>25.0</v>
      </c>
      <c r="H66" s="475" t="s">
        <v>123</v>
      </c>
      <c r="I66" s="552">
        <v>46199.0</v>
      </c>
      <c r="J66" s="552"/>
      <c r="K66" s="554" t="s">
        <v>26</v>
      </c>
      <c r="L66" s="785" t="s">
        <v>26</v>
      </c>
      <c r="M66" s="554" t="s">
        <v>26</v>
      </c>
      <c r="N66" s="475" t="s">
        <v>58</v>
      </c>
      <c r="O66" s="475" t="s">
        <v>29</v>
      </c>
      <c r="P66" s="475" t="s">
        <v>40</v>
      </c>
      <c r="Q66" s="475"/>
      <c r="R66" s="475" t="s">
        <v>233</v>
      </c>
      <c r="S66" s="475" t="s">
        <v>110</v>
      </c>
      <c r="T66" s="786" t="s">
        <v>4548</v>
      </c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</row>
    <row r="67">
      <c r="A67" s="12">
        <v>63.0</v>
      </c>
      <c r="B67" s="103" t="s">
        <v>4549</v>
      </c>
      <c r="C67" s="103" t="s">
        <v>4550</v>
      </c>
      <c r="D67" s="103" t="s">
        <v>4551</v>
      </c>
      <c r="E67" s="103" t="s">
        <v>4552</v>
      </c>
      <c r="F67" s="500" t="s">
        <v>4553</v>
      </c>
      <c r="G67" s="103">
        <v>8.0</v>
      </c>
      <c r="H67" s="103" t="s">
        <v>2816</v>
      </c>
      <c r="I67" s="174">
        <v>46204.0</v>
      </c>
      <c r="J67" s="104"/>
      <c r="K67" s="197">
        <v>181.0</v>
      </c>
      <c r="L67" s="480">
        <v>12.0</v>
      </c>
      <c r="M67" s="175">
        <f t="shared" ref="M67:M68" si="9">K67*12</f>
        <v>2172</v>
      </c>
      <c r="N67" s="137" t="s">
        <v>28</v>
      </c>
      <c r="O67" s="137" t="s">
        <v>29</v>
      </c>
      <c r="P67" s="137"/>
      <c r="Q67" s="104"/>
      <c r="R67" s="137" t="s">
        <v>73</v>
      </c>
      <c r="S67" s="137" t="s">
        <v>148</v>
      </c>
      <c r="T67" s="626" t="s">
        <v>4554</v>
      </c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</row>
    <row r="68">
      <c r="A68" s="12">
        <v>64.0</v>
      </c>
      <c r="B68" s="103" t="s">
        <v>4555</v>
      </c>
      <c r="C68" s="103" t="s">
        <v>4556</v>
      </c>
      <c r="D68" s="103" t="s">
        <v>719</v>
      </c>
      <c r="E68" s="103" t="s">
        <v>4557</v>
      </c>
      <c r="F68" s="103" t="s">
        <v>4558</v>
      </c>
      <c r="G68" s="103">
        <v>4.0</v>
      </c>
      <c r="H68" s="103" t="s">
        <v>2816</v>
      </c>
      <c r="I68" s="174">
        <v>46204.0</v>
      </c>
      <c r="J68" s="174">
        <v>46204.0</v>
      </c>
      <c r="K68" s="197">
        <v>157.0</v>
      </c>
      <c r="L68" s="480">
        <v>12.0</v>
      </c>
      <c r="M68" s="175">
        <f t="shared" si="9"/>
        <v>1884</v>
      </c>
      <c r="N68" s="137" t="s">
        <v>71</v>
      </c>
      <c r="O68" s="137" t="s">
        <v>29</v>
      </c>
      <c r="P68" s="137" t="s">
        <v>72</v>
      </c>
      <c r="Q68" s="103">
        <v>3395.0</v>
      </c>
      <c r="R68" s="137" t="s">
        <v>41</v>
      </c>
      <c r="S68" s="137" t="s">
        <v>148</v>
      </c>
      <c r="T68" s="663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</row>
    <row r="69">
      <c r="A69" s="12">
        <v>65.0</v>
      </c>
      <c r="B69" s="103" t="s">
        <v>4559</v>
      </c>
      <c r="C69" s="103" t="s">
        <v>4560</v>
      </c>
      <c r="D69" s="103" t="s">
        <v>4561</v>
      </c>
      <c r="E69" s="103" t="s">
        <v>4562</v>
      </c>
      <c r="F69" s="500" t="s">
        <v>4563</v>
      </c>
      <c r="G69" s="103">
        <v>40.0</v>
      </c>
      <c r="H69" s="103" t="s">
        <v>154</v>
      </c>
      <c r="I69" s="174">
        <v>46204.0</v>
      </c>
      <c r="J69" s="104"/>
      <c r="K69" s="197" t="s">
        <v>57</v>
      </c>
      <c r="L69" s="480">
        <v>1.0</v>
      </c>
      <c r="M69" s="197">
        <v>800.0</v>
      </c>
      <c r="N69" s="137" t="s">
        <v>58</v>
      </c>
      <c r="O69" s="137" t="s">
        <v>29</v>
      </c>
      <c r="P69" s="137"/>
      <c r="Q69" s="104"/>
      <c r="R69" s="137" t="s">
        <v>73</v>
      </c>
      <c r="S69" s="137" t="s">
        <v>148</v>
      </c>
      <c r="T69" s="626" t="s">
        <v>4564</v>
      </c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</row>
    <row r="70">
      <c r="A70" s="12">
        <v>66.0</v>
      </c>
      <c r="B70" s="787" t="s">
        <v>4565</v>
      </c>
      <c r="C70" s="103" t="s">
        <v>4566</v>
      </c>
      <c r="D70" s="103" t="s">
        <v>4567</v>
      </c>
      <c r="E70" s="123" t="s">
        <v>1492</v>
      </c>
      <c r="F70" s="103" t="s">
        <v>1493</v>
      </c>
      <c r="G70" s="103">
        <v>6.0</v>
      </c>
      <c r="H70" s="103" t="s">
        <v>2816</v>
      </c>
      <c r="I70" s="174">
        <v>46204.0</v>
      </c>
      <c r="J70" s="174">
        <v>46204.0</v>
      </c>
      <c r="K70" s="197">
        <v>169.0</v>
      </c>
      <c r="L70" s="480">
        <v>12.0</v>
      </c>
      <c r="M70" s="175">
        <f t="shared" ref="M70:M71" si="10">K70*12</f>
        <v>2028</v>
      </c>
      <c r="N70" s="137" t="s">
        <v>71</v>
      </c>
      <c r="O70" s="137" t="s">
        <v>29</v>
      </c>
      <c r="P70" s="137" t="s">
        <v>72</v>
      </c>
      <c r="Q70" s="103">
        <v>3397.0</v>
      </c>
      <c r="R70" s="137" t="s">
        <v>41</v>
      </c>
      <c r="S70" s="137" t="s">
        <v>148</v>
      </c>
      <c r="T70" s="663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</row>
    <row r="71">
      <c r="A71" s="12">
        <v>67.0</v>
      </c>
      <c r="B71" s="103" t="s">
        <v>4568</v>
      </c>
      <c r="C71" s="103" t="s">
        <v>4569</v>
      </c>
      <c r="D71" s="103" t="s">
        <v>4570</v>
      </c>
      <c r="E71" s="103" t="s">
        <v>4571</v>
      </c>
      <c r="F71" s="103" t="s">
        <v>4572</v>
      </c>
      <c r="G71" s="103">
        <v>2.0</v>
      </c>
      <c r="H71" s="103" t="s">
        <v>3755</v>
      </c>
      <c r="I71" s="174">
        <v>46204.0</v>
      </c>
      <c r="J71" s="174">
        <v>46205.0</v>
      </c>
      <c r="K71" s="197">
        <v>145.0</v>
      </c>
      <c r="L71" s="480">
        <v>12.0</v>
      </c>
      <c r="M71" s="175">
        <f t="shared" si="10"/>
        <v>1740</v>
      </c>
      <c r="N71" s="137" t="s">
        <v>71</v>
      </c>
      <c r="O71" s="137" t="s">
        <v>91</v>
      </c>
      <c r="P71" s="137" t="s">
        <v>72</v>
      </c>
      <c r="Q71" s="103">
        <v>3400.0</v>
      </c>
      <c r="R71" s="137" t="s">
        <v>233</v>
      </c>
      <c r="S71" s="137" t="s">
        <v>2208</v>
      </c>
      <c r="T71" s="663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</row>
    <row r="72">
      <c r="A72" s="12">
        <v>68.0</v>
      </c>
      <c r="B72" s="97" t="s">
        <v>4573</v>
      </c>
      <c r="C72" s="103" t="s">
        <v>4574</v>
      </c>
      <c r="D72" s="97" t="s">
        <v>4575</v>
      </c>
      <c r="E72" s="181" t="s">
        <v>4576</v>
      </c>
      <c r="F72" s="103" t="s">
        <v>4577</v>
      </c>
      <c r="G72" s="97">
        <v>1.0</v>
      </c>
      <c r="H72" s="97" t="s">
        <v>4578</v>
      </c>
      <c r="I72" s="298">
        <v>46204.0</v>
      </c>
      <c r="J72" s="298">
        <v>46205.0</v>
      </c>
      <c r="K72" s="102" t="s">
        <v>211</v>
      </c>
      <c r="L72" s="479">
        <v>1.0</v>
      </c>
      <c r="M72" s="102">
        <v>1150.0</v>
      </c>
      <c r="N72" s="161" t="s">
        <v>71</v>
      </c>
      <c r="O72" s="161" t="s">
        <v>91</v>
      </c>
      <c r="P72" s="161" t="s">
        <v>72</v>
      </c>
      <c r="Q72" s="97">
        <v>3401.0</v>
      </c>
      <c r="R72" s="161" t="s">
        <v>98</v>
      </c>
      <c r="S72" s="161" t="s">
        <v>2208</v>
      </c>
      <c r="T72" s="607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</row>
    <row r="73">
      <c r="A73" s="12">
        <v>69.0</v>
      </c>
      <c r="B73" s="487" t="s">
        <v>4579</v>
      </c>
      <c r="C73" s="103" t="s">
        <v>4580</v>
      </c>
      <c r="D73" s="97" t="s">
        <v>4581</v>
      </c>
      <c r="E73" s="97" t="s">
        <v>4582</v>
      </c>
      <c r="F73" s="196" t="s">
        <v>4583</v>
      </c>
      <c r="G73" s="97">
        <v>1.0</v>
      </c>
      <c r="H73" s="97" t="s">
        <v>459</v>
      </c>
      <c r="I73" s="298">
        <v>46205.0</v>
      </c>
      <c r="J73" s="298">
        <v>46205.0</v>
      </c>
      <c r="K73" s="102">
        <v>250.0</v>
      </c>
      <c r="L73" s="479">
        <v>4.0</v>
      </c>
      <c r="M73" s="111">
        <f>K73*4</f>
        <v>1000</v>
      </c>
      <c r="N73" s="112" t="s">
        <v>71</v>
      </c>
      <c r="O73" s="112" t="s">
        <v>29</v>
      </c>
      <c r="P73" s="112" t="s">
        <v>72</v>
      </c>
      <c r="Q73" s="97">
        <v>3408.0</v>
      </c>
      <c r="R73" s="112" t="s">
        <v>233</v>
      </c>
      <c r="S73" s="112" t="s">
        <v>148</v>
      </c>
      <c r="T73" s="614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</row>
    <row r="74">
      <c r="A74" s="12">
        <v>70.0</v>
      </c>
      <c r="B74" s="97" t="s">
        <v>4584</v>
      </c>
      <c r="C74" s="103" t="s">
        <v>4585</v>
      </c>
      <c r="D74" s="97" t="s">
        <v>4586</v>
      </c>
      <c r="E74" s="182" t="s">
        <v>4587</v>
      </c>
      <c r="F74" s="182" t="s">
        <v>4588</v>
      </c>
      <c r="G74" s="97">
        <v>1.0</v>
      </c>
      <c r="H74" s="103" t="s">
        <v>711</v>
      </c>
      <c r="I74" s="298">
        <v>46205.0</v>
      </c>
      <c r="J74" s="298">
        <v>46209.0</v>
      </c>
      <c r="K74" s="102">
        <v>166.66</v>
      </c>
      <c r="L74" s="479">
        <v>3.0</v>
      </c>
      <c r="M74" s="102">
        <v>500.0</v>
      </c>
      <c r="N74" s="161" t="s">
        <v>71</v>
      </c>
      <c r="O74" s="161" t="s">
        <v>91</v>
      </c>
      <c r="P74" s="161" t="s">
        <v>72</v>
      </c>
      <c r="Q74" s="97">
        <v>3419.0</v>
      </c>
      <c r="R74" s="161" t="s">
        <v>73</v>
      </c>
      <c r="S74" s="161" t="s">
        <v>4407</v>
      </c>
      <c r="T74" s="607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</row>
    <row r="75">
      <c r="A75" s="12">
        <v>71.0</v>
      </c>
      <c r="B75" s="97" t="s">
        <v>4589</v>
      </c>
      <c r="C75" s="103" t="s">
        <v>4590</v>
      </c>
      <c r="D75" s="97" t="s">
        <v>4591</v>
      </c>
      <c r="E75" s="181">
        <v>1.132976857E9</v>
      </c>
      <c r="F75" s="103" t="s">
        <v>4592</v>
      </c>
      <c r="G75" s="97">
        <v>20.0</v>
      </c>
      <c r="H75" s="103" t="s">
        <v>711</v>
      </c>
      <c r="I75" s="298">
        <v>46205.0</v>
      </c>
      <c r="J75" s="298">
        <v>46205.0</v>
      </c>
      <c r="K75" s="102" t="s">
        <v>57</v>
      </c>
      <c r="L75" s="479">
        <v>1.0</v>
      </c>
      <c r="M75" s="102">
        <v>600.0</v>
      </c>
      <c r="N75" s="161" t="s">
        <v>71</v>
      </c>
      <c r="O75" s="161" t="s">
        <v>91</v>
      </c>
      <c r="P75" s="161" t="s">
        <v>72</v>
      </c>
      <c r="Q75" s="97">
        <v>3402.0</v>
      </c>
      <c r="R75" s="161" t="s">
        <v>73</v>
      </c>
      <c r="S75" s="161" t="s">
        <v>599</v>
      </c>
      <c r="T75" s="607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</row>
    <row r="76">
      <c r="A76" s="12">
        <v>72.0</v>
      </c>
      <c r="B76" s="97" t="s">
        <v>4593</v>
      </c>
      <c r="C76" s="103" t="s">
        <v>4594</v>
      </c>
      <c r="D76" s="97" t="s">
        <v>4595</v>
      </c>
      <c r="E76" s="181" t="s">
        <v>4596</v>
      </c>
      <c r="F76" s="103" t="s">
        <v>4597</v>
      </c>
      <c r="G76" s="97" t="s">
        <v>26</v>
      </c>
      <c r="H76" s="103" t="s">
        <v>711</v>
      </c>
      <c r="I76" s="298">
        <v>46204.0</v>
      </c>
      <c r="J76" s="298">
        <v>46206.0</v>
      </c>
      <c r="K76" s="102">
        <v>233.33</v>
      </c>
      <c r="L76" s="479">
        <v>3.0</v>
      </c>
      <c r="M76" s="102">
        <v>700.0</v>
      </c>
      <c r="N76" s="161" t="s">
        <v>71</v>
      </c>
      <c r="O76" s="161" t="s">
        <v>91</v>
      </c>
      <c r="P76" s="161" t="s">
        <v>72</v>
      </c>
      <c r="Q76" s="97">
        <v>3421.0</v>
      </c>
      <c r="R76" s="161" t="s">
        <v>73</v>
      </c>
      <c r="S76" s="161" t="s">
        <v>110</v>
      </c>
      <c r="T76" s="607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</row>
    <row r="77">
      <c r="A77" s="12">
        <v>73.0</v>
      </c>
      <c r="B77" s="487" t="s">
        <v>4579</v>
      </c>
      <c r="C77" s="103" t="s">
        <v>4580</v>
      </c>
      <c r="D77" s="97" t="s">
        <v>4581</v>
      </c>
      <c r="E77" s="97" t="s">
        <v>4582</v>
      </c>
      <c r="F77" s="196" t="s">
        <v>4598</v>
      </c>
      <c r="G77" s="97">
        <v>1.0</v>
      </c>
      <c r="H77" s="97" t="s">
        <v>4599</v>
      </c>
      <c r="I77" s="298">
        <v>46205.0</v>
      </c>
      <c r="J77" s="298">
        <v>46205.0</v>
      </c>
      <c r="K77" s="102">
        <v>400.0</v>
      </c>
      <c r="L77" s="479">
        <v>2.0</v>
      </c>
      <c r="M77" s="111">
        <v>800.0</v>
      </c>
      <c r="N77" s="112" t="s">
        <v>71</v>
      </c>
      <c r="O77" s="112" t="s">
        <v>29</v>
      </c>
      <c r="P77" s="112" t="s">
        <v>72</v>
      </c>
      <c r="Q77" s="97">
        <v>3408.0</v>
      </c>
      <c r="R77" s="112" t="s">
        <v>73</v>
      </c>
      <c r="S77" s="112" t="s">
        <v>148</v>
      </c>
      <c r="T77" s="614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</row>
    <row r="78">
      <c r="A78" s="12">
        <v>74.0</v>
      </c>
      <c r="B78" s="97" t="s">
        <v>2854</v>
      </c>
      <c r="C78" s="103" t="s">
        <v>2855</v>
      </c>
      <c r="D78" s="97" t="s">
        <v>2856</v>
      </c>
      <c r="E78" s="182" t="s">
        <v>4600</v>
      </c>
      <c r="F78" s="182" t="s">
        <v>2858</v>
      </c>
      <c r="G78" s="97">
        <v>100.0</v>
      </c>
      <c r="H78" s="97" t="s">
        <v>4601</v>
      </c>
      <c r="I78" s="298">
        <v>46205.0</v>
      </c>
      <c r="J78" s="298">
        <v>46206.0</v>
      </c>
      <c r="K78" s="102" t="s">
        <v>57</v>
      </c>
      <c r="L78" s="479">
        <v>1.0</v>
      </c>
      <c r="M78" s="102">
        <v>2600.0</v>
      </c>
      <c r="N78" s="161" t="s">
        <v>71</v>
      </c>
      <c r="O78" s="161" t="s">
        <v>29</v>
      </c>
      <c r="P78" s="161" t="s">
        <v>72</v>
      </c>
      <c r="Q78" s="81">
        <v>3409.0</v>
      </c>
      <c r="R78" s="161" t="s">
        <v>73</v>
      </c>
      <c r="S78" s="161" t="s">
        <v>148</v>
      </c>
      <c r="T78" s="607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</row>
    <row r="79">
      <c r="A79" s="12">
        <v>75.0</v>
      </c>
      <c r="B79" s="97" t="s">
        <v>4602</v>
      </c>
      <c r="C79" s="103" t="s">
        <v>4603</v>
      </c>
      <c r="D79" s="97" t="s">
        <v>4604</v>
      </c>
      <c r="E79" s="181" t="s">
        <v>4605</v>
      </c>
      <c r="F79" s="103" t="s">
        <v>4606</v>
      </c>
      <c r="G79" s="97">
        <v>3.0</v>
      </c>
      <c r="H79" s="103" t="s">
        <v>711</v>
      </c>
      <c r="I79" s="298">
        <v>46206.0</v>
      </c>
      <c r="J79" s="298">
        <v>46206.0</v>
      </c>
      <c r="K79" s="102">
        <v>300.0</v>
      </c>
      <c r="L79" s="479">
        <v>2.0</v>
      </c>
      <c r="M79" s="102">
        <v>600.0</v>
      </c>
      <c r="N79" s="161" t="s">
        <v>71</v>
      </c>
      <c r="O79" s="161" t="s">
        <v>91</v>
      </c>
      <c r="P79" s="161" t="s">
        <v>72</v>
      </c>
      <c r="Q79" s="81">
        <v>3410.0</v>
      </c>
      <c r="R79" s="161" t="s">
        <v>41</v>
      </c>
      <c r="S79" s="161" t="s">
        <v>4407</v>
      </c>
      <c r="T79" s="607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</row>
    <row r="80">
      <c r="A80" s="12">
        <v>76.0</v>
      </c>
      <c r="B80" s="106" t="s">
        <v>4607</v>
      </c>
      <c r="C80" s="103" t="s">
        <v>1213</v>
      </c>
      <c r="D80" s="106" t="s">
        <v>4608</v>
      </c>
      <c r="E80" s="106" t="s">
        <v>4609</v>
      </c>
      <c r="F80" s="303" t="s">
        <v>4610</v>
      </c>
      <c r="G80" s="106">
        <v>1.0</v>
      </c>
      <c r="H80" s="106" t="s">
        <v>4611</v>
      </c>
      <c r="I80" s="108">
        <v>46206.0</v>
      </c>
      <c r="J80" s="317">
        <v>46209.0</v>
      </c>
      <c r="K80" s="102" t="s">
        <v>57</v>
      </c>
      <c r="L80" s="467">
        <v>1.0</v>
      </c>
      <c r="M80" s="125">
        <v>500.0</v>
      </c>
      <c r="N80" s="86" t="s">
        <v>71</v>
      </c>
      <c r="O80" s="86" t="s">
        <v>29</v>
      </c>
      <c r="P80" s="86" t="s">
        <v>72</v>
      </c>
      <c r="Q80" s="120">
        <v>3412.0</v>
      </c>
      <c r="R80" s="86" t="s">
        <v>73</v>
      </c>
      <c r="S80" s="86" t="s">
        <v>31</v>
      </c>
      <c r="T80" s="235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</row>
    <row r="81">
      <c r="A81" s="12">
        <v>77.0</v>
      </c>
      <c r="B81" s="106" t="s">
        <v>4612</v>
      </c>
      <c r="C81" s="106" t="s">
        <v>4613</v>
      </c>
      <c r="D81" s="106" t="s">
        <v>4614</v>
      </c>
      <c r="E81" s="106" t="s">
        <v>4615</v>
      </c>
      <c r="F81" s="106" t="s">
        <v>4616</v>
      </c>
      <c r="G81" s="106" t="s">
        <v>399</v>
      </c>
      <c r="H81" s="106" t="s">
        <v>4617</v>
      </c>
      <c r="I81" s="108">
        <v>46206.0</v>
      </c>
      <c r="J81" s="106"/>
      <c r="K81" s="89">
        <v>0.0</v>
      </c>
      <c r="L81" s="467" t="s">
        <v>399</v>
      </c>
      <c r="M81" s="89">
        <v>0.0</v>
      </c>
      <c r="N81" s="86" t="s">
        <v>58</v>
      </c>
      <c r="O81" s="86" t="s">
        <v>29</v>
      </c>
      <c r="P81" s="86" t="s">
        <v>40</v>
      </c>
      <c r="Q81" s="106"/>
      <c r="R81" s="86" t="s">
        <v>73</v>
      </c>
      <c r="S81" s="86" t="s">
        <v>31</v>
      </c>
      <c r="T81" s="235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</row>
    <row r="82">
      <c r="A82" s="12">
        <v>78.0</v>
      </c>
      <c r="B82" s="106" t="s">
        <v>1212</v>
      </c>
      <c r="C82" s="103" t="s">
        <v>1213</v>
      </c>
      <c r="D82" s="106" t="s">
        <v>2483</v>
      </c>
      <c r="E82" s="106" t="s">
        <v>4609</v>
      </c>
      <c r="F82" s="303" t="s">
        <v>2485</v>
      </c>
      <c r="G82" s="106">
        <v>54.0</v>
      </c>
      <c r="H82" s="103" t="s">
        <v>711</v>
      </c>
      <c r="I82" s="108">
        <v>46206.0</v>
      </c>
      <c r="J82" s="317">
        <v>46209.0</v>
      </c>
      <c r="K82" s="102" t="s">
        <v>57</v>
      </c>
      <c r="L82" s="467">
        <v>1.0</v>
      </c>
      <c r="M82" s="125">
        <v>2000.0</v>
      </c>
      <c r="N82" s="120" t="s">
        <v>71</v>
      </c>
      <c r="O82" s="86" t="s">
        <v>29</v>
      </c>
      <c r="P82" s="120" t="s">
        <v>72</v>
      </c>
      <c r="Q82" s="788">
        <v>3440.0</v>
      </c>
      <c r="R82" s="86" t="s">
        <v>73</v>
      </c>
      <c r="S82" s="86" t="s">
        <v>31</v>
      </c>
      <c r="T82" s="789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</row>
    <row r="83">
      <c r="A83" s="12">
        <v>79.0</v>
      </c>
      <c r="B83" s="106" t="s">
        <v>4618</v>
      </c>
      <c r="C83" s="103" t="s">
        <v>4619</v>
      </c>
      <c r="D83" s="106" t="s">
        <v>4620</v>
      </c>
      <c r="E83" s="106" t="s">
        <v>4621</v>
      </c>
      <c r="F83" s="303" t="s">
        <v>4622</v>
      </c>
      <c r="G83" s="106">
        <v>1.0</v>
      </c>
      <c r="H83" s="120" t="s">
        <v>4623</v>
      </c>
      <c r="I83" s="108">
        <v>46206.0</v>
      </c>
      <c r="J83" s="317">
        <v>46209.0</v>
      </c>
      <c r="K83" s="102" t="s">
        <v>57</v>
      </c>
      <c r="L83" s="467">
        <v>1.0</v>
      </c>
      <c r="M83" s="125">
        <v>500.0</v>
      </c>
      <c r="N83" s="120" t="s">
        <v>71</v>
      </c>
      <c r="O83" s="86" t="s">
        <v>29</v>
      </c>
      <c r="P83" s="120" t="s">
        <v>72</v>
      </c>
      <c r="Q83" s="120">
        <v>3413.0</v>
      </c>
      <c r="R83" s="86" t="s">
        <v>73</v>
      </c>
      <c r="S83" s="86" t="s">
        <v>31</v>
      </c>
      <c r="T83" s="235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</row>
    <row r="84">
      <c r="A84" s="12">
        <v>80.0</v>
      </c>
      <c r="B84" s="787" t="s">
        <v>4624</v>
      </c>
      <c r="C84" s="787" t="s">
        <v>4625</v>
      </c>
      <c r="D84" s="103" t="s">
        <v>4626</v>
      </c>
      <c r="E84" s="182" t="s">
        <v>4627</v>
      </c>
      <c r="F84" s="196" t="s">
        <v>4628</v>
      </c>
      <c r="G84" s="103">
        <v>22.0</v>
      </c>
      <c r="H84" s="185" t="s">
        <v>2816</v>
      </c>
      <c r="I84" s="174">
        <v>46209.0</v>
      </c>
      <c r="J84" s="174"/>
      <c r="K84" s="197">
        <v>319.0</v>
      </c>
      <c r="L84" s="480">
        <v>12.0</v>
      </c>
      <c r="M84" s="197">
        <f>K84*12</f>
        <v>3828</v>
      </c>
      <c r="N84" s="185" t="s">
        <v>58</v>
      </c>
      <c r="O84" s="185" t="s">
        <v>29</v>
      </c>
      <c r="P84" s="185" t="s">
        <v>40</v>
      </c>
      <c r="Q84" s="185"/>
      <c r="R84" s="185" t="s">
        <v>41</v>
      </c>
      <c r="S84" s="185" t="s">
        <v>148</v>
      </c>
      <c r="T84" s="790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</row>
    <row r="85">
      <c r="A85" s="12">
        <v>81.0</v>
      </c>
      <c r="B85" s="97" t="s">
        <v>4629</v>
      </c>
      <c r="C85" s="103" t="s">
        <v>4630</v>
      </c>
      <c r="D85" s="97" t="s">
        <v>4631</v>
      </c>
      <c r="E85" s="181" t="s">
        <v>4632</v>
      </c>
      <c r="F85" s="103" t="s">
        <v>4633</v>
      </c>
      <c r="G85" s="97">
        <v>3.0</v>
      </c>
      <c r="H85" s="120" t="s">
        <v>3744</v>
      </c>
      <c r="I85" s="298">
        <v>46204.0</v>
      </c>
      <c r="J85" s="298">
        <v>46209.0</v>
      </c>
      <c r="K85" s="102">
        <v>151.0</v>
      </c>
      <c r="L85" s="479">
        <v>12.0</v>
      </c>
      <c r="M85" s="102">
        <f>K85*L85</f>
        <v>1812</v>
      </c>
      <c r="N85" s="161" t="s">
        <v>71</v>
      </c>
      <c r="O85" s="161" t="s">
        <v>29</v>
      </c>
      <c r="P85" s="161" t="s">
        <v>72</v>
      </c>
      <c r="Q85" s="161">
        <v>3420.0</v>
      </c>
      <c r="R85" s="161" t="s">
        <v>41</v>
      </c>
      <c r="S85" s="161" t="s">
        <v>2208</v>
      </c>
      <c r="T85" s="79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</row>
    <row r="86">
      <c r="A86" s="12">
        <v>82.0</v>
      </c>
      <c r="B86" s="787" t="s">
        <v>4634</v>
      </c>
      <c r="C86" s="103" t="s">
        <v>4635</v>
      </c>
      <c r="D86" s="103" t="s">
        <v>4636</v>
      </c>
      <c r="E86" s="182" t="s">
        <v>4637</v>
      </c>
      <c r="F86" s="103" t="s">
        <v>4638</v>
      </c>
      <c r="G86" s="103" t="s">
        <v>26</v>
      </c>
      <c r="H86" s="185" t="s">
        <v>1604</v>
      </c>
      <c r="I86" s="174">
        <v>46209.0</v>
      </c>
      <c r="J86" s="174"/>
      <c r="K86" s="197" t="s">
        <v>57</v>
      </c>
      <c r="L86" s="480">
        <v>1.0</v>
      </c>
      <c r="M86" s="197">
        <v>4812.5</v>
      </c>
      <c r="N86" s="185" t="s">
        <v>58</v>
      </c>
      <c r="O86" s="185" t="s">
        <v>29</v>
      </c>
      <c r="P86" s="185" t="s">
        <v>40</v>
      </c>
      <c r="Q86" s="185"/>
      <c r="R86" s="185" t="s">
        <v>73</v>
      </c>
      <c r="S86" s="185" t="s">
        <v>148</v>
      </c>
      <c r="T86" s="790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</row>
    <row r="87">
      <c r="A87" s="12">
        <v>83.0</v>
      </c>
      <c r="B87" s="787" t="s">
        <v>4639</v>
      </c>
      <c r="C87" s="787" t="s">
        <v>4640</v>
      </c>
      <c r="D87" s="103" t="s">
        <v>4641</v>
      </c>
      <c r="E87" s="182" t="s">
        <v>4642</v>
      </c>
      <c r="F87" s="103" t="s">
        <v>4643</v>
      </c>
      <c r="G87" s="103">
        <v>19.0</v>
      </c>
      <c r="H87" s="103" t="s">
        <v>2816</v>
      </c>
      <c r="I87" s="174">
        <v>46209.0</v>
      </c>
      <c r="J87" s="174"/>
      <c r="K87" s="197">
        <v>279.0</v>
      </c>
      <c r="L87" s="480">
        <v>12.0</v>
      </c>
      <c r="M87" s="197">
        <f>K87*12</f>
        <v>3348</v>
      </c>
      <c r="N87" s="185" t="s">
        <v>58</v>
      </c>
      <c r="O87" s="185" t="s">
        <v>29</v>
      </c>
      <c r="P87" s="185" t="s">
        <v>40</v>
      </c>
      <c r="Q87" s="185"/>
      <c r="R87" s="185" t="s">
        <v>41</v>
      </c>
      <c r="S87" s="185" t="s">
        <v>148</v>
      </c>
      <c r="T87" s="792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</row>
    <row r="88">
      <c r="A88" s="12">
        <v>84.0</v>
      </c>
      <c r="B88" s="97" t="s">
        <v>4644</v>
      </c>
      <c r="C88" s="103" t="s">
        <v>4645</v>
      </c>
      <c r="D88" s="793" t="s">
        <v>4646</v>
      </c>
      <c r="E88" s="794" t="s">
        <v>4647</v>
      </c>
      <c r="F88" s="196" t="s">
        <v>4648</v>
      </c>
      <c r="G88" s="103">
        <v>4.0</v>
      </c>
      <c r="H88" s="304" t="s">
        <v>4649</v>
      </c>
      <c r="I88" s="174">
        <v>46210.0</v>
      </c>
      <c r="J88" s="174">
        <v>46210.0</v>
      </c>
      <c r="K88" s="128" t="s">
        <v>57</v>
      </c>
      <c r="L88" s="480">
        <v>1.0</v>
      </c>
      <c r="M88" s="128">
        <v>1550.0</v>
      </c>
      <c r="N88" s="185" t="s">
        <v>71</v>
      </c>
      <c r="O88" s="185" t="s">
        <v>29</v>
      </c>
      <c r="P88" s="185" t="s">
        <v>72</v>
      </c>
      <c r="Q88" s="185">
        <v>3424.0</v>
      </c>
      <c r="R88" s="185" t="s">
        <v>233</v>
      </c>
      <c r="S88" s="304" t="s">
        <v>129</v>
      </c>
      <c r="T88" s="626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</row>
    <row r="89">
      <c r="A89" s="12">
        <v>85.0</v>
      </c>
      <c r="B89" s="97" t="s">
        <v>4650</v>
      </c>
      <c r="C89" s="795" t="s">
        <v>4651</v>
      </c>
      <c r="D89" s="795" t="s">
        <v>4650</v>
      </c>
      <c r="E89" s="795" t="s">
        <v>4652</v>
      </c>
      <c r="F89" s="796" t="s">
        <v>4653</v>
      </c>
      <c r="G89" s="97">
        <v>7.0</v>
      </c>
      <c r="H89" s="103" t="s">
        <v>711</v>
      </c>
      <c r="I89" s="298">
        <v>46210.0</v>
      </c>
      <c r="J89" s="298">
        <v>46216.0</v>
      </c>
      <c r="K89" s="102" t="s">
        <v>4462</v>
      </c>
      <c r="L89" s="479">
        <v>1.0</v>
      </c>
      <c r="M89" s="102">
        <v>600.0</v>
      </c>
      <c r="N89" s="161" t="s">
        <v>71</v>
      </c>
      <c r="O89" s="161" t="s">
        <v>91</v>
      </c>
      <c r="P89" s="161" t="s">
        <v>72</v>
      </c>
      <c r="Q89" s="161">
        <v>3451.0</v>
      </c>
      <c r="R89" s="161" t="s">
        <v>73</v>
      </c>
      <c r="S89" s="161" t="s">
        <v>4407</v>
      </c>
      <c r="T89" s="79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</row>
    <row r="90">
      <c r="A90" s="12">
        <v>86.0</v>
      </c>
      <c r="B90" s="795" t="s">
        <v>4654</v>
      </c>
      <c r="C90" s="103" t="s">
        <v>4619</v>
      </c>
      <c r="D90" s="795" t="s">
        <v>4655</v>
      </c>
      <c r="E90" s="795" t="s">
        <v>4656</v>
      </c>
      <c r="F90" s="797" t="s">
        <v>4657</v>
      </c>
      <c r="G90" s="97">
        <v>26.0</v>
      </c>
      <c r="H90" s="103" t="s">
        <v>711</v>
      </c>
      <c r="I90" s="298">
        <v>46210.0</v>
      </c>
      <c r="J90" s="298">
        <v>46210.0</v>
      </c>
      <c r="K90" s="102" t="s">
        <v>4406</v>
      </c>
      <c r="L90" s="479">
        <v>3.0</v>
      </c>
      <c r="M90" s="102">
        <v>1000.0</v>
      </c>
      <c r="N90" s="161" t="s">
        <v>71</v>
      </c>
      <c r="O90" s="161" t="s">
        <v>91</v>
      </c>
      <c r="P90" s="161" t="s">
        <v>72</v>
      </c>
      <c r="Q90" s="161">
        <v>3447.0</v>
      </c>
      <c r="R90" s="137" t="s">
        <v>41</v>
      </c>
      <c r="S90" s="161" t="s">
        <v>4407</v>
      </c>
      <c r="T90" s="607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</row>
    <row r="91">
      <c r="A91" s="12">
        <v>87.0</v>
      </c>
      <c r="B91" s="795" t="s">
        <v>4658</v>
      </c>
      <c r="C91" s="795" t="s">
        <v>4659</v>
      </c>
      <c r="D91" s="795" t="s">
        <v>4660</v>
      </c>
      <c r="E91" s="181" t="s">
        <v>4656</v>
      </c>
      <c r="F91" s="97" t="s">
        <v>4657</v>
      </c>
      <c r="G91" s="97">
        <v>12.0</v>
      </c>
      <c r="H91" s="103" t="s">
        <v>711</v>
      </c>
      <c r="I91" s="298">
        <v>46210.0</v>
      </c>
      <c r="J91" s="298">
        <v>46216.0</v>
      </c>
      <c r="K91" s="102" t="s">
        <v>4406</v>
      </c>
      <c r="L91" s="479">
        <v>3.0</v>
      </c>
      <c r="M91" s="102">
        <v>1000.0</v>
      </c>
      <c r="N91" s="161" t="s">
        <v>71</v>
      </c>
      <c r="O91" s="161" t="s">
        <v>91</v>
      </c>
      <c r="P91" s="161" t="s">
        <v>72</v>
      </c>
      <c r="Q91" s="161">
        <v>3450.0</v>
      </c>
      <c r="R91" s="161" t="s">
        <v>41</v>
      </c>
      <c r="S91" s="161" t="s">
        <v>4407</v>
      </c>
      <c r="T91" s="607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</row>
    <row r="92">
      <c r="A92" s="12">
        <v>88.0</v>
      </c>
      <c r="B92" s="97" t="s">
        <v>4661</v>
      </c>
      <c r="C92" s="97" t="s">
        <v>4662</v>
      </c>
      <c r="D92" s="97" t="s">
        <v>4663</v>
      </c>
      <c r="E92" s="181" t="s">
        <v>4664</v>
      </c>
      <c r="F92" s="97" t="s">
        <v>4665</v>
      </c>
      <c r="G92" s="97" t="s">
        <v>26</v>
      </c>
      <c r="H92" s="103" t="s">
        <v>711</v>
      </c>
      <c r="I92" s="298">
        <v>46210.0</v>
      </c>
      <c r="J92" s="298">
        <v>46210.0</v>
      </c>
      <c r="K92" s="102">
        <v>250.0</v>
      </c>
      <c r="L92" s="479">
        <v>4.0</v>
      </c>
      <c r="M92" s="102">
        <f>K92*4</f>
        <v>1000</v>
      </c>
      <c r="N92" s="161" t="s">
        <v>71</v>
      </c>
      <c r="O92" s="161" t="s">
        <v>91</v>
      </c>
      <c r="P92" s="161" t="s">
        <v>72</v>
      </c>
      <c r="Q92" s="161">
        <v>3425.0</v>
      </c>
      <c r="R92" s="161" t="s">
        <v>41</v>
      </c>
      <c r="S92" s="161" t="s">
        <v>2208</v>
      </c>
      <c r="T92" s="607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</row>
    <row r="93">
      <c r="A93" s="12">
        <v>89.0</v>
      </c>
      <c r="B93" s="97" t="s">
        <v>4666</v>
      </c>
      <c r="C93" s="123" t="s">
        <v>4667</v>
      </c>
      <c r="D93" s="97" t="s">
        <v>4668</v>
      </c>
      <c r="E93" s="193" t="s">
        <v>4669</v>
      </c>
      <c r="F93" s="97" t="s">
        <v>4670</v>
      </c>
      <c r="G93" s="97">
        <v>15.0</v>
      </c>
      <c r="H93" s="103" t="s">
        <v>2816</v>
      </c>
      <c r="I93" s="298">
        <v>46181.0</v>
      </c>
      <c r="J93" s="298">
        <v>46212.0</v>
      </c>
      <c r="K93" s="102" t="s">
        <v>1268</v>
      </c>
      <c r="L93" s="479">
        <v>1.0</v>
      </c>
      <c r="M93" s="102">
        <v>2855.6</v>
      </c>
      <c r="N93" s="161" t="s">
        <v>71</v>
      </c>
      <c r="O93" s="161" t="s">
        <v>29</v>
      </c>
      <c r="P93" s="161" t="s">
        <v>72</v>
      </c>
      <c r="Q93" s="161">
        <v>3446.0</v>
      </c>
      <c r="R93" s="161" t="s">
        <v>98</v>
      </c>
      <c r="S93" s="161" t="s">
        <v>129</v>
      </c>
      <c r="T93" s="607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</row>
    <row r="94">
      <c r="A94" s="12">
        <v>90.0</v>
      </c>
      <c r="B94" s="97" t="s">
        <v>4671</v>
      </c>
      <c r="C94" s="97" t="s">
        <v>4672</v>
      </c>
      <c r="D94" s="795" t="s">
        <v>4673</v>
      </c>
      <c r="E94" s="795" t="s">
        <v>4674</v>
      </c>
      <c r="F94" s="798" t="s">
        <v>4675</v>
      </c>
      <c r="G94" s="97">
        <v>1.0</v>
      </c>
      <c r="H94" s="103" t="s">
        <v>711</v>
      </c>
      <c r="I94" s="298">
        <v>46211.0</v>
      </c>
      <c r="J94" s="298">
        <v>46211.0</v>
      </c>
      <c r="K94" s="102" t="s">
        <v>344</v>
      </c>
      <c r="L94" s="479">
        <v>1.0</v>
      </c>
      <c r="M94" s="102">
        <v>500.0</v>
      </c>
      <c r="N94" s="161" t="s">
        <v>71</v>
      </c>
      <c r="O94" s="161" t="s">
        <v>91</v>
      </c>
      <c r="P94" s="161" t="s">
        <v>72</v>
      </c>
      <c r="Q94" s="161">
        <v>3449.0</v>
      </c>
      <c r="R94" s="161" t="s">
        <v>73</v>
      </c>
      <c r="S94" s="161" t="s">
        <v>4407</v>
      </c>
      <c r="T94" s="607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</row>
    <row r="95">
      <c r="A95" s="12">
        <v>91.0</v>
      </c>
      <c r="B95" s="97" t="s">
        <v>4676</v>
      </c>
      <c r="C95" s="97" t="s">
        <v>4677</v>
      </c>
      <c r="D95" s="123" t="s">
        <v>4678</v>
      </c>
      <c r="E95" s="181">
        <v>1.12583424E9</v>
      </c>
      <c r="F95" s="97" t="s">
        <v>4679</v>
      </c>
      <c r="G95" s="97">
        <v>3.0</v>
      </c>
      <c r="H95" s="103" t="s">
        <v>711</v>
      </c>
      <c r="I95" s="298">
        <v>46198.0</v>
      </c>
      <c r="J95" s="298">
        <v>46210.0</v>
      </c>
      <c r="K95" s="102">
        <v>250.0</v>
      </c>
      <c r="L95" s="479">
        <v>2.0</v>
      </c>
      <c r="M95" s="102">
        <f t="shared" ref="M95:M96" si="11">K95*2</f>
        <v>500</v>
      </c>
      <c r="N95" s="161" t="s">
        <v>71</v>
      </c>
      <c r="O95" s="161" t="s">
        <v>91</v>
      </c>
      <c r="P95" s="161" t="s">
        <v>72</v>
      </c>
      <c r="Q95" s="161">
        <v>3448.0</v>
      </c>
      <c r="R95" s="161" t="s">
        <v>41</v>
      </c>
      <c r="S95" s="161" t="s">
        <v>599</v>
      </c>
      <c r="T95" s="607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</row>
    <row r="96" ht="14.25" customHeight="1">
      <c r="A96" s="12">
        <v>92.0</v>
      </c>
      <c r="B96" s="123" t="s">
        <v>4680</v>
      </c>
      <c r="C96" s="123" t="s">
        <v>4681</v>
      </c>
      <c r="D96" s="97" t="s">
        <v>4682</v>
      </c>
      <c r="E96" s="123" t="s">
        <v>4683</v>
      </c>
      <c r="F96" s="123" t="s">
        <v>4684</v>
      </c>
      <c r="G96" s="97">
        <v>12.0</v>
      </c>
      <c r="H96" s="103" t="s">
        <v>711</v>
      </c>
      <c r="I96" s="298">
        <v>46210.0</v>
      </c>
      <c r="J96" s="298">
        <v>46211.0</v>
      </c>
      <c r="K96" s="102">
        <v>300.0</v>
      </c>
      <c r="L96" s="479">
        <v>2.0</v>
      </c>
      <c r="M96" s="102">
        <f t="shared" si="11"/>
        <v>600</v>
      </c>
      <c r="N96" s="161" t="s">
        <v>71</v>
      </c>
      <c r="O96" s="161" t="s">
        <v>91</v>
      </c>
      <c r="P96" s="161" t="s">
        <v>72</v>
      </c>
      <c r="Q96" s="161">
        <v>3445.0</v>
      </c>
      <c r="R96" s="161" t="s">
        <v>41</v>
      </c>
      <c r="S96" s="161" t="s">
        <v>599</v>
      </c>
      <c r="T96" s="607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</row>
    <row r="97">
      <c r="A97" s="12">
        <v>93.0</v>
      </c>
      <c r="B97" s="120" t="s">
        <v>4685</v>
      </c>
      <c r="C97" s="120" t="s">
        <v>4686</v>
      </c>
      <c r="D97" s="120" t="s">
        <v>4687</v>
      </c>
      <c r="E97" s="120" t="s">
        <v>4688</v>
      </c>
      <c r="F97" s="120" t="s">
        <v>4689</v>
      </c>
      <c r="G97" s="120">
        <v>4.0</v>
      </c>
      <c r="H97" s="103" t="s">
        <v>2816</v>
      </c>
      <c r="I97" s="317">
        <v>46211.0</v>
      </c>
      <c r="J97" s="317">
        <v>46212.0</v>
      </c>
      <c r="K97" s="197">
        <v>157.0</v>
      </c>
      <c r="L97" s="480">
        <v>12.0</v>
      </c>
      <c r="M97" s="197">
        <f>K97*12</f>
        <v>1884</v>
      </c>
      <c r="N97" s="120" t="s">
        <v>71</v>
      </c>
      <c r="O97" s="120" t="s">
        <v>29</v>
      </c>
      <c r="P97" s="120" t="s">
        <v>72</v>
      </c>
      <c r="Q97" s="120">
        <v>3452.0</v>
      </c>
      <c r="R97" s="120" t="s">
        <v>73</v>
      </c>
      <c r="S97" s="120" t="s">
        <v>31</v>
      </c>
      <c r="T97" s="611" t="s">
        <v>4690</v>
      </c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</row>
    <row r="98">
      <c r="A98" s="12">
        <v>94.0</v>
      </c>
      <c r="B98" s="120" t="s">
        <v>4691</v>
      </c>
      <c r="C98" s="120" t="s">
        <v>4692</v>
      </c>
      <c r="D98" s="120" t="s">
        <v>3813</v>
      </c>
      <c r="E98" s="120" t="s">
        <v>4693</v>
      </c>
      <c r="F98" s="304" t="s">
        <v>4694</v>
      </c>
      <c r="G98" s="120">
        <v>1.0</v>
      </c>
      <c r="H98" s="103" t="s">
        <v>711</v>
      </c>
      <c r="I98" s="317">
        <v>46211.0</v>
      </c>
      <c r="J98" s="317">
        <v>46217.0</v>
      </c>
      <c r="K98" s="125">
        <v>266.67</v>
      </c>
      <c r="L98" s="456" t="s">
        <v>1191</v>
      </c>
      <c r="M98" s="125">
        <v>800.0</v>
      </c>
      <c r="N98" s="120" t="s">
        <v>71</v>
      </c>
      <c r="O98" s="120" t="s">
        <v>91</v>
      </c>
      <c r="P98" s="120" t="s">
        <v>72</v>
      </c>
      <c r="Q98" s="106"/>
      <c r="R98" s="120" t="s">
        <v>41</v>
      </c>
      <c r="S98" s="120" t="s">
        <v>2208</v>
      </c>
      <c r="T98" s="722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</row>
    <row r="99">
      <c r="A99" s="12">
        <v>95.0</v>
      </c>
      <c r="B99" s="316" t="s">
        <v>4695</v>
      </c>
      <c r="C99" s="120" t="s">
        <v>4696</v>
      </c>
      <c r="D99" s="365" t="s">
        <v>4697</v>
      </c>
      <c r="E99" s="120" t="s">
        <v>4669</v>
      </c>
      <c r="F99" s="120" t="s">
        <v>4698</v>
      </c>
      <c r="G99" s="103">
        <v>5.0</v>
      </c>
      <c r="H99" s="103" t="s">
        <v>2816</v>
      </c>
      <c r="I99" s="174">
        <v>46213.0</v>
      </c>
      <c r="J99" s="174"/>
      <c r="K99" s="197">
        <v>163.0</v>
      </c>
      <c r="L99" s="480">
        <v>12.0</v>
      </c>
      <c r="M99" s="175">
        <f>K99*L99</f>
        <v>1956</v>
      </c>
      <c r="N99" s="185" t="s">
        <v>71</v>
      </c>
      <c r="O99" s="185" t="s">
        <v>29</v>
      </c>
      <c r="P99" s="185" t="s">
        <v>72</v>
      </c>
      <c r="Q99" s="185"/>
      <c r="R99" s="185" t="s">
        <v>73</v>
      </c>
      <c r="S99" s="185" t="s">
        <v>129</v>
      </c>
      <c r="T99" s="626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</row>
    <row r="100">
      <c r="A100" s="12">
        <v>96.0</v>
      </c>
      <c r="B100" s="120" t="s">
        <v>4699</v>
      </c>
      <c r="C100" s="120" t="s">
        <v>4700</v>
      </c>
      <c r="D100" s="120" t="s">
        <v>1558</v>
      </c>
      <c r="E100" s="120" t="s">
        <v>4701</v>
      </c>
      <c r="F100" s="304" t="s">
        <v>4702</v>
      </c>
      <c r="G100" s="120">
        <v>4.0</v>
      </c>
      <c r="H100" s="120" t="s">
        <v>3744</v>
      </c>
      <c r="I100" s="317">
        <v>46213.0</v>
      </c>
      <c r="J100" s="108"/>
      <c r="K100" s="125">
        <v>165.0</v>
      </c>
      <c r="L100" s="456" t="s">
        <v>1178</v>
      </c>
      <c r="M100" s="197">
        <f>K100*12</f>
        <v>1980</v>
      </c>
      <c r="N100" s="120" t="s">
        <v>58</v>
      </c>
      <c r="O100" s="120" t="s">
        <v>29</v>
      </c>
      <c r="P100" s="120" t="s">
        <v>40</v>
      </c>
      <c r="Q100" s="106"/>
      <c r="R100" s="120" t="s">
        <v>3645</v>
      </c>
      <c r="S100" s="120" t="s">
        <v>2208</v>
      </c>
      <c r="T100" s="722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</row>
    <row r="101">
      <c r="A101" s="12">
        <v>97.0</v>
      </c>
      <c r="B101" s="120" t="s">
        <v>4703</v>
      </c>
      <c r="C101" s="120" t="s">
        <v>4704</v>
      </c>
      <c r="D101" s="120" t="s">
        <v>4705</v>
      </c>
      <c r="E101" s="120" t="s">
        <v>4706</v>
      </c>
      <c r="F101" s="304" t="s">
        <v>4707</v>
      </c>
      <c r="G101" s="120" t="s">
        <v>26</v>
      </c>
      <c r="H101" s="120" t="s">
        <v>711</v>
      </c>
      <c r="I101" s="317">
        <v>46213.0</v>
      </c>
      <c r="J101" s="108"/>
      <c r="K101" s="125">
        <v>1500.0</v>
      </c>
      <c r="L101" s="456" t="s">
        <v>1218</v>
      </c>
      <c r="M101" s="197">
        <f>K101*1</f>
        <v>1500</v>
      </c>
      <c r="N101" s="120" t="s">
        <v>58</v>
      </c>
      <c r="O101" s="120" t="s">
        <v>29</v>
      </c>
      <c r="P101" s="120" t="s">
        <v>40</v>
      </c>
      <c r="Q101" s="106"/>
      <c r="R101" s="120" t="s">
        <v>3645</v>
      </c>
      <c r="S101" s="120" t="s">
        <v>31</v>
      </c>
      <c r="T101" s="722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</row>
    <row r="102">
      <c r="A102" s="12">
        <v>98.0</v>
      </c>
      <c r="B102" s="120" t="s">
        <v>4703</v>
      </c>
      <c r="C102" s="97" t="s">
        <v>4704</v>
      </c>
      <c r="D102" s="97" t="s">
        <v>4705</v>
      </c>
      <c r="E102" s="315" t="s">
        <v>4706</v>
      </c>
      <c r="F102" s="97" t="s">
        <v>4707</v>
      </c>
      <c r="G102" s="97">
        <v>22.0</v>
      </c>
      <c r="H102" s="120" t="s">
        <v>3744</v>
      </c>
      <c r="I102" s="317">
        <v>46213.0</v>
      </c>
      <c r="J102" s="298"/>
      <c r="K102" s="125">
        <v>330.0</v>
      </c>
      <c r="L102" s="456" t="s">
        <v>1178</v>
      </c>
      <c r="M102" s="197">
        <f t="shared" ref="M102:M104" si="12">K102*12</f>
        <v>3960</v>
      </c>
      <c r="N102" s="161" t="s">
        <v>58</v>
      </c>
      <c r="O102" s="161" t="s">
        <v>29</v>
      </c>
      <c r="P102" s="161" t="s">
        <v>40</v>
      </c>
      <c r="Q102" s="161"/>
      <c r="R102" s="161" t="s">
        <v>1979</v>
      </c>
      <c r="S102" s="161" t="s">
        <v>31</v>
      </c>
      <c r="T102" s="607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</row>
    <row r="103">
      <c r="A103" s="12">
        <v>99.0</v>
      </c>
      <c r="B103" s="97" t="s">
        <v>4708</v>
      </c>
      <c r="C103" s="97" t="s">
        <v>4709</v>
      </c>
      <c r="D103" s="97" t="s">
        <v>4710</v>
      </c>
      <c r="E103" s="181" t="s">
        <v>4711</v>
      </c>
      <c r="F103" s="97" t="s">
        <v>4712</v>
      </c>
      <c r="G103" s="97">
        <v>4.0</v>
      </c>
      <c r="H103" s="120" t="s">
        <v>3744</v>
      </c>
      <c r="I103" s="317">
        <v>46213.0</v>
      </c>
      <c r="J103" s="298"/>
      <c r="K103" s="125">
        <v>156.67</v>
      </c>
      <c r="L103" s="456" t="s">
        <v>1178</v>
      </c>
      <c r="M103" s="197">
        <f t="shared" si="12"/>
        <v>1880.04</v>
      </c>
      <c r="N103" s="161" t="s">
        <v>58</v>
      </c>
      <c r="O103" s="161" t="s">
        <v>91</v>
      </c>
      <c r="P103" s="161" t="s">
        <v>40</v>
      </c>
      <c r="Q103" s="161"/>
      <c r="R103" s="161" t="s">
        <v>1979</v>
      </c>
      <c r="S103" s="161" t="s">
        <v>31</v>
      </c>
      <c r="T103" s="607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</row>
    <row r="104">
      <c r="A104" s="12">
        <v>100.0</v>
      </c>
      <c r="B104" s="97" t="s">
        <v>4713</v>
      </c>
      <c r="C104" s="97" t="s">
        <v>4714</v>
      </c>
      <c r="D104" s="97" t="s">
        <v>4715</v>
      </c>
      <c r="E104" s="181" t="s">
        <v>4716</v>
      </c>
      <c r="F104" s="97" t="s">
        <v>4717</v>
      </c>
      <c r="G104" s="97">
        <v>4.0</v>
      </c>
      <c r="H104" s="120" t="s">
        <v>3744</v>
      </c>
      <c r="I104" s="317">
        <v>46213.0</v>
      </c>
      <c r="J104" s="298"/>
      <c r="K104" s="125">
        <v>149.15</v>
      </c>
      <c r="L104" s="456" t="s">
        <v>1178</v>
      </c>
      <c r="M104" s="197">
        <f t="shared" si="12"/>
        <v>1789.8</v>
      </c>
      <c r="N104" s="161" t="s">
        <v>58</v>
      </c>
      <c r="O104" s="161" t="s">
        <v>29</v>
      </c>
      <c r="P104" s="161" t="s">
        <v>40</v>
      </c>
      <c r="Q104" s="161"/>
      <c r="R104" s="161" t="s">
        <v>1979</v>
      </c>
      <c r="S104" s="161" t="s">
        <v>31</v>
      </c>
      <c r="T104" s="607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</row>
    <row r="105">
      <c r="A105" s="12">
        <v>101.0</v>
      </c>
      <c r="B105" s="97" t="s">
        <v>4718</v>
      </c>
      <c r="C105" s="737" t="s">
        <v>4719</v>
      </c>
      <c r="D105" s="97" t="s">
        <v>2834</v>
      </c>
      <c r="E105" s="737" t="s">
        <v>4720</v>
      </c>
      <c r="F105" s="97" t="s">
        <v>4721</v>
      </c>
      <c r="G105" s="97">
        <v>12.0</v>
      </c>
      <c r="H105" s="97" t="s">
        <v>3744</v>
      </c>
      <c r="I105" s="298">
        <v>46216.0</v>
      </c>
      <c r="J105" s="298"/>
      <c r="K105" s="102">
        <v>205.0</v>
      </c>
      <c r="L105" s="479">
        <v>12.0</v>
      </c>
      <c r="M105" s="102">
        <v>2460.0</v>
      </c>
      <c r="N105" s="161" t="s">
        <v>58</v>
      </c>
      <c r="O105" s="161" t="s">
        <v>29</v>
      </c>
      <c r="P105" s="161" t="s">
        <v>40</v>
      </c>
      <c r="Q105" s="161"/>
      <c r="R105" s="161" t="s">
        <v>1979</v>
      </c>
      <c r="S105" s="161" t="s">
        <v>2208</v>
      </c>
      <c r="T105" s="607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</row>
    <row r="106">
      <c r="A106" s="12">
        <v>102.0</v>
      </c>
      <c r="B106" s="799" t="s">
        <v>4722</v>
      </c>
      <c r="C106" s="799" t="s">
        <v>4723</v>
      </c>
      <c r="D106" s="185" t="s">
        <v>687</v>
      </c>
      <c r="E106" s="799" t="s">
        <v>4724</v>
      </c>
      <c r="F106" s="800" t="s">
        <v>4725</v>
      </c>
      <c r="G106" s="185">
        <v>1.0</v>
      </c>
      <c r="H106" s="185" t="s">
        <v>2816</v>
      </c>
      <c r="I106" s="553">
        <v>46216.0</v>
      </c>
      <c r="J106" s="552"/>
      <c r="K106" s="756">
        <v>139.0</v>
      </c>
      <c r="L106" s="801" t="s">
        <v>1178</v>
      </c>
      <c r="M106" s="554">
        <f>K106*12</f>
        <v>1668</v>
      </c>
      <c r="N106" s="185" t="s">
        <v>58</v>
      </c>
      <c r="O106" s="185" t="s">
        <v>29</v>
      </c>
      <c r="P106" s="636"/>
      <c r="Q106" s="185"/>
      <c r="R106" s="185" t="s">
        <v>73</v>
      </c>
      <c r="S106" s="185" t="s">
        <v>148</v>
      </c>
      <c r="T106" s="802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</row>
    <row r="107">
      <c r="A107" s="12">
        <v>103.0</v>
      </c>
      <c r="B107" s="97" t="s">
        <v>4726</v>
      </c>
      <c r="C107" s="97" t="s">
        <v>4727</v>
      </c>
      <c r="D107" s="803" t="s">
        <v>4728</v>
      </c>
      <c r="E107" s="804" t="s">
        <v>4729</v>
      </c>
      <c r="F107" s="805" t="s">
        <v>4730</v>
      </c>
      <c r="G107" s="97">
        <v>5.0</v>
      </c>
      <c r="H107" s="97" t="s">
        <v>711</v>
      </c>
      <c r="I107" s="298">
        <v>46216.0</v>
      </c>
      <c r="J107" s="298">
        <v>46216.0</v>
      </c>
      <c r="K107" s="102">
        <v>266.66</v>
      </c>
      <c r="L107" s="479">
        <v>3.0</v>
      </c>
      <c r="M107" s="102">
        <v>800.0</v>
      </c>
      <c r="N107" s="161" t="s">
        <v>71</v>
      </c>
      <c r="O107" s="161" t="s">
        <v>91</v>
      </c>
      <c r="P107" s="161" t="s">
        <v>72</v>
      </c>
      <c r="Q107" s="161">
        <v>3453.0</v>
      </c>
      <c r="R107" s="161" t="s">
        <v>233</v>
      </c>
      <c r="S107" s="161" t="s">
        <v>4407</v>
      </c>
      <c r="T107" s="61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</row>
    <row r="108">
      <c r="A108" s="12">
        <v>104.0</v>
      </c>
      <c r="B108" s="787" t="s">
        <v>4731</v>
      </c>
      <c r="C108" s="806" t="s">
        <v>4732</v>
      </c>
      <c r="D108" s="103" t="s">
        <v>4733</v>
      </c>
      <c r="E108" s="787" t="s">
        <v>4734</v>
      </c>
      <c r="F108" s="196" t="s">
        <v>4735</v>
      </c>
      <c r="G108" s="103" t="s">
        <v>26</v>
      </c>
      <c r="H108" s="103" t="s">
        <v>1718</v>
      </c>
      <c r="I108" s="174">
        <v>46217.0</v>
      </c>
      <c r="J108" s="174"/>
      <c r="K108" s="197" t="s">
        <v>57</v>
      </c>
      <c r="L108" s="480">
        <v>1.0</v>
      </c>
      <c r="M108" s="197">
        <v>5755.0</v>
      </c>
      <c r="N108" s="185" t="s">
        <v>58</v>
      </c>
      <c r="O108" s="185" t="s">
        <v>29</v>
      </c>
      <c r="P108" s="185"/>
      <c r="Q108" s="185"/>
      <c r="R108" s="185" t="s">
        <v>98</v>
      </c>
      <c r="S108" s="185" t="s">
        <v>148</v>
      </c>
      <c r="T108" s="792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104"/>
      <c r="AN108" s="104"/>
      <c r="AO108" s="104"/>
    </row>
    <row r="109">
      <c r="A109" s="12">
        <v>105.0</v>
      </c>
      <c r="B109" s="455" t="s">
        <v>4736</v>
      </c>
      <c r="C109" s="120" t="s">
        <v>4737</v>
      </c>
      <c r="D109" s="120" t="s">
        <v>4738</v>
      </c>
      <c r="E109" s="120" t="s">
        <v>4739</v>
      </c>
      <c r="F109" s="304" t="s">
        <v>4740</v>
      </c>
      <c r="G109" s="120">
        <v>31.0</v>
      </c>
      <c r="H109" s="120" t="s">
        <v>4741</v>
      </c>
      <c r="I109" s="317">
        <v>46216.0</v>
      </c>
      <c r="J109" s="108"/>
      <c r="K109" s="197">
        <v>9432.0</v>
      </c>
      <c r="L109" s="480">
        <v>1.0</v>
      </c>
      <c r="M109" s="197">
        <f>K109*1</f>
        <v>9432</v>
      </c>
      <c r="N109" s="120" t="s">
        <v>58</v>
      </c>
      <c r="O109" s="120" t="s">
        <v>29</v>
      </c>
      <c r="P109" s="120" t="s">
        <v>40</v>
      </c>
      <c r="Q109" s="106"/>
      <c r="R109" s="120" t="s">
        <v>41</v>
      </c>
      <c r="S109" s="120" t="s">
        <v>31</v>
      </c>
      <c r="T109" s="611" t="s">
        <v>4742</v>
      </c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</row>
    <row r="110">
      <c r="A110" s="12">
        <v>106.0</v>
      </c>
      <c r="B110" s="97" t="s">
        <v>4743</v>
      </c>
      <c r="C110" s="97" t="s">
        <v>4744</v>
      </c>
      <c r="D110" s="97" t="s">
        <v>4745</v>
      </c>
      <c r="E110" s="181" t="s">
        <v>4746</v>
      </c>
      <c r="F110" s="97" t="s">
        <v>4747</v>
      </c>
      <c r="G110" s="97">
        <v>5.0</v>
      </c>
      <c r="H110" s="97" t="s">
        <v>3744</v>
      </c>
      <c r="I110" s="298">
        <v>46216.0</v>
      </c>
      <c r="J110" s="298"/>
      <c r="K110" s="102">
        <v>163.0</v>
      </c>
      <c r="L110" s="479">
        <v>12.0</v>
      </c>
      <c r="M110" s="102">
        <v>1956.0</v>
      </c>
      <c r="N110" s="161" t="s">
        <v>71</v>
      </c>
      <c r="O110" s="161" t="s">
        <v>29</v>
      </c>
      <c r="P110" s="161" t="s">
        <v>72</v>
      </c>
      <c r="Q110" s="166"/>
      <c r="R110" s="161" t="s">
        <v>41</v>
      </c>
      <c r="S110" s="161" t="s">
        <v>2208</v>
      </c>
      <c r="T110" s="607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</row>
    <row r="111">
      <c r="A111" s="12">
        <v>107.0</v>
      </c>
      <c r="B111" s="799" t="s">
        <v>4748</v>
      </c>
      <c r="C111" s="807" t="s">
        <v>4749</v>
      </c>
      <c r="D111" s="103" t="s">
        <v>4750</v>
      </c>
      <c r="E111" s="807" t="s">
        <v>4751</v>
      </c>
      <c r="F111" s="808" t="s">
        <v>4752</v>
      </c>
      <c r="G111" s="103">
        <v>1.0</v>
      </c>
      <c r="H111" s="103" t="s">
        <v>65</v>
      </c>
      <c r="I111" s="174">
        <v>46217.0</v>
      </c>
      <c r="J111" s="174"/>
      <c r="K111" s="197">
        <v>139.0</v>
      </c>
      <c r="L111" s="480">
        <v>12.0</v>
      </c>
      <c r="M111" s="197">
        <f t="shared" ref="M111:M112" si="13">K111*12</f>
        <v>1668</v>
      </c>
      <c r="N111" s="185" t="s">
        <v>58</v>
      </c>
      <c r="O111" s="185" t="s">
        <v>29</v>
      </c>
      <c r="P111" s="185"/>
      <c r="Q111" s="475"/>
      <c r="R111" s="185" t="s">
        <v>73</v>
      </c>
      <c r="S111" s="185" t="s">
        <v>148</v>
      </c>
      <c r="T111" s="792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</row>
    <row r="112">
      <c r="A112" s="582">
        <v>108.0</v>
      </c>
      <c r="B112" s="809" t="s">
        <v>4753</v>
      </c>
      <c r="C112" s="809" t="s">
        <v>4754</v>
      </c>
      <c r="D112" s="809" t="s">
        <v>4755</v>
      </c>
      <c r="E112" s="810" t="s">
        <v>4756</v>
      </c>
      <c r="F112" s="455" t="s">
        <v>4757</v>
      </c>
      <c r="G112" s="809">
        <v>3.0</v>
      </c>
      <c r="H112" s="809" t="s">
        <v>3744</v>
      </c>
      <c r="I112" s="811">
        <v>46217.0</v>
      </c>
      <c r="J112" s="812"/>
      <c r="K112" s="813">
        <v>143.45</v>
      </c>
      <c r="L112" s="814">
        <v>12.0</v>
      </c>
      <c r="M112" s="813">
        <f t="shared" si="13"/>
        <v>1721.4</v>
      </c>
      <c r="N112" s="815" t="s">
        <v>58</v>
      </c>
      <c r="O112" s="815" t="s">
        <v>91</v>
      </c>
      <c r="P112" s="815" t="s">
        <v>40</v>
      </c>
      <c r="Q112" s="816"/>
      <c r="R112" s="815" t="s">
        <v>233</v>
      </c>
      <c r="S112" s="815" t="s">
        <v>31</v>
      </c>
      <c r="T112" s="817" t="s">
        <v>4758</v>
      </c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</row>
    <row r="113">
      <c r="A113" s="582"/>
      <c r="B113" s="809"/>
      <c r="C113" s="809"/>
      <c r="D113" s="809"/>
      <c r="E113" s="810"/>
      <c r="F113" s="455"/>
      <c r="G113" s="809"/>
      <c r="H113" s="809"/>
      <c r="I113" s="811"/>
      <c r="J113" s="812"/>
      <c r="K113" s="813"/>
      <c r="L113" s="814"/>
      <c r="M113" s="813"/>
      <c r="N113" s="815"/>
      <c r="O113" s="815"/>
      <c r="P113" s="815"/>
      <c r="Q113" s="816"/>
      <c r="R113" s="815"/>
      <c r="S113" s="815"/>
      <c r="T113" s="817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</row>
    <row r="114">
      <c r="A114" s="31"/>
      <c r="B114" s="31"/>
      <c r="C114" s="31"/>
      <c r="D114" s="31"/>
      <c r="E114" s="187"/>
      <c r="F114" s="31"/>
      <c r="G114" s="31"/>
      <c r="H114" s="31"/>
      <c r="I114" s="31"/>
      <c r="J114" s="31"/>
      <c r="K114" s="760"/>
      <c r="L114" s="761"/>
      <c r="M114" s="760"/>
      <c r="N114" s="31"/>
      <c r="O114" s="31"/>
      <c r="P114" s="31"/>
      <c r="Q114" s="31"/>
      <c r="R114" s="31"/>
      <c r="S114" s="31"/>
      <c r="T114" s="762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</row>
    <row r="115">
      <c r="A115" s="31"/>
      <c r="B115" s="31"/>
      <c r="C115" s="31"/>
      <c r="D115" s="31"/>
      <c r="E115" s="187"/>
      <c r="F115" s="31"/>
      <c r="G115" s="31"/>
      <c r="H115" s="31"/>
      <c r="I115" s="31"/>
      <c r="J115" s="31"/>
      <c r="K115" s="760"/>
      <c r="L115" s="761"/>
      <c r="M115" s="760"/>
      <c r="N115" s="31"/>
      <c r="O115" s="31"/>
      <c r="P115" s="31"/>
      <c r="Q115" s="31"/>
      <c r="R115" s="31"/>
      <c r="S115" s="31"/>
      <c r="T115" s="762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</row>
    <row r="116">
      <c r="A116" s="31"/>
      <c r="B116" s="31"/>
      <c r="C116" s="31"/>
      <c r="D116" s="31"/>
      <c r="E116" s="187"/>
      <c r="F116" s="31"/>
      <c r="G116" s="31"/>
      <c r="H116" s="31"/>
      <c r="I116" s="31"/>
      <c r="J116" s="31"/>
      <c r="K116" s="760"/>
      <c r="L116" s="761"/>
      <c r="M116" s="760"/>
      <c r="N116" s="31"/>
      <c r="O116" s="31"/>
      <c r="P116" s="31"/>
      <c r="Q116" s="31"/>
      <c r="R116" s="31"/>
      <c r="S116" s="31"/>
      <c r="T116" s="762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</row>
    <row r="117">
      <c r="A117" s="31"/>
      <c r="B117" s="31"/>
      <c r="C117" s="31"/>
      <c r="D117" s="31"/>
      <c r="E117" s="187"/>
      <c r="F117" s="31"/>
      <c r="G117" s="31"/>
      <c r="H117" s="31"/>
      <c r="I117" s="31"/>
      <c r="J117" s="31"/>
      <c r="K117" s="760"/>
      <c r="L117" s="761"/>
      <c r="M117" s="760"/>
      <c r="N117" s="31"/>
      <c r="O117" s="31"/>
      <c r="P117" s="31"/>
      <c r="Q117" s="31"/>
      <c r="R117" s="31"/>
      <c r="S117" s="31"/>
      <c r="T117" s="762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</row>
    <row r="118">
      <c r="A118" s="31"/>
      <c r="B118" s="31"/>
      <c r="C118" s="31"/>
      <c r="D118" s="31"/>
      <c r="E118" s="187"/>
      <c r="F118" s="31"/>
      <c r="G118" s="31"/>
      <c r="H118" s="31"/>
      <c r="I118" s="31"/>
      <c r="J118" s="31"/>
      <c r="K118" s="760"/>
      <c r="L118" s="761"/>
      <c r="M118" s="760"/>
      <c r="N118" s="31"/>
      <c r="O118" s="31"/>
      <c r="P118" s="31"/>
      <c r="Q118" s="31"/>
      <c r="R118" s="31"/>
      <c r="S118" s="31"/>
      <c r="T118" s="762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</row>
    <row r="119">
      <c r="A119" s="31"/>
      <c r="B119" s="31"/>
      <c r="C119" s="31"/>
      <c r="D119" s="31"/>
      <c r="E119" s="187"/>
      <c r="F119" s="31"/>
      <c r="G119" s="31"/>
      <c r="H119" s="31"/>
      <c r="I119" s="31"/>
      <c r="J119" s="31"/>
      <c r="K119" s="760"/>
      <c r="L119" s="761"/>
      <c r="M119" s="760"/>
      <c r="N119" s="31"/>
      <c r="O119" s="31"/>
      <c r="P119" s="31"/>
      <c r="Q119" s="31"/>
      <c r="R119" s="31"/>
      <c r="S119" s="31"/>
      <c r="T119" s="762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</row>
    <row r="120">
      <c r="A120" s="31"/>
      <c r="B120" s="31"/>
      <c r="C120" s="31"/>
      <c r="D120" s="31"/>
      <c r="E120" s="187"/>
      <c r="F120" s="31"/>
      <c r="G120" s="31"/>
      <c r="H120" s="31"/>
      <c r="I120" s="31"/>
      <c r="J120" s="31"/>
      <c r="K120" s="760"/>
      <c r="L120" s="761"/>
      <c r="M120" s="760"/>
      <c r="N120" s="31"/>
      <c r="O120" s="31"/>
      <c r="P120" s="31"/>
      <c r="Q120" s="31"/>
      <c r="R120" s="31"/>
      <c r="S120" s="31"/>
      <c r="T120" s="762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</row>
    <row r="121">
      <c r="A121" s="31"/>
      <c r="B121" s="31"/>
      <c r="C121" s="31"/>
      <c r="D121" s="31"/>
      <c r="E121" s="187"/>
      <c r="F121" s="31"/>
      <c r="G121" s="31"/>
      <c r="H121" s="31"/>
      <c r="I121" s="31"/>
      <c r="J121" s="31"/>
      <c r="K121" s="760"/>
      <c r="L121" s="761"/>
      <c r="M121" s="760"/>
      <c r="N121" s="31"/>
      <c r="O121" s="31"/>
      <c r="P121" s="31"/>
      <c r="Q121" s="31"/>
      <c r="R121" s="31"/>
      <c r="S121" s="31"/>
      <c r="T121" s="762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</row>
    <row r="122">
      <c r="A122" s="31"/>
      <c r="B122" s="31"/>
      <c r="C122" s="31"/>
      <c r="D122" s="31"/>
      <c r="E122" s="187"/>
      <c r="F122" s="31"/>
      <c r="G122" s="31"/>
      <c r="H122" s="31"/>
      <c r="I122" s="31"/>
      <c r="J122" s="31"/>
      <c r="K122" s="760"/>
      <c r="L122" s="761"/>
      <c r="M122" s="760"/>
      <c r="N122" s="31"/>
      <c r="O122" s="31"/>
      <c r="P122" s="31"/>
      <c r="Q122" s="31"/>
      <c r="R122" s="31"/>
      <c r="S122" s="31"/>
      <c r="T122" s="762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</row>
    <row r="123">
      <c r="A123" s="31"/>
      <c r="B123" s="31"/>
      <c r="C123" s="31"/>
      <c r="D123" s="31"/>
      <c r="E123" s="187"/>
      <c r="F123" s="31"/>
      <c r="G123" s="31"/>
      <c r="H123" s="31"/>
      <c r="I123" s="31"/>
      <c r="J123" s="31"/>
      <c r="K123" s="760"/>
      <c r="L123" s="761"/>
      <c r="M123" s="760"/>
      <c r="N123" s="31"/>
      <c r="O123" s="31"/>
      <c r="P123" s="31"/>
      <c r="Q123" s="31"/>
      <c r="R123" s="31"/>
      <c r="S123" s="31"/>
      <c r="T123" s="762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</row>
    <row r="124">
      <c r="A124" s="31"/>
      <c r="B124" s="31"/>
      <c r="C124" s="31"/>
      <c r="D124" s="31"/>
      <c r="E124" s="187"/>
      <c r="F124" s="31"/>
      <c r="G124" s="31"/>
      <c r="H124" s="31"/>
      <c r="I124" s="31"/>
      <c r="J124" s="31"/>
      <c r="K124" s="760"/>
      <c r="L124" s="761"/>
      <c r="M124" s="760"/>
      <c r="N124" s="31"/>
      <c r="O124" s="31"/>
      <c r="P124" s="31"/>
      <c r="Q124" s="31"/>
      <c r="R124" s="31"/>
      <c r="S124" s="31"/>
      <c r="T124" s="762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</row>
    <row r="125">
      <c r="A125" s="31"/>
      <c r="B125" s="31"/>
      <c r="C125" s="31"/>
      <c r="D125" s="31"/>
      <c r="E125" s="187"/>
      <c r="F125" s="31"/>
      <c r="G125" s="31"/>
      <c r="H125" s="31"/>
      <c r="I125" s="31"/>
      <c r="J125" s="31"/>
      <c r="K125" s="760"/>
      <c r="L125" s="761"/>
      <c r="M125" s="760"/>
      <c r="N125" s="31"/>
      <c r="O125" s="31"/>
      <c r="P125" s="31"/>
      <c r="Q125" s="31"/>
      <c r="R125" s="31"/>
      <c r="S125" s="31"/>
      <c r="T125" s="762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</row>
    <row r="126">
      <c r="A126" s="31"/>
      <c r="B126" s="31"/>
      <c r="C126" s="31"/>
      <c r="D126" s="31"/>
      <c r="E126" s="187"/>
      <c r="F126" s="31"/>
      <c r="G126" s="31"/>
      <c r="H126" s="31"/>
      <c r="I126" s="31"/>
      <c r="J126" s="31"/>
      <c r="K126" s="760"/>
      <c r="L126" s="761"/>
      <c r="M126" s="760"/>
      <c r="N126" s="31"/>
      <c r="O126" s="31"/>
      <c r="P126" s="31"/>
      <c r="Q126" s="31"/>
      <c r="R126" s="31"/>
      <c r="S126" s="31"/>
      <c r="T126" s="762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</row>
    <row r="127">
      <c r="A127" s="31"/>
      <c r="B127" s="31"/>
      <c r="C127" s="31"/>
      <c r="D127" s="31"/>
      <c r="E127" s="187"/>
      <c r="F127" s="31"/>
      <c r="G127" s="31"/>
      <c r="H127" s="31"/>
      <c r="I127" s="31"/>
      <c r="J127" s="31"/>
      <c r="K127" s="760"/>
      <c r="L127" s="761"/>
      <c r="M127" s="760"/>
      <c r="N127" s="31"/>
      <c r="O127" s="31"/>
      <c r="P127" s="31"/>
      <c r="Q127" s="31"/>
      <c r="R127" s="31"/>
      <c r="S127" s="31"/>
      <c r="T127" s="762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</row>
    <row r="128">
      <c r="A128" s="31"/>
      <c r="B128" s="31"/>
      <c r="C128" s="31"/>
      <c r="D128" s="31"/>
      <c r="E128" s="187"/>
      <c r="F128" s="31"/>
      <c r="G128" s="31"/>
      <c r="H128" s="31"/>
      <c r="I128" s="31"/>
      <c r="J128" s="31"/>
      <c r="K128" s="760"/>
      <c r="L128" s="761"/>
      <c r="M128" s="760"/>
      <c r="N128" s="31"/>
      <c r="O128" s="31"/>
      <c r="P128" s="31"/>
      <c r="Q128" s="31"/>
      <c r="R128" s="31"/>
      <c r="S128" s="31"/>
      <c r="T128" s="762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</row>
    <row r="129">
      <c r="A129" s="31"/>
      <c r="B129" s="31"/>
      <c r="C129" s="31"/>
      <c r="D129" s="31"/>
      <c r="E129" s="187"/>
      <c r="F129" s="31"/>
      <c r="G129" s="31"/>
      <c r="H129" s="31"/>
      <c r="I129" s="31"/>
      <c r="J129" s="31"/>
      <c r="K129" s="760"/>
      <c r="L129" s="761"/>
      <c r="M129" s="760"/>
      <c r="N129" s="31"/>
      <c r="O129" s="31"/>
      <c r="P129" s="31"/>
      <c r="Q129" s="31"/>
      <c r="R129" s="31"/>
      <c r="S129" s="31"/>
      <c r="T129" s="762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</row>
    <row r="130">
      <c r="A130" s="31"/>
      <c r="B130" s="31"/>
      <c r="C130" s="31"/>
      <c r="D130" s="31"/>
      <c r="E130" s="187"/>
      <c r="F130" s="31"/>
      <c r="G130" s="31"/>
      <c r="H130" s="31"/>
      <c r="I130" s="31"/>
      <c r="J130" s="31"/>
      <c r="K130" s="760"/>
      <c r="L130" s="761"/>
      <c r="M130" s="760"/>
      <c r="N130" s="31"/>
      <c r="O130" s="31"/>
      <c r="P130" s="31"/>
      <c r="Q130" s="31"/>
      <c r="R130" s="31"/>
      <c r="S130" s="31"/>
      <c r="T130" s="762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</row>
    <row r="131">
      <c r="A131" s="31"/>
      <c r="B131" s="31"/>
      <c r="C131" s="31"/>
      <c r="D131" s="31"/>
      <c r="E131" s="187"/>
      <c r="F131" s="31"/>
      <c r="G131" s="31"/>
      <c r="H131" s="31"/>
      <c r="I131" s="31"/>
      <c r="J131" s="31"/>
      <c r="K131" s="760"/>
      <c r="L131" s="761"/>
      <c r="M131" s="760"/>
      <c r="N131" s="31"/>
      <c r="O131" s="31"/>
      <c r="P131" s="31"/>
      <c r="Q131" s="31"/>
      <c r="R131" s="31"/>
      <c r="S131" s="31"/>
      <c r="T131" s="762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</row>
    <row r="132">
      <c r="A132" s="31"/>
      <c r="B132" s="31"/>
      <c r="C132" s="31"/>
      <c r="D132" s="31"/>
      <c r="E132" s="187"/>
      <c r="F132" s="31"/>
      <c r="G132" s="31"/>
      <c r="H132" s="31"/>
      <c r="I132" s="31"/>
      <c r="J132" s="31"/>
      <c r="K132" s="760"/>
      <c r="L132" s="761"/>
      <c r="M132" s="760"/>
      <c r="N132" s="31"/>
      <c r="O132" s="31"/>
      <c r="P132" s="31"/>
      <c r="Q132" s="31"/>
      <c r="R132" s="31"/>
      <c r="S132" s="31"/>
      <c r="T132" s="762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</row>
    <row r="133">
      <c r="A133" s="31"/>
      <c r="B133" s="31"/>
      <c r="C133" s="31"/>
      <c r="D133" s="31"/>
      <c r="E133" s="187"/>
      <c r="F133" s="31"/>
      <c r="G133" s="31"/>
      <c r="H133" s="31"/>
      <c r="I133" s="31"/>
      <c r="J133" s="31"/>
      <c r="K133" s="760"/>
      <c r="L133" s="761"/>
      <c r="M133" s="760"/>
      <c r="N133" s="31"/>
      <c r="O133" s="31"/>
      <c r="P133" s="31"/>
      <c r="Q133" s="31"/>
      <c r="R133" s="31"/>
      <c r="S133" s="31"/>
      <c r="T133" s="762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</row>
    <row r="134">
      <c r="A134" s="31"/>
      <c r="B134" s="31"/>
      <c r="C134" s="31"/>
      <c r="D134" s="31"/>
      <c r="E134" s="187"/>
      <c r="F134" s="31"/>
      <c r="G134" s="31"/>
      <c r="H134" s="31"/>
      <c r="I134" s="31"/>
      <c r="J134" s="31"/>
      <c r="K134" s="760"/>
      <c r="L134" s="761"/>
      <c r="M134" s="760"/>
      <c r="N134" s="31"/>
      <c r="O134" s="31"/>
      <c r="P134" s="31"/>
      <c r="Q134" s="31"/>
      <c r="R134" s="31"/>
      <c r="S134" s="31"/>
      <c r="T134" s="762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</row>
    <row r="135">
      <c r="A135" s="31"/>
      <c r="B135" s="31"/>
      <c r="C135" s="31"/>
      <c r="D135" s="31"/>
      <c r="E135" s="187"/>
      <c r="F135" s="31"/>
      <c r="G135" s="31"/>
      <c r="H135" s="31"/>
      <c r="I135" s="31"/>
      <c r="J135" s="31"/>
      <c r="K135" s="760"/>
      <c r="L135" s="761"/>
      <c r="M135" s="760"/>
      <c r="N135" s="31"/>
      <c r="O135" s="31"/>
      <c r="P135" s="31"/>
      <c r="Q135" s="31"/>
      <c r="R135" s="31"/>
      <c r="S135" s="31"/>
      <c r="T135" s="762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</row>
    <row r="136">
      <c r="A136" s="31"/>
      <c r="B136" s="31"/>
      <c r="C136" s="31"/>
      <c r="D136" s="31"/>
      <c r="E136" s="187"/>
      <c r="F136" s="31"/>
      <c r="G136" s="31"/>
      <c r="H136" s="31"/>
      <c r="I136" s="31"/>
      <c r="J136" s="31"/>
      <c r="K136" s="760"/>
      <c r="L136" s="761"/>
      <c r="M136" s="760"/>
      <c r="N136" s="31"/>
      <c r="O136" s="31"/>
      <c r="P136" s="31"/>
      <c r="Q136" s="31"/>
      <c r="R136" s="31"/>
      <c r="S136" s="31"/>
      <c r="T136" s="762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</row>
    <row r="137">
      <c r="A137" s="31"/>
      <c r="B137" s="31"/>
      <c r="C137" s="31"/>
      <c r="D137" s="31"/>
      <c r="E137" s="187"/>
      <c r="F137" s="31"/>
      <c r="G137" s="31"/>
      <c r="H137" s="31"/>
      <c r="I137" s="31"/>
      <c r="J137" s="31"/>
      <c r="K137" s="760"/>
      <c r="L137" s="761"/>
      <c r="M137" s="760"/>
      <c r="N137" s="31"/>
      <c r="O137" s="31"/>
      <c r="P137" s="31"/>
      <c r="Q137" s="31"/>
      <c r="R137" s="31"/>
      <c r="S137" s="31"/>
      <c r="T137" s="762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</row>
    <row r="138">
      <c r="A138" s="31"/>
      <c r="B138" s="31"/>
      <c r="C138" s="31"/>
      <c r="D138" s="31"/>
      <c r="E138" s="187"/>
      <c r="F138" s="31"/>
      <c r="G138" s="31"/>
      <c r="H138" s="31"/>
      <c r="I138" s="31"/>
      <c r="J138" s="31"/>
      <c r="K138" s="760"/>
      <c r="L138" s="761"/>
      <c r="M138" s="760"/>
      <c r="N138" s="31"/>
      <c r="O138" s="31"/>
      <c r="P138" s="31"/>
      <c r="Q138" s="31"/>
      <c r="R138" s="31"/>
      <c r="S138" s="31"/>
      <c r="T138" s="762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</row>
    <row r="139">
      <c r="A139" s="31"/>
      <c r="B139" s="31"/>
      <c r="C139" s="31"/>
      <c r="D139" s="31"/>
      <c r="E139" s="187"/>
      <c r="F139" s="31"/>
      <c r="G139" s="31"/>
      <c r="H139" s="31"/>
      <c r="I139" s="31"/>
      <c r="J139" s="31"/>
      <c r="K139" s="760"/>
      <c r="L139" s="761"/>
      <c r="M139" s="760"/>
      <c r="N139" s="31"/>
      <c r="O139" s="31"/>
      <c r="P139" s="31"/>
      <c r="Q139" s="31"/>
      <c r="R139" s="31"/>
      <c r="S139" s="31"/>
      <c r="T139" s="762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</row>
    <row r="140">
      <c r="A140" s="31"/>
      <c r="B140" s="31"/>
      <c r="C140" s="31"/>
      <c r="D140" s="31"/>
      <c r="E140" s="187"/>
      <c r="F140" s="31"/>
      <c r="G140" s="31"/>
      <c r="H140" s="31"/>
      <c r="I140" s="31"/>
      <c r="J140" s="31"/>
      <c r="K140" s="760"/>
      <c r="L140" s="761"/>
      <c r="M140" s="760"/>
      <c r="N140" s="31"/>
      <c r="O140" s="31"/>
      <c r="P140" s="31"/>
      <c r="Q140" s="31"/>
      <c r="R140" s="31"/>
      <c r="S140" s="31"/>
      <c r="T140" s="762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</row>
    <row r="141">
      <c r="A141" s="31"/>
      <c r="B141" s="31"/>
      <c r="C141" s="31"/>
      <c r="D141" s="31"/>
      <c r="E141" s="187"/>
      <c r="F141" s="31"/>
      <c r="G141" s="31"/>
      <c r="H141" s="31"/>
      <c r="I141" s="31"/>
      <c r="J141" s="31"/>
      <c r="K141" s="760"/>
      <c r="L141" s="761"/>
      <c r="M141" s="760"/>
      <c r="N141" s="31"/>
      <c r="O141" s="31"/>
      <c r="P141" s="31"/>
      <c r="Q141" s="31"/>
      <c r="R141" s="31"/>
      <c r="S141" s="31"/>
      <c r="T141" s="762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</row>
    <row r="142">
      <c r="A142" s="31"/>
      <c r="B142" s="31"/>
      <c r="C142" s="31"/>
      <c r="D142" s="31"/>
      <c r="E142" s="187"/>
      <c r="F142" s="31"/>
      <c r="G142" s="31"/>
      <c r="H142" s="31"/>
      <c r="I142" s="31"/>
      <c r="J142" s="31"/>
      <c r="K142" s="760"/>
      <c r="L142" s="761"/>
      <c r="M142" s="760"/>
      <c r="N142" s="31"/>
      <c r="O142" s="31"/>
      <c r="P142" s="31"/>
      <c r="Q142" s="31"/>
      <c r="R142" s="31"/>
      <c r="S142" s="31"/>
      <c r="T142" s="762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</row>
    <row r="143">
      <c r="A143" s="31"/>
      <c r="B143" s="31"/>
      <c r="C143" s="31"/>
      <c r="D143" s="31"/>
      <c r="E143" s="187"/>
      <c r="F143" s="31"/>
      <c r="G143" s="31"/>
      <c r="H143" s="31"/>
      <c r="I143" s="31"/>
      <c r="J143" s="31"/>
      <c r="K143" s="760"/>
      <c r="L143" s="761"/>
      <c r="M143" s="760"/>
      <c r="N143" s="31"/>
      <c r="O143" s="31"/>
      <c r="P143" s="31"/>
      <c r="Q143" s="31"/>
      <c r="R143" s="31"/>
      <c r="S143" s="31"/>
      <c r="T143" s="762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</row>
    <row r="144">
      <c r="A144" s="31"/>
      <c r="B144" s="31"/>
      <c r="C144" s="31"/>
      <c r="D144" s="31"/>
      <c r="E144" s="187"/>
      <c r="F144" s="31"/>
      <c r="G144" s="31"/>
      <c r="H144" s="31"/>
      <c r="I144" s="31"/>
      <c r="J144" s="31"/>
      <c r="K144" s="760"/>
      <c r="L144" s="761"/>
      <c r="M144" s="760"/>
      <c r="N144" s="31"/>
      <c r="O144" s="31"/>
      <c r="P144" s="31"/>
      <c r="Q144" s="31"/>
      <c r="R144" s="31"/>
      <c r="S144" s="31"/>
      <c r="T144" s="762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</row>
    <row r="145">
      <c r="A145" s="31"/>
      <c r="B145" s="31"/>
      <c r="C145" s="31"/>
      <c r="D145" s="31"/>
      <c r="E145" s="187"/>
      <c r="F145" s="31"/>
      <c r="G145" s="31"/>
      <c r="H145" s="31"/>
      <c r="I145" s="31"/>
      <c r="J145" s="31"/>
      <c r="K145" s="760"/>
      <c r="L145" s="761"/>
      <c r="M145" s="760"/>
      <c r="N145" s="31"/>
      <c r="O145" s="31"/>
      <c r="P145" s="31"/>
      <c r="Q145" s="31"/>
      <c r="R145" s="31"/>
      <c r="S145" s="31"/>
      <c r="T145" s="762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</row>
    <row r="146">
      <c r="A146" s="31"/>
      <c r="B146" s="31"/>
      <c r="C146" s="31"/>
      <c r="D146" s="31"/>
      <c r="E146" s="187"/>
      <c r="F146" s="31"/>
      <c r="G146" s="31"/>
      <c r="H146" s="31"/>
      <c r="I146" s="31"/>
      <c r="J146" s="31"/>
      <c r="K146" s="760"/>
      <c r="L146" s="761"/>
      <c r="M146" s="760"/>
      <c r="N146" s="31"/>
      <c r="O146" s="31"/>
      <c r="P146" s="31"/>
      <c r="Q146" s="31"/>
      <c r="R146" s="31"/>
      <c r="S146" s="31"/>
      <c r="T146" s="762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</row>
    <row r="147">
      <c r="A147" s="31"/>
      <c r="B147" s="31"/>
      <c r="C147" s="31"/>
      <c r="D147" s="31"/>
      <c r="E147" s="187"/>
      <c r="F147" s="31"/>
      <c r="G147" s="31"/>
      <c r="H147" s="31"/>
      <c r="I147" s="31"/>
      <c r="J147" s="31"/>
      <c r="K147" s="760"/>
      <c r="L147" s="761"/>
      <c r="M147" s="760"/>
      <c r="N147" s="31"/>
      <c r="O147" s="31"/>
      <c r="P147" s="31"/>
      <c r="Q147" s="31"/>
      <c r="R147" s="31"/>
      <c r="S147" s="31"/>
      <c r="T147" s="762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</row>
    <row r="148">
      <c r="A148" s="31"/>
      <c r="B148" s="31"/>
      <c r="C148" s="31"/>
      <c r="D148" s="31"/>
      <c r="E148" s="187"/>
      <c r="F148" s="31"/>
      <c r="G148" s="31"/>
      <c r="H148" s="31"/>
      <c r="I148" s="31"/>
      <c r="J148" s="31"/>
      <c r="K148" s="760"/>
      <c r="L148" s="761"/>
      <c r="M148" s="760"/>
      <c r="N148" s="31"/>
      <c r="O148" s="31"/>
      <c r="P148" s="31"/>
      <c r="Q148" s="31"/>
      <c r="R148" s="31"/>
      <c r="S148" s="31"/>
      <c r="T148" s="762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</row>
    <row r="149">
      <c r="A149" s="31"/>
      <c r="B149" s="31"/>
      <c r="C149" s="31"/>
      <c r="D149" s="31"/>
      <c r="E149" s="187"/>
      <c r="F149" s="31"/>
      <c r="G149" s="31"/>
      <c r="H149" s="31"/>
      <c r="I149" s="31"/>
      <c r="J149" s="31"/>
      <c r="K149" s="760"/>
      <c r="L149" s="761"/>
      <c r="M149" s="760"/>
      <c r="N149" s="31"/>
      <c r="O149" s="31"/>
      <c r="P149" s="31"/>
      <c r="Q149" s="31"/>
      <c r="R149" s="31"/>
      <c r="S149" s="31"/>
      <c r="T149" s="762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</row>
    <row r="150">
      <c r="A150" s="31"/>
      <c r="B150" s="31"/>
      <c r="C150" s="31"/>
      <c r="D150" s="31"/>
      <c r="E150" s="187"/>
      <c r="F150" s="31"/>
      <c r="G150" s="31"/>
      <c r="H150" s="31"/>
      <c r="I150" s="31"/>
      <c r="J150" s="31"/>
      <c r="K150" s="760"/>
      <c r="L150" s="761"/>
      <c r="M150" s="760"/>
      <c r="N150" s="31"/>
      <c r="O150" s="31"/>
      <c r="P150" s="31"/>
      <c r="Q150" s="31"/>
      <c r="R150" s="31"/>
      <c r="S150" s="31"/>
      <c r="T150" s="762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</row>
    <row r="151">
      <c r="A151" s="31"/>
      <c r="B151" s="31"/>
      <c r="C151" s="31"/>
      <c r="D151" s="31"/>
      <c r="E151" s="187"/>
      <c r="F151" s="31"/>
      <c r="G151" s="31"/>
      <c r="H151" s="31"/>
      <c r="I151" s="31"/>
      <c r="J151" s="31"/>
      <c r="K151" s="760"/>
      <c r="L151" s="761"/>
      <c r="M151" s="760"/>
      <c r="N151" s="31"/>
      <c r="O151" s="31"/>
      <c r="P151" s="31"/>
      <c r="Q151" s="31"/>
      <c r="R151" s="31"/>
      <c r="S151" s="31"/>
      <c r="T151" s="762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</row>
    <row r="152">
      <c r="A152" s="31"/>
      <c r="B152" s="31"/>
      <c r="C152" s="31"/>
      <c r="D152" s="31"/>
      <c r="E152" s="187"/>
      <c r="F152" s="31"/>
      <c r="G152" s="31"/>
      <c r="H152" s="31"/>
      <c r="I152" s="31"/>
      <c r="J152" s="31"/>
      <c r="K152" s="760"/>
      <c r="L152" s="761"/>
      <c r="M152" s="760"/>
      <c r="N152" s="31"/>
      <c r="O152" s="31"/>
      <c r="P152" s="31"/>
      <c r="Q152" s="31"/>
      <c r="R152" s="31"/>
      <c r="S152" s="31"/>
      <c r="T152" s="762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</row>
    <row r="153">
      <c r="A153" s="31"/>
      <c r="B153" s="31"/>
      <c r="C153" s="31"/>
      <c r="D153" s="31"/>
      <c r="E153" s="187"/>
      <c r="F153" s="31"/>
      <c r="G153" s="31"/>
      <c r="H153" s="31"/>
      <c r="I153" s="31"/>
      <c r="J153" s="31"/>
      <c r="K153" s="760"/>
      <c r="L153" s="761"/>
      <c r="M153" s="760"/>
      <c r="N153" s="31"/>
      <c r="O153" s="31"/>
      <c r="P153" s="31"/>
      <c r="Q153" s="31"/>
      <c r="R153" s="31"/>
      <c r="S153" s="31"/>
      <c r="T153" s="762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</row>
    <row r="154">
      <c r="A154" s="31"/>
      <c r="B154" s="31"/>
      <c r="C154" s="31"/>
      <c r="D154" s="31"/>
      <c r="E154" s="187"/>
      <c r="F154" s="31"/>
      <c r="G154" s="31"/>
      <c r="H154" s="31"/>
      <c r="I154" s="31"/>
      <c r="J154" s="31"/>
      <c r="K154" s="760"/>
      <c r="L154" s="761"/>
      <c r="M154" s="760"/>
      <c r="N154" s="31"/>
      <c r="O154" s="31"/>
      <c r="P154" s="31"/>
      <c r="Q154" s="31"/>
      <c r="R154" s="31"/>
      <c r="S154" s="31"/>
      <c r="T154" s="762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</row>
    <row r="155">
      <c r="A155" s="31"/>
      <c r="B155" s="31"/>
      <c r="C155" s="31"/>
      <c r="D155" s="31"/>
      <c r="E155" s="187"/>
      <c r="F155" s="31"/>
      <c r="G155" s="31"/>
      <c r="H155" s="31"/>
      <c r="I155" s="31"/>
      <c r="J155" s="31"/>
      <c r="K155" s="760"/>
      <c r="L155" s="761"/>
      <c r="M155" s="760"/>
      <c r="N155" s="31"/>
      <c r="O155" s="31"/>
      <c r="P155" s="31"/>
      <c r="Q155" s="31"/>
      <c r="R155" s="31"/>
      <c r="S155" s="31"/>
      <c r="T155" s="762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</row>
    <row r="156">
      <c r="A156" s="31"/>
      <c r="B156" s="31"/>
      <c r="C156" s="31"/>
      <c r="D156" s="31"/>
      <c r="E156" s="187"/>
      <c r="F156" s="31"/>
      <c r="G156" s="31"/>
      <c r="H156" s="31"/>
      <c r="I156" s="31"/>
      <c r="J156" s="31"/>
      <c r="K156" s="760"/>
      <c r="L156" s="761"/>
      <c r="M156" s="760"/>
      <c r="N156" s="31"/>
      <c r="O156" s="31"/>
      <c r="P156" s="31"/>
      <c r="Q156" s="31"/>
      <c r="R156" s="31"/>
      <c r="S156" s="31"/>
      <c r="T156" s="762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</row>
    <row r="157">
      <c r="A157" s="31"/>
      <c r="B157" s="31"/>
      <c r="C157" s="31"/>
      <c r="D157" s="31"/>
      <c r="E157" s="187"/>
      <c r="F157" s="31"/>
      <c r="G157" s="31"/>
      <c r="H157" s="31"/>
      <c r="I157" s="31"/>
      <c r="J157" s="31"/>
      <c r="K157" s="760"/>
      <c r="L157" s="761"/>
      <c r="M157" s="760"/>
      <c r="N157" s="31"/>
      <c r="O157" s="31"/>
      <c r="P157" s="31"/>
      <c r="Q157" s="31"/>
      <c r="R157" s="31"/>
      <c r="S157" s="31"/>
      <c r="T157" s="762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</row>
    <row r="158">
      <c r="A158" s="31"/>
      <c r="B158" s="31"/>
      <c r="C158" s="31"/>
      <c r="D158" s="31"/>
      <c r="E158" s="187"/>
      <c r="F158" s="31"/>
      <c r="G158" s="31"/>
      <c r="H158" s="31"/>
      <c r="I158" s="31"/>
      <c r="J158" s="31"/>
      <c r="K158" s="760"/>
      <c r="L158" s="761"/>
      <c r="M158" s="760"/>
      <c r="N158" s="31"/>
      <c r="O158" s="31"/>
      <c r="P158" s="31"/>
      <c r="Q158" s="31"/>
      <c r="R158" s="31"/>
      <c r="S158" s="31"/>
      <c r="T158" s="762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</row>
    <row r="159">
      <c r="A159" s="31"/>
      <c r="B159" s="31"/>
      <c r="C159" s="31"/>
      <c r="D159" s="31"/>
      <c r="E159" s="187"/>
      <c r="F159" s="31"/>
      <c r="G159" s="31"/>
      <c r="H159" s="31"/>
      <c r="I159" s="31"/>
      <c r="J159" s="31"/>
      <c r="K159" s="760"/>
      <c r="L159" s="761"/>
      <c r="M159" s="760"/>
      <c r="N159" s="31"/>
      <c r="O159" s="31"/>
      <c r="P159" s="31"/>
      <c r="Q159" s="31"/>
      <c r="R159" s="31"/>
      <c r="S159" s="31"/>
      <c r="T159" s="762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</row>
    <row r="160">
      <c r="A160" s="31"/>
      <c r="B160" s="31"/>
      <c r="C160" s="31"/>
      <c r="D160" s="31"/>
      <c r="E160" s="187"/>
      <c r="F160" s="31"/>
      <c r="G160" s="31"/>
      <c r="H160" s="31"/>
      <c r="I160" s="31"/>
      <c r="J160" s="31"/>
      <c r="K160" s="760"/>
      <c r="L160" s="761"/>
      <c r="M160" s="760"/>
      <c r="N160" s="31"/>
      <c r="O160" s="31"/>
      <c r="P160" s="31"/>
      <c r="Q160" s="31"/>
      <c r="R160" s="31"/>
      <c r="S160" s="31"/>
      <c r="T160" s="762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</row>
    <row r="161">
      <c r="A161" s="31"/>
      <c r="B161" s="31"/>
      <c r="C161" s="31"/>
      <c r="D161" s="31"/>
      <c r="E161" s="187"/>
      <c r="F161" s="31"/>
      <c r="G161" s="31"/>
      <c r="H161" s="31"/>
      <c r="I161" s="31"/>
      <c r="J161" s="31"/>
      <c r="K161" s="760"/>
      <c r="L161" s="761"/>
      <c r="M161" s="760"/>
      <c r="N161" s="31"/>
      <c r="O161" s="31"/>
      <c r="P161" s="31"/>
      <c r="Q161" s="31"/>
      <c r="R161" s="31"/>
      <c r="S161" s="31"/>
      <c r="T161" s="762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</row>
    <row r="162">
      <c r="A162" s="31"/>
      <c r="B162" s="31"/>
      <c r="C162" s="31"/>
      <c r="D162" s="31"/>
      <c r="E162" s="187"/>
      <c r="F162" s="31"/>
      <c r="G162" s="31"/>
      <c r="H162" s="31"/>
      <c r="I162" s="31"/>
      <c r="J162" s="31"/>
      <c r="K162" s="760"/>
      <c r="L162" s="761"/>
      <c r="M162" s="760"/>
      <c r="N162" s="31"/>
      <c r="O162" s="31"/>
      <c r="P162" s="31"/>
      <c r="Q162" s="31"/>
      <c r="R162" s="31"/>
      <c r="S162" s="31"/>
      <c r="T162" s="762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</row>
    <row r="163">
      <c r="A163" s="31"/>
      <c r="B163" s="31"/>
      <c r="C163" s="31"/>
      <c r="D163" s="31"/>
      <c r="E163" s="187"/>
      <c r="F163" s="31"/>
      <c r="G163" s="31"/>
      <c r="H163" s="31"/>
      <c r="I163" s="31"/>
      <c r="J163" s="31"/>
      <c r="K163" s="760"/>
      <c r="L163" s="761"/>
      <c r="M163" s="760"/>
      <c r="N163" s="31"/>
      <c r="O163" s="31"/>
      <c r="P163" s="31"/>
      <c r="Q163" s="31"/>
      <c r="R163" s="31"/>
      <c r="S163" s="31"/>
      <c r="T163" s="762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</row>
    <row r="164">
      <c r="A164" s="31"/>
      <c r="B164" s="31"/>
      <c r="C164" s="31"/>
      <c r="D164" s="31"/>
      <c r="E164" s="187"/>
      <c r="F164" s="31"/>
      <c r="G164" s="31"/>
      <c r="H164" s="31"/>
      <c r="I164" s="31"/>
      <c r="J164" s="31"/>
      <c r="K164" s="760"/>
      <c r="L164" s="761"/>
      <c r="M164" s="760"/>
      <c r="N164" s="31"/>
      <c r="O164" s="31"/>
      <c r="P164" s="31"/>
      <c r="Q164" s="31"/>
      <c r="R164" s="31"/>
      <c r="S164" s="31"/>
      <c r="T164" s="762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</row>
    <row r="165">
      <c r="A165" s="31"/>
      <c r="B165" s="31"/>
      <c r="C165" s="31"/>
      <c r="D165" s="31"/>
      <c r="E165" s="187"/>
      <c r="F165" s="31"/>
      <c r="G165" s="31"/>
      <c r="H165" s="31"/>
      <c r="I165" s="31"/>
      <c r="J165" s="31"/>
      <c r="K165" s="760"/>
      <c r="L165" s="761"/>
      <c r="M165" s="760"/>
      <c r="N165" s="31"/>
      <c r="O165" s="31"/>
      <c r="P165" s="31"/>
      <c r="Q165" s="31"/>
      <c r="R165" s="31"/>
      <c r="S165" s="31"/>
      <c r="T165" s="762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</row>
    <row r="166">
      <c r="A166" s="31"/>
      <c r="B166" s="31"/>
      <c r="C166" s="31"/>
      <c r="D166" s="31"/>
      <c r="E166" s="187"/>
      <c r="F166" s="31"/>
      <c r="G166" s="31"/>
      <c r="H166" s="31"/>
      <c r="I166" s="31"/>
      <c r="J166" s="31"/>
      <c r="K166" s="760"/>
      <c r="L166" s="761"/>
      <c r="M166" s="760"/>
      <c r="N166" s="31"/>
      <c r="O166" s="31"/>
      <c r="P166" s="31"/>
      <c r="Q166" s="31"/>
      <c r="R166" s="31"/>
      <c r="S166" s="31"/>
      <c r="T166" s="762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</row>
    <row r="167">
      <c r="A167" s="31"/>
      <c r="B167" s="31"/>
      <c r="C167" s="31"/>
      <c r="D167" s="31"/>
      <c r="E167" s="187"/>
      <c r="F167" s="31"/>
      <c r="G167" s="31"/>
      <c r="H167" s="31"/>
      <c r="I167" s="31"/>
      <c r="J167" s="31"/>
      <c r="K167" s="760"/>
      <c r="L167" s="761"/>
      <c r="M167" s="760"/>
      <c r="N167" s="31"/>
      <c r="O167" s="31"/>
      <c r="P167" s="31"/>
      <c r="Q167" s="31"/>
      <c r="R167" s="31"/>
      <c r="S167" s="31"/>
      <c r="T167" s="762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</row>
    <row r="168">
      <c r="A168" s="31"/>
      <c r="B168" s="31"/>
      <c r="C168" s="31"/>
      <c r="D168" s="31"/>
      <c r="E168" s="187"/>
      <c r="F168" s="31"/>
      <c r="G168" s="31"/>
      <c r="H168" s="31"/>
      <c r="I168" s="31"/>
      <c r="J168" s="31"/>
      <c r="K168" s="760"/>
      <c r="L168" s="761"/>
      <c r="M168" s="760"/>
      <c r="N168" s="31"/>
      <c r="O168" s="31"/>
      <c r="P168" s="31"/>
      <c r="Q168" s="31"/>
      <c r="R168" s="31"/>
      <c r="S168" s="31"/>
      <c r="T168" s="762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</row>
    <row r="169">
      <c r="A169" s="31"/>
      <c r="B169" s="31"/>
      <c r="C169" s="31"/>
      <c r="D169" s="31"/>
      <c r="E169" s="187"/>
      <c r="F169" s="31"/>
      <c r="G169" s="31"/>
      <c r="H169" s="31"/>
      <c r="I169" s="31"/>
      <c r="J169" s="31"/>
      <c r="K169" s="760"/>
      <c r="L169" s="761"/>
      <c r="M169" s="760"/>
      <c r="N169" s="31"/>
      <c r="O169" s="31"/>
      <c r="P169" s="31"/>
      <c r="Q169" s="31"/>
      <c r="R169" s="31"/>
      <c r="S169" s="31"/>
      <c r="T169" s="762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</row>
    <row r="170">
      <c r="A170" s="31"/>
      <c r="B170" s="31"/>
      <c r="C170" s="31"/>
      <c r="D170" s="31"/>
      <c r="E170" s="187"/>
      <c r="F170" s="31"/>
      <c r="G170" s="31"/>
      <c r="H170" s="31"/>
      <c r="I170" s="31"/>
      <c r="J170" s="31"/>
      <c r="K170" s="760"/>
      <c r="L170" s="761"/>
      <c r="M170" s="760"/>
      <c r="N170" s="31"/>
      <c r="O170" s="31"/>
      <c r="P170" s="31"/>
      <c r="Q170" s="31"/>
      <c r="R170" s="31"/>
      <c r="S170" s="31"/>
      <c r="T170" s="762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</row>
    <row r="171">
      <c r="A171" s="31"/>
      <c r="B171" s="31"/>
      <c r="C171" s="31"/>
      <c r="D171" s="31"/>
      <c r="E171" s="187"/>
      <c r="F171" s="31"/>
      <c r="G171" s="31"/>
      <c r="H171" s="31"/>
      <c r="I171" s="31"/>
      <c r="J171" s="31"/>
      <c r="K171" s="760"/>
      <c r="L171" s="761"/>
      <c r="M171" s="760"/>
      <c r="N171" s="31"/>
      <c r="O171" s="31"/>
      <c r="P171" s="31"/>
      <c r="Q171" s="31"/>
      <c r="R171" s="31"/>
      <c r="S171" s="31"/>
      <c r="T171" s="762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</row>
    <row r="172">
      <c r="A172" s="31"/>
      <c r="B172" s="31"/>
      <c r="C172" s="31"/>
      <c r="D172" s="31"/>
      <c r="E172" s="187"/>
      <c r="F172" s="31"/>
      <c r="G172" s="31"/>
      <c r="H172" s="31"/>
      <c r="I172" s="31"/>
      <c r="J172" s="31"/>
      <c r="K172" s="760"/>
      <c r="L172" s="761"/>
      <c r="M172" s="760"/>
      <c r="N172" s="31"/>
      <c r="O172" s="31"/>
      <c r="P172" s="31"/>
      <c r="Q172" s="31"/>
      <c r="R172" s="31"/>
      <c r="S172" s="31"/>
      <c r="T172" s="762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</row>
    <row r="173">
      <c r="A173" s="31"/>
      <c r="B173" s="31"/>
      <c r="C173" s="31"/>
      <c r="D173" s="31"/>
      <c r="E173" s="187"/>
      <c r="F173" s="31"/>
      <c r="G173" s="31"/>
      <c r="H173" s="31"/>
      <c r="I173" s="31"/>
      <c r="J173" s="31"/>
      <c r="K173" s="760"/>
      <c r="L173" s="761"/>
      <c r="M173" s="760"/>
      <c r="N173" s="31"/>
      <c r="O173" s="31"/>
      <c r="P173" s="31"/>
      <c r="Q173" s="31"/>
      <c r="R173" s="31"/>
      <c r="S173" s="31"/>
      <c r="T173" s="762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</row>
    <row r="174">
      <c r="A174" s="31"/>
      <c r="B174" s="31"/>
      <c r="C174" s="31"/>
      <c r="D174" s="31"/>
      <c r="E174" s="187"/>
      <c r="F174" s="31"/>
      <c r="G174" s="31"/>
      <c r="H174" s="31"/>
      <c r="I174" s="31"/>
      <c r="J174" s="31"/>
      <c r="K174" s="760"/>
      <c r="L174" s="761"/>
      <c r="M174" s="760"/>
      <c r="N174" s="31"/>
      <c r="O174" s="31"/>
      <c r="P174" s="31"/>
      <c r="Q174" s="31"/>
      <c r="R174" s="31"/>
      <c r="S174" s="31"/>
      <c r="T174" s="762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</row>
    <row r="175">
      <c r="A175" s="31"/>
      <c r="B175" s="31"/>
      <c r="C175" s="31"/>
      <c r="D175" s="31"/>
      <c r="E175" s="187"/>
      <c r="F175" s="31"/>
      <c r="G175" s="31"/>
      <c r="H175" s="31"/>
      <c r="I175" s="31"/>
      <c r="J175" s="31"/>
      <c r="K175" s="760"/>
      <c r="L175" s="761"/>
      <c r="M175" s="760"/>
      <c r="N175" s="31"/>
      <c r="O175" s="31"/>
      <c r="P175" s="31"/>
      <c r="Q175" s="31"/>
      <c r="R175" s="31"/>
      <c r="S175" s="31"/>
      <c r="T175" s="762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</row>
    <row r="176">
      <c r="A176" s="31"/>
      <c r="B176" s="31"/>
      <c r="C176" s="31"/>
      <c r="D176" s="31"/>
      <c r="E176" s="187"/>
      <c r="F176" s="31"/>
      <c r="G176" s="31"/>
      <c r="H176" s="31"/>
      <c r="I176" s="31"/>
      <c r="J176" s="31"/>
      <c r="K176" s="760"/>
      <c r="L176" s="761"/>
      <c r="M176" s="760"/>
      <c r="N176" s="31"/>
      <c r="O176" s="31"/>
      <c r="P176" s="31"/>
      <c r="Q176" s="31"/>
      <c r="R176" s="31"/>
      <c r="S176" s="31"/>
      <c r="T176" s="762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</row>
    <row r="177">
      <c r="A177" s="31"/>
      <c r="B177" s="31"/>
      <c r="C177" s="31"/>
      <c r="D177" s="31"/>
      <c r="E177" s="187"/>
      <c r="F177" s="31"/>
      <c r="G177" s="31"/>
      <c r="H177" s="31"/>
      <c r="I177" s="31"/>
      <c r="J177" s="31"/>
      <c r="K177" s="760"/>
      <c r="L177" s="761"/>
      <c r="M177" s="760"/>
      <c r="N177" s="31"/>
      <c r="O177" s="31"/>
      <c r="P177" s="31"/>
      <c r="Q177" s="31"/>
      <c r="R177" s="31"/>
      <c r="S177" s="31"/>
      <c r="T177" s="762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</row>
    <row r="178">
      <c r="A178" s="31"/>
      <c r="B178" s="31"/>
      <c r="C178" s="31"/>
      <c r="D178" s="31"/>
      <c r="E178" s="187"/>
      <c r="F178" s="31"/>
      <c r="G178" s="31"/>
      <c r="H178" s="31"/>
      <c r="I178" s="31"/>
      <c r="J178" s="31"/>
      <c r="K178" s="760"/>
      <c r="L178" s="761"/>
      <c r="M178" s="760"/>
      <c r="N178" s="31"/>
      <c r="O178" s="31"/>
      <c r="P178" s="31"/>
      <c r="Q178" s="31"/>
      <c r="R178" s="31"/>
      <c r="S178" s="31"/>
      <c r="T178" s="762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</row>
    <row r="179">
      <c r="A179" s="31"/>
      <c r="B179" s="31"/>
      <c r="C179" s="31"/>
      <c r="D179" s="31"/>
      <c r="E179" s="187"/>
      <c r="F179" s="31"/>
      <c r="G179" s="31"/>
      <c r="H179" s="31"/>
      <c r="I179" s="31"/>
      <c r="J179" s="31"/>
      <c r="K179" s="760"/>
      <c r="L179" s="761"/>
      <c r="M179" s="760"/>
      <c r="N179" s="31"/>
      <c r="O179" s="31"/>
      <c r="P179" s="31"/>
      <c r="Q179" s="31"/>
      <c r="R179" s="31"/>
      <c r="S179" s="31"/>
      <c r="T179" s="762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</row>
    <row r="180">
      <c r="A180" s="31"/>
      <c r="B180" s="31"/>
      <c r="C180" s="31"/>
      <c r="D180" s="31"/>
      <c r="E180" s="187"/>
      <c r="F180" s="31"/>
      <c r="G180" s="31"/>
      <c r="H180" s="31"/>
      <c r="I180" s="31"/>
      <c r="J180" s="31"/>
      <c r="K180" s="760"/>
      <c r="L180" s="761"/>
      <c r="M180" s="760"/>
      <c r="N180" s="31"/>
      <c r="O180" s="31"/>
      <c r="P180" s="31"/>
      <c r="Q180" s="31"/>
      <c r="R180" s="31"/>
      <c r="S180" s="31"/>
      <c r="T180" s="762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</row>
    <row r="181">
      <c r="A181" s="31"/>
      <c r="B181" s="31"/>
      <c r="C181" s="31"/>
      <c r="D181" s="31"/>
      <c r="E181" s="187"/>
      <c r="F181" s="31"/>
      <c r="G181" s="31"/>
      <c r="H181" s="31"/>
      <c r="I181" s="31"/>
      <c r="J181" s="31"/>
      <c r="K181" s="760"/>
      <c r="L181" s="761"/>
      <c r="M181" s="760"/>
      <c r="N181" s="31"/>
      <c r="O181" s="31"/>
      <c r="P181" s="31"/>
      <c r="Q181" s="31"/>
      <c r="R181" s="31"/>
      <c r="S181" s="31"/>
      <c r="T181" s="762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</row>
    <row r="182">
      <c r="A182" s="31"/>
      <c r="B182" s="31"/>
      <c r="C182" s="31"/>
      <c r="D182" s="31"/>
      <c r="E182" s="187"/>
      <c r="F182" s="31"/>
      <c r="G182" s="31"/>
      <c r="H182" s="31"/>
      <c r="I182" s="31"/>
      <c r="J182" s="31"/>
      <c r="K182" s="760"/>
      <c r="L182" s="761"/>
      <c r="M182" s="760"/>
      <c r="N182" s="31"/>
      <c r="O182" s="31"/>
      <c r="P182" s="31"/>
      <c r="Q182" s="31"/>
      <c r="R182" s="31"/>
      <c r="S182" s="31"/>
      <c r="T182" s="762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</row>
    <row r="183">
      <c r="A183" s="31"/>
      <c r="B183" s="31"/>
      <c r="C183" s="31"/>
      <c r="D183" s="31"/>
      <c r="E183" s="187"/>
      <c r="F183" s="31"/>
      <c r="G183" s="31"/>
      <c r="H183" s="31"/>
      <c r="I183" s="31"/>
      <c r="J183" s="31"/>
      <c r="K183" s="760"/>
      <c r="L183" s="761"/>
      <c r="M183" s="760"/>
      <c r="N183" s="31"/>
      <c r="O183" s="31"/>
      <c r="P183" s="31"/>
      <c r="Q183" s="31"/>
      <c r="R183" s="31"/>
      <c r="S183" s="31"/>
      <c r="T183" s="762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</row>
    <row r="184">
      <c r="A184" s="31"/>
      <c r="B184" s="31"/>
      <c r="C184" s="31"/>
      <c r="D184" s="31"/>
      <c r="E184" s="187"/>
      <c r="F184" s="31"/>
      <c r="G184" s="31"/>
      <c r="H184" s="31"/>
      <c r="I184" s="31"/>
      <c r="J184" s="31"/>
      <c r="K184" s="760"/>
      <c r="L184" s="761"/>
      <c r="M184" s="760"/>
      <c r="N184" s="31"/>
      <c r="O184" s="31"/>
      <c r="P184" s="31"/>
      <c r="Q184" s="31"/>
      <c r="R184" s="31"/>
      <c r="S184" s="31"/>
      <c r="T184" s="762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</row>
    <row r="185">
      <c r="A185" s="31"/>
      <c r="B185" s="31"/>
      <c r="C185" s="31"/>
      <c r="D185" s="31"/>
      <c r="E185" s="187"/>
      <c r="F185" s="31"/>
      <c r="G185" s="31"/>
      <c r="H185" s="31"/>
      <c r="I185" s="31"/>
      <c r="J185" s="31"/>
      <c r="K185" s="760"/>
      <c r="L185" s="761"/>
      <c r="M185" s="760"/>
      <c r="N185" s="31"/>
      <c r="O185" s="31"/>
      <c r="P185" s="31"/>
      <c r="Q185" s="31"/>
      <c r="R185" s="31"/>
      <c r="S185" s="31"/>
      <c r="T185" s="762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</row>
    <row r="186">
      <c r="A186" s="31"/>
      <c r="B186" s="31"/>
      <c r="C186" s="31"/>
      <c r="D186" s="31"/>
      <c r="E186" s="187"/>
      <c r="F186" s="31"/>
      <c r="G186" s="31"/>
      <c r="H186" s="31"/>
      <c r="I186" s="31"/>
      <c r="J186" s="31"/>
      <c r="K186" s="760"/>
      <c r="L186" s="761"/>
      <c r="M186" s="760"/>
      <c r="N186" s="31"/>
      <c r="O186" s="31"/>
      <c r="P186" s="31"/>
      <c r="Q186" s="31"/>
      <c r="R186" s="31"/>
      <c r="S186" s="31"/>
      <c r="T186" s="762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</row>
    <row r="187">
      <c r="A187" s="31"/>
      <c r="B187" s="31"/>
      <c r="C187" s="31"/>
      <c r="D187" s="31"/>
      <c r="E187" s="187"/>
      <c r="F187" s="31"/>
      <c r="G187" s="31"/>
      <c r="H187" s="31"/>
      <c r="I187" s="31"/>
      <c r="J187" s="31"/>
      <c r="K187" s="760"/>
      <c r="L187" s="761"/>
      <c r="M187" s="760"/>
      <c r="N187" s="31"/>
      <c r="O187" s="31"/>
      <c r="P187" s="31"/>
      <c r="Q187" s="31"/>
      <c r="R187" s="31"/>
      <c r="S187" s="31"/>
      <c r="T187" s="762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</row>
    <row r="188">
      <c r="A188" s="31"/>
      <c r="B188" s="31"/>
      <c r="C188" s="31"/>
      <c r="D188" s="31"/>
      <c r="E188" s="187"/>
      <c r="F188" s="31"/>
      <c r="G188" s="31"/>
      <c r="H188" s="31"/>
      <c r="I188" s="31"/>
      <c r="J188" s="31"/>
      <c r="K188" s="760"/>
      <c r="L188" s="761"/>
      <c r="M188" s="760"/>
      <c r="N188" s="31"/>
      <c r="O188" s="31"/>
      <c r="P188" s="31"/>
      <c r="Q188" s="31"/>
      <c r="R188" s="31"/>
      <c r="S188" s="31"/>
      <c r="T188" s="762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</row>
    <row r="189">
      <c r="A189" s="31"/>
      <c r="B189" s="31"/>
      <c r="C189" s="31"/>
      <c r="D189" s="31"/>
      <c r="E189" s="187"/>
      <c r="F189" s="31"/>
      <c r="G189" s="31"/>
      <c r="H189" s="31"/>
      <c r="I189" s="31"/>
      <c r="J189" s="31"/>
      <c r="K189" s="760"/>
      <c r="L189" s="761"/>
      <c r="M189" s="760"/>
      <c r="N189" s="31"/>
      <c r="O189" s="31"/>
      <c r="P189" s="31"/>
      <c r="Q189" s="31"/>
      <c r="R189" s="31"/>
      <c r="S189" s="31"/>
      <c r="T189" s="762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</row>
    <row r="190">
      <c r="A190" s="31"/>
      <c r="B190" s="31"/>
      <c r="C190" s="31"/>
      <c r="D190" s="31"/>
      <c r="E190" s="187"/>
      <c r="F190" s="31"/>
      <c r="G190" s="31"/>
      <c r="H190" s="31"/>
      <c r="I190" s="31"/>
      <c r="J190" s="31"/>
      <c r="K190" s="760"/>
      <c r="L190" s="761"/>
      <c r="M190" s="760"/>
      <c r="N190" s="31"/>
      <c r="O190" s="31"/>
      <c r="P190" s="31"/>
      <c r="Q190" s="31"/>
      <c r="R190" s="31"/>
      <c r="S190" s="31"/>
      <c r="T190" s="762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</row>
    <row r="191">
      <c r="A191" s="31"/>
      <c r="B191" s="31"/>
      <c r="C191" s="31"/>
      <c r="D191" s="31"/>
      <c r="E191" s="187"/>
      <c r="F191" s="31"/>
      <c r="G191" s="31"/>
      <c r="H191" s="31"/>
      <c r="I191" s="31"/>
      <c r="J191" s="31"/>
      <c r="K191" s="760"/>
      <c r="L191" s="761"/>
      <c r="M191" s="760"/>
      <c r="N191" s="31"/>
      <c r="O191" s="31"/>
      <c r="P191" s="31"/>
      <c r="Q191" s="31"/>
      <c r="R191" s="31"/>
      <c r="S191" s="31"/>
      <c r="T191" s="762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</row>
    <row r="192">
      <c r="A192" s="31"/>
      <c r="B192" s="31"/>
      <c r="C192" s="31"/>
      <c r="D192" s="31"/>
      <c r="E192" s="187"/>
      <c r="F192" s="31"/>
      <c r="G192" s="31"/>
      <c r="H192" s="31"/>
      <c r="I192" s="31"/>
      <c r="J192" s="31"/>
      <c r="K192" s="760"/>
      <c r="L192" s="761"/>
      <c r="M192" s="760"/>
      <c r="N192" s="31"/>
      <c r="O192" s="31"/>
      <c r="P192" s="31"/>
      <c r="Q192" s="31"/>
      <c r="R192" s="31"/>
      <c r="S192" s="31"/>
      <c r="T192" s="762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</row>
    <row r="193">
      <c r="A193" s="31"/>
      <c r="B193" s="31"/>
      <c r="C193" s="31"/>
      <c r="D193" s="31"/>
      <c r="E193" s="187"/>
      <c r="F193" s="31"/>
      <c r="G193" s="31"/>
      <c r="H193" s="31"/>
      <c r="I193" s="31"/>
      <c r="J193" s="31"/>
      <c r="K193" s="760"/>
      <c r="L193" s="761"/>
      <c r="M193" s="760"/>
      <c r="N193" s="31"/>
      <c r="O193" s="31"/>
      <c r="P193" s="31"/>
      <c r="Q193" s="31"/>
      <c r="R193" s="31"/>
      <c r="S193" s="31"/>
      <c r="T193" s="762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</row>
    <row r="194">
      <c r="A194" s="31"/>
      <c r="B194" s="31"/>
      <c r="C194" s="31"/>
      <c r="D194" s="31"/>
      <c r="E194" s="187"/>
      <c r="F194" s="31"/>
      <c r="G194" s="31"/>
      <c r="H194" s="31"/>
      <c r="I194" s="31"/>
      <c r="J194" s="31"/>
      <c r="K194" s="760"/>
      <c r="L194" s="761"/>
      <c r="M194" s="760"/>
      <c r="N194" s="31"/>
      <c r="O194" s="31"/>
      <c r="P194" s="31"/>
      <c r="Q194" s="31"/>
      <c r="R194" s="31"/>
      <c r="S194" s="31"/>
      <c r="T194" s="762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</row>
    <row r="195">
      <c r="A195" s="31"/>
      <c r="B195" s="31"/>
      <c r="C195" s="31"/>
      <c r="D195" s="31"/>
      <c r="E195" s="187"/>
      <c r="F195" s="31"/>
      <c r="G195" s="31"/>
      <c r="H195" s="31"/>
      <c r="I195" s="31"/>
      <c r="J195" s="31"/>
      <c r="K195" s="760"/>
      <c r="L195" s="761"/>
      <c r="M195" s="760"/>
      <c r="N195" s="31"/>
      <c r="O195" s="31"/>
      <c r="P195" s="31"/>
      <c r="Q195" s="31"/>
      <c r="R195" s="31"/>
      <c r="S195" s="31"/>
      <c r="T195" s="762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</row>
    <row r="196">
      <c r="A196" s="31"/>
      <c r="B196" s="31"/>
      <c r="C196" s="31"/>
      <c r="D196" s="31"/>
      <c r="E196" s="187"/>
      <c r="F196" s="31"/>
      <c r="G196" s="31"/>
      <c r="H196" s="31"/>
      <c r="I196" s="31"/>
      <c r="J196" s="31"/>
      <c r="K196" s="760"/>
      <c r="L196" s="761"/>
      <c r="M196" s="760"/>
      <c r="N196" s="31"/>
      <c r="O196" s="31"/>
      <c r="P196" s="31"/>
      <c r="Q196" s="31"/>
      <c r="R196" s="31"/>
      <c r="S196" s="31"/>
      <c r="T196" s="762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</row>
    <row r="197">
      <c r="A197" s="31"/>
      <c r="B197" s="31"/>
      <c r="C197" s="31"/>
      <c r="D197" s="31"/>
      <c r="E197" s="187"/>
      <c r="F197" s="31"/>
      <c r="G197" s="31"/>
      <c r="H197" s="31"/>
      <c r="I197" s="31"/>
      <c r="J197" s="31"/>
      <c r="K197" s="760"/>
      <c r="L197" s="761"/>
      <c r="M197" s="760"/>
      <c r="N197" s="31"/>
      <c r="O197" s="31"/>
      <c r="P197" s="31"/>
      <c r="Q197" s="31"/>
      <c r="R197" s="31"/>
      <c r="S197" s="31"/>
      <c r="T197" s="762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</row>
    <row r="198">
      <c r="A198" s="31"/>
      <c r="B198" s="31"/>
      <c r="C198" s="31"/>
      <c r="D198" s="31"/>
      <c r="E198" s="187"/>
      <c r="F198" s="31"/>
      <c r="G198" s="31"/>
      <c r="H198" s="31"/>
      <c r="I198" s="31"/>
      <c r="J198" s="31"/>
      <c r="K198" s="760"/>
      <c r="L198" s="761"/>
      <c r="M198" s="760"/>
      <c r="N198" s="31"/>
      <c r="O198" s="31"/>
      <c r="P198" s="31"/>
      <c r="Q198" s="31"/>
      <c r="R198" s="31"/>
      <c r="S198" s="31"/>
      <c r="T198" s="762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</row>
    <row r="199">
      <c r="A199" s="31"/>
      <c r="B199" s="31"/>
      <c r="C199" s="31"/>
      <c r="D199" s="31"/>
      <c r="E199" s="187"/>
      <c r="F199" s="31"/>
      <c r="G199" s="31"/>
      <c r="H199" s="31"/>
      <c r="I199" s="31"/>
      <c r="J199" s="31"/>
      <c r="K199" s="760"/>
      <c r="L199" s="761"/>
      <c r="M199" s="760"/>
      <c r="N199" s="31"/>
      <c r="O199" s="31"/>
      <c r="P199" s="31"/>
      <c r="Q199" s="31"/>
      <c r="R199" s="31"/>
      <c r="S199" s="31"/>
      <c r="T199" s="762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</row>
    <row r="200">
      <c r="A200" s="31"/>
      <c r="B200" s="31"/>
      <c r="C200" s="31"/>
      <c r="D200" s="31"/>
      <c r="E200" s="187"/>
      <c r="F200" s="31"/>
      <c r="G200" s="31"/>
      <c r="H200" s="31"/>
      <c r="I200" s="31"/>
      <c r="J200" s="31"/>
      <c r="K200" s="760"/>
      <c r="L200" s="761"/>
      <c r="M200" s="760"/>
      <c r="N200" s="31"/>
      <c r="O200" s="31"/>
      <c r="P200" s="31"/>
      <c r="Q200" s="31"/>
      <c r="R200" s="31"/>
      <c r="S200" s="31"/>
      <c r="T200" s="762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</row>
    <row r="201">
      <c r="A201" s="31"/>
      <c r="B201" s="31"/>
      <c r="C201" s="31"/>
      <c r="D201" s="31"/>
      <c r="E201" s="187"/>
      <c r="F201" s="31"/>
      <c r="G201" s="31"/>
      <c r="H201" s="31"/>
      <c r="I201" s="31"/>
      <c r="J201" s="31"/>
      <c r="K201" s="760"/>
      <c r="L201" s="761"/>
      <c r="M201" s="760"/>
      <c r="N201" s="31"/>
      <c r="O201" s="31"/>
      <c r="P201" s="31"/>
      <c r="Q201" s="31"/>
      <c r="R201" s="31"/>
      <c r="S201" s="31"/>
      <c r="T201" s="762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</row>
    <row r="202">
      <c r="A202" s="31"/>
      <c r="B202" s="31"/>
      <c r="C202" s="31"/>
      <c r="D202" s="31"/>
      <c r="E202" s="187"/>
      <c r="F202" s="31"/>
      <c r="G202" s="31"/>
      <c r="H202" s="31"/>
      <c r="I202" s="31"/>
      <c r="J202" s="31"/>
      <c r="K202" s="760"/>
      <c r="L202" s="761"/>
      <c r="M202" s="760"/>
      <c r="N202" s="31"/>
      <c r="O202" s="31"/>
      <c r="P202" s="31"/>
      <c r="Q202" s="31"/>
      <c r="R202" s="31"/>
      <c r="S202" s="31"/>
      <c r="T202" s="762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</row>
    <row r="203">
      <c r="A203" s="31"/>
      <c r="B203" s="31"/>
      <c r="C203" s="31"/>
      <c r="D203" s="31"/>
      <c r="E203" s="187"/>
      <c r="F203" s="31"/>
      <c r="G203" s="31"/>
      <c r="H203" s="31"/>
      <c r="I203" s="31"/>
      <c r="J203" s="31"/>
      <c r="K203" s="760"/>
      <c r="L203" s="761"/>
      <c r="M203" s="760"/>
      <c r="N203" s="31"/>
      <c r="O203" s="31"/>
      <c r="P203" s="31"/>
      <c r="Q203" s="31"/>
      <c r="R203" s="31"/>
      <c r="S203" s="31"/>
      <c r="T203" s="762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</row>
    <row r="204">
      <c r="A204" s="31"/>
      <c r="B204" s="31"/>
      <c r="C204" s="31"/>
      <c r="D204" s="31"/>
      <c r="E204" s="187"/>
      <c r="F204" s="31"/>
      <c r="G204" s="31"/>
      <c r="H204" s="31"/>
      <c r="I204" s="31"/>
      <c r="J204" s="31"/>
      <c r="K204" s="760"/>
      <c r="L204" s="761"/>
      <c r="M204" s="760"/>
      <c r="N204" s="31"/>
      <c r="O204" s="31"/>
      <c r="P204" s="31"/>
      <c r="Q204" s="31"/>
      <c r="R204" s="31"/>
      <c r="S204" s="31"/>
      <c r="T204" s="762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</row>
    <row r="205">
      <c r="A205" s="31"/>
      <c r="B205" s="31"/>
      <c r="C205" s="31"/>
      <c r="D205" s="31"/>
      <c r="E205" s="187"/>
      <c r="F205" s="31"/>
      <c r="G205" s="31"/>
      <c r="H205" s="31"/>
      <c r="I205" s="31"/>
      <c r="J205" s="31"/>
      <c r="K205" s="760"/>
      <c r="L205" s="761"/>
      <c r="M205" s="760"/>
      <c r="N205" s="31"/>
      <c r="O205" s="31"/>
      <c r="P205" s="31"/>
      <c r="Q205" s="31"/>
      <c r="R205" s="31"/>
      <c r="S205" s="31"/>
      <c r="T205" s="762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</row>
    <row r="206">
      <c r="A206" s="31"/>
      <c r="B206" s="31"/>
      <c r="C206" s="31"/>
      <c r="D206" s="31"/>
      <c r="E206" s="187"/>
      <c r="F206" s="31"/>
      <c r="G206" s="31"/>
      <c r="H206" s="31"/>
      <c r="I206" s="31"/>
      <c r="J206" s="31"/>
      <c r="K206" s="760"/>
      <c r="L206" s="761"/>
      <c r="M206" s="760"/>
      <c r="N206" s="31"/>
      <c r="O206" s="31"/>
      <c r="P206" s="31"/>
      <c r="Q206" s="31"/>
      <c r="R206" s="31"/>
      <c r="S206" s="31"/>
      <c r="T206" s="762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</row>
    <row r="207">
      <c r="A207" s="31"/>
      <c r="B207" s="31"/>
      <c r="C207" s="31"/>
      <c r="D207" s="31"/>
      <c r="E207" s="187"/>
      <c r="F207" s="31"/>
      <c r="G207" s="31"/>
      <c r="H207" s="31"/>
      <c r="I207" s="31"/>
      <c r="J207" s="31"/>
      <c r="K207" s="760"/>
      <c r="L207" s="761"/>
      <c r="M207" s="760"/>
      <c r="N207" s="31"/>
      <c r="O207" s="31"/>
      <c r="P207" s="31"/>
      <c r="Q207" s="31"/>
      <c r="R207" s="31"/>
      <c r="S207" s="31"/>
      <c r="T207" s="762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</row>
    <row r="208">
      <c r="A208" s="31"/>
      <c r="B208" s="31"/>
      <c r="C208" s="31"/>
      <c r="D208" s="31"/>
      <c r="E208" s="187"/>
      <c r="F208" s="31"/>
      <c r="G208" s="31"/>
      <c r="H208" s="31"/>
      <c r="I208" s="31"/>
      <c r="J208" s="31"/>
      <c r="K208" s="760"/>
      <c r="L208" s="761"/>
      <c r="M208" s="760"/>
      <c r="N208" s="31"/>
      <c r="O208" s="31"/>
      <c r="P208" s="31"/>
      <c r="Q208" s="31"/>
      <c r="R208" s="31"/>
      <c r="S208" s="31"/>
      <c r="T208" s="762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</row>
    <row r="209">
      <c r="A209" s="31"/>
      <c r="B209" s="31"/>
      <c r="C209" s="31"/>
      <c r="D209" s="31"/>
      <c r="E209" s="187"/>
      <c r="F209" s="31"/>
      <c r="G209" s="31"/>
      <c r="H209" s="31"/>
      <c r="I209" s="31"/>
      <c r="J209" s="31"/>
      <c r="K209" s="760"/>
      <c r="L209" s="761"/>
      <c r="M209" s="760"/>
      <c r="N209" s="31"/>
      <c r="O209" s="31"/>
      <c r="P209" s="31"/>
      <c r="Q209" s="31"/>
      <c r="R209" s="31"/>
      <c r="S209" s="31"/>
      <c r="T209" s="762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</row>
    <row r="210">
      <c r="A210" s="31"/>
      <c r="B210" s="31"/>
      <c r="C210" s="31"/>
      <c r="D210" s="31"/>
      <c r="E210" s="187"/>
      <c r="F210" s="31"/>
      <c r="G210" s="31"/>
      <c r="H210" s="31"/>
      <c r="I210" s="31"/>
      <c r="J210" s="31"/>
      <c r="K210" s="760"/>
      <c r="L210" s="761"/>
      <c r="M210" s="760"/>
      <c r="N210" s="31"/>
      <c r="O210" s="31"/>
      <c r="P210" s="31"/>
      <c r="Q210" s="31"/>
      <c r="R210" s="31"/>
      <c r="S210" s="31"/>
      <c r="T210" s="762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</row>
    <row r="211">
      <c r="A211" s="31"/>
      <c r="B211" s="31"/>
      <c r="C211" s="31"/>
      <c r="D211" s="31"/>
      <c r="E211" s="187"/>
      <c r="F211" s="31"/>
      <c r="G211" s="31"/>
      <c r="H211" s="31"/>
      <c r="I211" s="31"/>
      <c r="J211" s="31"/>
      <c r="K211" s="760"/>
      <c r="L211" s="761"/>
      <c r="M211" s="760"/>
      <c r="N211" s="31"/>
      <c r="O211" s="31"/>
      <c r="P211" s="31"/>
      <c r="Q211" s="31"/>
      <c r="R211" s="31"/>
      <c r="S211" s="31"/>
      <c r="T211" s="762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</row>
    <row r="212">
      <c r="A212" s="31"/>
      <c r="B212" s="31"/>
      <c r="C212" s="31"/>
      <c r="D212" s="31"/>
      <c r="E212" s="187"/>
      <c r="F212" s="31"/>
      <c r="G212" s="31"/>
      <c r="H212" s="31"/>
      <c r="I212" s="31"/>
      <c r="J212" s="31"/>
      <c r="K212" s="760"/>
      <c r="L212" s="761"/>
      <c r="M212" s="760"/>
      <c r="N212" s="31"/>
      <c r="O212" s="31"/>
      <c r="P212" s="31"/>
      <c r="Q212" s="31"/>
      <c r="R212" s="31"/>
      <c r="S212" s="31"/>
      <c r="T212" s="762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</row>
    <row r="213">
      <c r="A213" s="31"/>
      <c r="B213" s="31"/>
      <c r="C213" s="31"/>
      <c r="D213" s="31"/>
      <c r="E213" s="187"/>
      <c r="F213" s="31"/>
      <c r="G213" s="31"/>
      <c r="H213" s="31"/>
      <c r="I213" s="31"/>
      <c r="J213" s="31"/>
      <c r="K213" s="760"/>
      <c r="L213" s="761"/>
      <c r="M213" s="760"/>
      <c r="N213" s="31"/>
      <c r="O213" s="31"/>
      <c r="P213" s="31"/>
      <c r="Q213" s="31"/>
      <c r="R213" s="31"/>
      <c r="S213" s="31"/>
      <c r="T213" s="762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</row>
    <row r="214">
      <c r="A214" s="31"/>
      <c r="B214" s="31"/>
      <c r="C214" s="31"/>
      <c r="D214" s="31"/>
      <c r="E214" s="187"/>
      <c r="F214" s="31"/>
      <c r="G214" s="31"/>
      <c r="H214" s="31"/>
      <c r="I214" s="31"/>
      <c r="J214" s="31"/>
      <c r="K214" s="760"/>
      <c r="L214" s="761"/>
      <c r="M214" s="760"/>
      <c r="N214" s="31"/>
      <c r="O214" s="31"/>
      <c r="P214" s="31"/>
      <c r="Q214" s="31"/>
      <c r="R214" s="31"/>
      <c r="S214" s="31"/>
      <c r="T214" s="762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</row>
    <row r="215">
      <c r="A215" s="31"/>
      <c r="B215" s="31"/>
      <c r="C215" s="31"/>
      <c r="D215" s="31"/>
      <c r="E215" s="187"/>
      <c r="F215" s="31"/>
      <c r="G215" s="31"/>
      <c r="H215" s="31"/>
      <c r="I215" s="31"/>
      <c r="J215" s="31"/>
      <c r="K215" s="760"/>
      <c r="L215" s="761"/>
      <c r="M215" s="760"/>
      <c r="N215" s="31"/>
      <c r="O215" s="31"/>
      <c r="P215" s="31"/>
      <c r="Q215" s="31"/>
      <c r="R215" s="31"/>
      <c r="S215" s="31"/>
      <c r="T215" s="762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</row>
    <row r="216">
      <c r="A216" s="31"/>
      <c r="B216" s="31"/>
      <c r="C216" s="31"/>
      <c r="D216" s="31"/>
      <c r="E216" s="187"/>
      <c r="F216" s="31"/>
      <c r="G216" s="31"/>
      <c r="H216" s="31"/>
      <c r="I216" s="31"/>
      <c r="J216" s="31"/>
      <c r="K216" s="760"/>
      <c r="L216" s="761"/>
      <c r="M216" s="760"/>
      <c r="N216" s="31"/>
      <c r="O216" s="31"/>
      <c r="P216" s="31"/>
      <c r="Q216" s="31"/>
      <c r="R216" s="31"/>
      <c r="S216" s="31"/>
      <c r="T216" s="762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</row>
    <row r="217">
      <c r="A217" s="31"/>
      <c r="B217" s="31"/>
      <c r="C217" s="31"/>
      <c r="D217" s="31"/>
      <c r="E217" s="187"/>
      <c r="F217" s="31"/>
      <c r="G217" s="31"/>
      <c r="H217" s="31"/>
      <c r="I217" s="31"/>
      <c r="J217" s="31"/>
      <c r="K217" s="760"/>
      <c r="L217" s="761"/>
      <c r="M217" s="760"/>
      <c r="N217" s="31"/>
      <c r="O217" s="31"/>
      <c r="P217" s="31"/>
      <c r="Q217" s="31"/>
      <c r="R217" s="31"/>
      <c r="S217" s="31"/>
      <c r="T217" s="762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</row>
    <row r="218">
      <c r="A218" s="31"/>
      <c r="B218" s="31"/>
      <c r="C218" s="31"/>
      <c r="D218" s="31"/>
      <c r="E218" s="187"/>
      <c r="F218" s="31"/>
      <c r="G218" s="31"/>
      <c r="H218" s="31"/>
      <c r="I218" s="31"/>
      <c r="J218" s="31"/>
      <c r="K218" s="760"/>
      <c r="L218" s="761"/>
      <c r="M218" s="760"/>
      <c r="N218" s="31"/>
      <c r="O218" s="31"/>
      <c r="P218" s="31"/>
      <c r="Q218" s="31"/>
      <c r="R218" s="31"/>
      <c r="S218" s="31"/>
      <c r="T218" s="762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</row>
    <row r="219">
      <c r="A219" s="31"/>
      <c r="B219" s="31"/>
      <c r="C219" s="31"/>
      <c r="D219" s="31"/>
      <c r="E219" s="187"/>
      <c r="F219" s="31"/>
      <c r="G219" s="31"/>
      <c r="H219" s="31"/>
      <c r="I219" s="31"/>
      <c r="J219" s="31"/>
      <c r="K219" s="760"/>
      <c r="L219" s="761"/>
      <c r="M219" s="760"/>
      <c r="N219" s="31"/>
      <c r="O219" s="31"/>
      <c r="P219" s="31"/>
      <c r="Q219" s="31"/>
      <c r="R219" s="31"/>
      <c r="S219" s="31"/>
      <c r="T219" s="762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</row>
    <row r="220">
      <c r="A220" s="31"/>
      <c r="B220" s="31"/>
      <c r="C220" s="31"/>
      <c r="D220" s="31"/>
      <c r="E220" s="187"/>
      <c r="F220" s="31"/>
      <c r="G220" s="31"/>
      <c r="H220" s="31"/>
      <c r="I220" s="31"/>
      <c r="J220" s="31"/>
      <c r="K220" s="760"/>
      <c r="L220" s="761"/>
      <c r="M220" s="760"/>
      <c r="N220" s="31"/>
      <c r="O220" s="31"/>
      <c r="P220" s="31"/>
      <c r="Q220" s="31"/>
      <c r="R220" s="31"/>
      <c r="S220" s="31"/>
      <c r="T220" s="762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</row>
    <row r="221">
      <c r="A221" s="31"/>
      <c r="B221" s="31"/>
      <c r="C221" s="31"/>
      <c r="D221" s="31"/>
      <c r="E221" s="187"/>
      <c r="F221" s="31"/>
      <c r="G221" s="31"/>
      <c r="H221" s="31"/>
      <c r="I221" s="31"/>
      <c r="J221" s="31"/>
      <c r="K221" s="760"/>
      <c r="L221" s="761"/>
      <c r="M221" s="760"/>
      <c r="N221" s="31"/>
      <c r="O221" s="31"/>
      <c r="P221" s="31"/>
      <c r="Q221" s="31"/>
      <c r="R221" s="31"/>
      <c r="S221" s="31"/>
      <c r="T221" s="762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</row>
    <row r="222">
      <c r="A222" s="31"/>
      <c r="B222" s="31"/>
      <c r="C222" s="31"/>
      <c r="D222" s="31"/>
      <c r="E222" s="187"/>
      <c r="F222" s="31"/>
      <c r="G222" s="31"/>
      <c r="H222" s="31"/>
      <c r="I222" s="31"/>
      <c r="J222" s="31"/>
      <c r="K222" s="760"/>
      <c r="L222" s="761"/>
      <c r="M222" s="760"/>
      <c r="N222" s="31"/>
      <c r="O222" s="31"/>
      <c r="P222" s="31"/>
      <c r="Q222" s="31"/>
      <c r="R222" s="31"/>
      <c r="S222" s="31"/>
      <c r="T222" s="762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</row>
    <row r="223">
      <c r="A223" s="31"/>
      <c r="B223" s="31"/>
      <c r="C223" s="31"/>
      <c r="D223" s="31"/>
      <c r="E223" s="187"/>
      <c r="F223" s="31"/>
      <c r="G223" s="31"/>
      <c r="H223" s="31"/>
      <c r="I223" s="31"/>
      <c r="J223" s="31"/>
      <c r="K223" s="760"/>
      <c r="L223" s="761"/>
      <c r="M223" s="760"/>
      <c r="N223" s="31"/>
      <c r="O223" s="31"/>
      <c r="P223" s="31"/>
      <c r="Q223" s="31"/>
      <c r="R223" s="31"/>
      <c r="S223" s="31"/>
      <c r="T223" s="762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</row>
    <row r="224">
      <c r="A224" s="31"/>
      <c r="B224" s="31"/>
      <c r="C224" s="31"/>
      <c r="D224" s="31"/>
      <c r="E224" s="187"/>
      <c r="F224" s="31"/>
      <c r="G224" s="31"/>
      <c r="H224" s="31"/>
      <c r="I224" s="31"/>
      <c r="J224" s="31"/>
      <c r="K224" s="760"/>
      <c r="L224" s="761"/>
      <c r="M224" s="760"/>
      <c r="N224" s="31"/>
      <c r="O224" s="31"/>
      <c r="P224" s="31"/>
      <c r="Q224" s="31"/>
      <c r="R224" s="31"/>
      <c r="S224" s="31"/>
      <c r="T224" s="762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</row>
    <row r="225">
      <c r="A225" s="31"/>
      <c r="B225" s="31"/>
      <c r="C225" s="31"/>
      <c r="D225" s="31"/>
      <c r="E225" s="187"/>
      <c r="F225" s="31"/>
      <c r="G225" s="31"/>
      <c r="H225" s="31"/>
      <c r="I225" s="31"/>
      <c r="J225" s="31"/>
      <c r="K225" s="760"/>
      <c r="L225" s="761"/>
      <c r="M225" s="760"/>
      <c r="N225" s="31"/>
      <c r="O225" s="31"/>
      <c r="P225" s="31"/>
      <c r="Q225" s="31"/>
      <c r="R225" s="31"/>
      <c r="S225" s="31"/>
      <c r="T225" s="762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</row>
    <row r="226">
      <c r="A226" s="31"/>
      <c r="B226" s="31"/>
      <c r="C226" s="31"/>
      <c r="D226" s="31"/>
      <c r="E226" s="187"/>
      <c r="F226" s="31"/>
      <c r="G226" s="31"/>
      <c r="H226" s="31"/>
      <c r="I226" s="31"/>
      <c r="J226" s="31"/>
      <c r="K226" s="760"/>
      <c r="L226" s="761"/>
      <c r="M226" s="760"/>
      <c r="N226" s="31"/>
      <c r="O226" s="31"/>
      <c r="P226" s="31"/>
      <c r="Q226" s="31"/>
      <c r="R226" s="31"/>
      <c r="S226" s="31"/>
      <c r="T226" s="762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</row>
    <row r="227">
      <c r="A227" s="31"/>
      <c r="B227" s="31"/>
      <c r="C227" s="31"/>
      <c r="D227" s="31"/>
      <c r="E227" s="187"/>
      <c r="F227" s="31"/>
      <c r="G227" s="31"/>
      <c r="H227" s="31"/>
      <c r="I227" s="31"/>
      <c r="J227" s="31"/>
      <c r="K227" s="760"/>
      <c r="L227" s="761"/>
      <c r="M227" s="760"/>
      <c r="N227" s="31"/>
      <c r="O227" s="31"/>
      <c r="P227" s="31"/>
      <c r="Q227" s="31"/>
      <c r="R227" s="31"/>
      <c r="S227" s="31"/>
      <c r="T227" s="762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</row>
    <row r="228">
      <c r="A228" s="31"/>
      <c r="B228" s="31"/>
      <c r="C228" s="31"/>
      <c r="D228" s="31"/>
      <c r="E228" s="187"/>
      <c r="F228" s="31"/>
      <c r="G228" s="31"/>
      <c r="H228" s="31"/>
      <c r="I228" s="31"/>
      <c r="J228" s="31"/>
      <c r="K228" s="760"/>
      <c r="L228" s="761"/>
      <c r="M228" s="760"/>
      <c r="N228" s="31"/>
      <c r="O228" s="31"/>
      <c r="P228" s="31"/>
      <c r="Q228" s="31"/>
      <c r="R228" s="31"/>
      <c r="S228" s="31"/>
      <c r="T228" s="762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</row>
    <row r="229">
      <c r="A229" s="31"/>
      <c r="B229" s="31"/>
      <c r="C229" s="31"/>
      <c r="D229" s="31"/>
      <c r="E229" s="187"/>
      <c r="F229" s="31"/>
      <c r="G229" s="31"/>
      <c r="H229" s="31"/>
      <c r="I229" s="31"/>
      <c r="J229" s="31"/>
      <c r="K229" s="760"/>
      <c r="L229" s="761"/>
      <c r="M229" s="760"/>
      <c r="N229" s="31"/>
      <c r="O229" s="31"/>
      <c r="P229" s="31"/>
      <c r="Q229" s="31"/>
      <c r="R229" s="31"/>
      <c r="S229" s="31"/>
      <c r="T229" s="762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</row>
    <row r="230">
      <c r="A230" s="31"/>
      <c r="B230" s="31"/>
      <c r="C230" s="31"/>
      <c r="D230" s="31"/>
      <c r="E230" s="187"/>
      <c r="F230" s="31"/>
      <c r="G230" s="31"/>
      <c r="H230" s="31"/>
      <c r="I230" s="31"/>
      <c r="J230" s="31"/>
      <c r="K230" s="760"/>
      <c r="L230" s="761"/>
      <c r="M230" s="760"/>
      <c r="N230" s="31"/>
      <c r="O230" s="31"/>
      <c r="P230" s="31"/>
      <c r="Q230" s="31"/>
      <c r="R230" s="31"/>
      <c r="S230" s="31"/>
      <c r="T230" s="762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</row>
    <row r="231">
      <c r="A231" s="31"/>
      <c r="B231" s="31"/>
      <c r="C231" s="31"/>
      <c r="D231" s="31"/>
      <c r="E231" s="187"/>
      <c r="F231" s="31"/>
      <c r="G231" s="31"/>
      <c r="H231" s="31"/>
      <c r="I231" s="31"/>
      <c r="J231" s="31"/>
      <c r="K231" s="760"/>
      <c r="L231" s="761"/>
      <c r="M231" s="760"/>
      <c r="N231" s="31"/>
      <c r="O231" s="31"/>
      <c r="P231" s="31"/>
      <c r="Q231" s="31"/>
      <c r="R231" s="31"/>
      <c r="S231" s="31"/>
      <c r="T231" s="762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</row>
    <row r="232">
      <c r="A232" s="31"/>
      <c r="B232" s="31"/>
      <c r="C232" s="31"/>
      <c r="D232" s="31"/>
      <c r="E232" s="187"/>
      <c r="F232" s="31"/>
      <c r="G232" s="31"/>
      <c r="H232" s="31"/>
      <c r="I232" s="31"/>
      <c r="J232" s="31"/>
      <c r="K232" s="760"/>
      <c r="L232" s="761"/>
      <c r="M232" s="760"/>
      <c r="N232" s="31"/>
      <c r="O232" s="31"/>
      <c r="P232" s="31"/>
      <c r="Q232" s="31"/>
      <c r="R232" s="31"/>
      <c r="S232" s="31"/>
      <c r="T232" s="762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</row>
    <row r="233">
      <c r="A233" s="31"/>
      <c r="B233" s="31"/>
      <c r="C233" s="31"/>
      <c r="D233" s="31"/>
      <c r="E233" s="187"/>
      <c r="F233" s="31"/>
      <c r="G233" s="31"/>
      <c r="H233" s="31"/>
      <c r="I233" s="31"/>
      <c r="J233" s="31"/>
      <c r="K233" s="760"/>
      <c r="L233" s="761"/>
      <c r="M233" s="760"/>
      <c r="N233" s="31"/>
      <c r="O233" s="31"/>
      <c r="P233" s="31"/>
      <c r="Q233" s="31"/>
      <c r="R233" s="31"/>
      <c r="S233" s="31"/>
      <c r="T233" s="762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</row>
    <row r="234">
      <c r="A234" s="31"/>
      <c r="B234" s="31"/>
      <c r="C234" s="31"/>
      <c r="D234" s="31"/>
      <c r="E234" s="187"/>
      <c r="F234" s="31"/>
      <c r="G234" s="31"/>
      <c r="H234" s="31"/>
      <c r="I234" s="31"/>
      <c r="J234" s="31"/>
      <c r="K234" s="760"/>
      <c r="L234" s="761"/>
      <c r="M234" s="760"/>
      <c r="N234" s="31"/>
      <c r="O234" s="31"/>
      <c r="P234" s="31"/>
      <c r="Q234" s="31"/>
      <c r="R234" s="31"/>
      <c r="S234" s="31"/>
      <c r="T234" s="762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</row>
    <row r="235">
      <c r="A235" s="31"/>
      <c r="B235" s="31"/>
      <c r="C235" s="31"/>
      <c r="D235" s="31"/>
      <c r="E235" s="187"/>
      <c r="F235" s="31"/>
      <c r="G235" s="31"/>
      <c r="H235" s="31"/>
      <c r="I235" s="31"/>
      <c r="J235" s="31"/>
      <c r="K235" s="760"/>
      <c r="L235" s="761"/>
      <c r="M235" s="760"/>
      <c r="N235" s="31"/>
      <c r="O235" s="31"/>
      <c r="P235" s="31"/>
      <c r="Q235" s="31"/>
      <c r="R235" s="31"/>
      <c r="S235" s="31"/>
      <c r="T235" s="762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</row>
    <row r="236">
      <c r="A236" s="31"/>
      <c r="B236" s="31"/>
      <c r="C236" s="31"/>
      <c r="D236" s="31"/>
      <c r="E236" s="187"/>
      <c r="F236" s="31"/>
      <c r="G236" s="31"/>
      <c r="H236" s="31"/>
      <c r="I236" s="31"/>
      <c r="J236" s="31"/>
      <c r="K236" s="760"/>
      <c r="L236" s="761"/>
      <c r="M236" s="760"/>
      <c r="N236" s="31"/>
      <c r="O236" s="31"/>
      <c r="P236" s="31"/>
      <c r="Q236" s="31"/>
      <c r="R236" s="31"/>
      <c r="S236" s="31"/>
      <c r="T236" s="762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</row>
    <row r="237">
      <c r="A237" s="31"/>
      <c r="B237" s="31"/>
      <c r="C237" s="31"/>
      <c r="D237" s="31"/>
      <c r="E237" s="187"/>
      <c r="F237" s="31"/>
      <c r="G237" s="31"/>
      <c r="H237" s="31"/>
      <c r="I237" s="31"/>
      <c r="J237" s="31"/>
      <c r="K237" s="760"/>
      <c r="L237" s="761"/>
      <c r="M237" s="760"/>
      <c r="N237" s="31"/>
      <c r="O237" s="31"/>
      <c r="P237" s="31"/>
      <c r="Q237" s="31"/>
      <c r="R237" s="31"/>
      <c r="S237" s="31"/>
      <c r="T237" s="762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</row>
    <row r="238">
      <c r="A238" s="31"/>
      <c r="B238" s="31"/>
      <c r="C238" s="31"/>
      <c r="D238" s="31"/>
      <c r="E238" s="187"/>
      <c r="F238" s="31"/>
      <c r="G238" s="31"/>
      <c r="H238" s="31"/>
      <c r="I238" s="31"/>
      <c r="J238" s="31"/>
      <c r="K238" s="760"/>
      <c r="L238" s="761"/>
      <c r="M238" s="760"/>
      <c r="N238" s="31"/>
      <c r="O238" s="31"/>
      <c r="P238" s="31"/>
      <c r="Q238" s="31"/>
      <c r="R238" s="31"/>
      <c r="S238" s="31"/>
      <c r="T238" s="762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</row>
    <row r="239">
      <c r="A239" s="31"/>
      <c r="B239" s="31"/>
      <c r="C239" s="31"/>
      <c r="D239" s="31"/>
      <c r="E239" s="187"/>
      <c r="F239" s="31"/>
      <c r="G239" s="31"/>
      <c r="H239" s="31"/>
      <c r="I239" s="31"/>
      <c r="J239" s="31"/>
      <c r="K239" s="760"/>
      <c r="L239" s="761"/>
      <c r="M239" s="760"/>
      <c r="N239" s="31"/>
      <c r="O239" s="31"/>
      <c r="P239" s="31"/>
      <c r="Q239" s="31"/>
      <c r="R239" s="31"/>
      <c r="S239" s="31"/>
      <c r="T239" s="762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</row>
    <row r="240">
      <c r="A240" s="31"/>
      <c r="B240" s="31"/>
      <c r="C240" s="31"/>
      <c r="D240" s="31"/>
      <c r="E240" s="187"/>
      <c r="F240" s="31"/>
      <c r="G240" s="31"/>
      <c r="H240" s="31"/>
      <c r="I240" s="31"/>
      <c r="J240" s="31"/>
      <c r="K240" s="760"/>
      <c r="L240" s="761"/>
      <c r="M240" s="760"/>
      <c r="N240" s="31"/>
      <c r="O240" s="31"/>
      <c r="P240" s="31"/>
      <c r="Q240" s="31"/>
      <c r="R240" s="31"/>
      <c r="S240" s="31"/>
      <c r="T240" s="762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</row>
    <row r="241">
      <c r="A241" s="31"/>
      <c r="B241" s="31"/>
      <c r="C241" s="31"/>
      <c r="D241" s="31"/>
      <c r="E241" s="187"/>
      <c r="F241" s="31"/>
      <c r="G241" s="31"/>
      <c r="H241" s="31"/>
      <c r="I241" s="31"/>
      <c r="J241" s="31"/>
      <c r="K241" s="760"/>
      <c r="L241" s="761"/>
      <c r="M241" s="760"/>
      <c r="N241" s="31"/>
      <c r="O241" s="31"/>
      <c r="P241" s="31"/>
      <c r="Q241" s="31"/>
      <c r="R241" s="31"/>
      <c r="S241" s="31"/>
      <c r="T241" s="762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</row>
    <row r="242">
      <c r="A242" s="31"/>
      <c r="B242" s="31"/>
      <c r="C242" s="31"/>
      <c r="D242" s="31"/>
      <c r="E242" s="187"/>
      <c r="F242" s="31"/>
      <c r="G242" s="31"/>
      <c r="H242" s="31"/>
      <c r="I242" s="31"/>
      <c r="J242" s="31"/>
      <c r="K242" s="760"/>
      <c r="L242" s="761"/>
      <c r="M242" s="760"/>
      <c r="N242" s="31"/>
      <c r="O242" s="31"/>
      <c r="P242" s="31"/>
      <c r="Q242" s="31"/>
      <c r="R242" s="31"/>
      <c r="S242" s="31"/>
      <c r="T242" s="762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</row>
    <row r="243">
      <c r="A243" s="31"/>
      <c r="B243" s="31"/>
      <c r="C243" s="31"/>
      <c r="D243" s="31"/>
      <c r="E243" s="187"/>
      <c r="F243" s="31"/>
      <c r="G243" s="31"/>
      <c r="H243" s="31"/>
      <c r="I243" s="31"/>
      <c r="J243" s="31"/>
      <c r="K243" s="760"/>
      <c r="L243" s="761"/>
      <c r="M243" s="760"/>
      <c r="N243" s="31"/>
      <c r="O243" s="31"/>
      <c r="P243" s="31"/>
      <c r="Q243" s="31"/>
      <c r="R243" s="31"/>
      <c r="S243" s="31"/>
      <c r="T243" s="762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</row>
    <row r="244">
      <c r="A244" s="31"/>
      <c r="B244" s="31"/>
      <c r="C244" s="31"/>
      <c r="D244" s="31"/>
      <c r="E244" s="187"/>
      <c r="F244" s="31"/>
      <c r="G244" s="31"/>
      <c r="H244" s="31"/>
      <c r="I244" s="31"/>
      <c r="J244" s="31"/>
      <c r="K244" s="760"/>
      <c r="L244" s="761"/>
      <c r="M244" s="760"/>
      <c r="N244" s="31"/>
      <c r="O244" s="31"/>
      <c r="P244" s="31"/>
      <c r="Q244" s="31"/>
      <c r="R244" s="31"/>
      <c r="S244" s="31"/>
      <c r="T244" s="762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</row>
    <row r="245">
      <c r="A245" s="31"/>
      <c r="B245" s="31"/>
      <c r="C245" s="31"/>
      <c r="D245" s="31"/>
      <c r="E245" s="187"/>
      <c r="F245" s="31"/>
      <c r="G245" s="31"/>
      <c r="H245" s="31"/>
      <c r="I245" s="31"/>
      <c r="J245" s="31"/>
      <c r="K245" s="760"/>
      <c r="L245" s="761"/>
      <c r="M245" s="760"/>
      <c r="N245" s="31"/>
      <c r="O245" s="31"/>
      <c r="P245" s="31"/>
      <c r="Q245" s="31"/>
      <c r="R245" s="31"/>
      <c r="S245" s="31"/>
      <c r="T245" s="762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</row>
    <row r="246">
      <c r="A246" s="31"/>
      <c r="B246" s="31"/>
      <c r="C246" s="31"/>
      <c r="D246" s="31"/>
      <c r="E246" s="187"/>
      <c r="F246" s="31"/>
      <c r="G246" s="31"/>
      <c r="H246" s="31"/>
      <c r="I246" s="31"/>
      <c r="J246" s="31"/>
      <c r="K246" s="760"/>
      <c r="L246" s="761"/>
      <c r="M246" s="760"/>
      <c r="N246" s="31"/>
      <c r="O246" s="31"/>
      <c r="P246" s="31"/>
      <c r="Q246" s="31"/>
      <c r="R246" s="31"/>
      <c r="S246" s="31"/>
      <c r="T246" s="762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</row>
    <row r="247">
      <c r="A247" s="31"/>
      <c r="B247" s="31"/>
      <c r="C247" s="31"/>
      <c r="D247" s="31"/>
      <c r="E247" s="187"/>
      <c r="F247" s="31"/>
      <c r="G247" s="31"/>
      <c r="H247" s="31"/>
      <c r="I247" s="31"/>
      <c r="J247" s="31"/>
      <c r="K247" s="760"/>
      <c r="L247" s="761"/>
      <c r="M247" s="760"/>
      <c r="N247" s="31"/>
      <c r="O247" s="31"/>
      <c r="P247" s="31"/>
      <c r="Q247" s="31"/>
      <c r="R247" s="31"/>
      <c r="S247" s="31"/>
      <c r="T247" s="762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</row>
    <row r="248">
      <c r="A248" s="31"/>
      <c r="B248" s="31"/>
      <c r="C248" s="31"/>
      <c r="D248" s="31"/>
      <c r="E248" s="187"/>
      <c r="F248" s="31"/>
      <c r="G248" s="31"/>
      <c r="H248" s="31"/>
      <c r="I248" s="31"/>
      <c r="J248" s="31"/>
      <c r="K248" s="760"/>
      <c r="L248" s="761"/>
      <c r="M248" s="760"/>
      <c r="N248" s="31"/>
      <c r="O248" s="31"/>
      <c r="P248" s="31"/>
      <c r="Q248" s="31"/>
      <c r="R248" s="31"/>
      <c r="S248" s="31"/>
      <c r="T248" s="762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</row>
    <row r="249">
      <c r="A249" s="31"/>
      <c r="B249" s="31"/>
      <c r="C249" s="31"/>
      <c r="D249" s="31"/>
      <c r="E249" s="187"/>
      <c r="F249" s="31"/>
      <c r="G249" s="31"/>
      <c r="H249" s="31"/>
      <c r="I249" s="31"/>
      <c r="J249" s="31"/>
      <c r="K249" s="760"/>
      <c r="L249" s="761"/>
      <c r="M249" s="760"/>
      <c r="N249" s="31"/>
      <c r="O249" s="31"/>
      <c r="P249" s="31"/>
      <c r="Q249" s="31"/>
      <c r="R249" s="31"/>
      <c r="S249" s="31"/>
      <c r="T249" s="762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</row>
    <row r="250">
      <c r="A250" s="31"/>
      <c r="B250" s="31"/>
      <c r="C250" s="31"/>
      <c r="D250" s="31"/>
      <c r="E250" s="187"/>
      <c r="F250" s="31"/>
      <c r="G250" s="31"/>
      <c r="H250" s="31"/>
      <c r="I250" s="31"/>
      <c r="J250" s="31"/>
      <c r="K250" s="760"/>
      <c r="L250" s="761"/>
      <c r="M250" s="760"/>
      <c r="N250" s="31"/>
      <c r="O250" s="31"/>
      <c r="P250" s="31"/>
      <c r="Q250" s="31"/>
      <c r="R250" s="31"/>
      <c r="S250" s="31"/>
      <c r="T250" s="762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</row>
    <row r="251">
      <c r="A251" s="31"/>
      <c r="B251" s="31"/>
      <c r="C251" s="31"/>
      <c r="D251" s="31"/>
      <c r="E251" s="187"/>
      <c r="F251" s="31"/>
      <c r="G251" s="31"/>
      <c r="H251" s="31"/>
      <c r="I251" s="31"/>
      <c r="J251" s="31"/>
      <c r="K251" s="760"/>
      <c r="L251" s="761"/>
      <c r="M251" s="760"/>
      <c r="N251" s="31"/>
      <c r="O251" s="31"/>
      <c r="P251" s="31"/>
      <c r="Q251" s="31"/>
      <c r="R251" s="31"/>
      <c r="S251" s="31"/>
      <c r="T251" s="762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</row>
    <row r="252">
      <c r="A252" s="31"/>
      <c r="B252" s="31"/>
      <c r="C252" s="31"/>
      <c r="D252" s="31"/>
      <c r="E252" s="187"/>
      <c r="F252" s="31"/>
      <c r="G252" s="31"/>
      <c r="H252" s="31"/>
      <c r="I252" s="31"/>
      <c r="J252" s="31"/>
      <c r="K252" s="760"/>
      <c r="L252" s="761"/>
      <c r="M252" s="760"/>
      <c r="N252" s="31"/>
      <c r="O252" s="31"/>
      <c r="P252" s="31"/>
      <c r="Q252" s="31"/>
      <c r="R252" s="31"/>
      <c r="S252" s="31"/>
      <c r="T252" s="762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</row>
    <row r="253">
      <c r="A253" s="31"/>
      <c r="B253" s="31"/>
      <c r="C253" s="31"/>
      <c r="D253" s="31"/>
      <c r="E253" s="187"/>
      <c r="F253" s="31"/>
      <c r="G253" s="31"/>
      <c r="H253" s="31"/>
      <c r="I253" s="31"/>
      <c r="J253" s="31"/>
      <c r="K253" s="760"/>
      <c r="L253" s="761"/>
      <c r="M253" s="760"/>
      <c r="N253" s="31"/>
      <c r="O253" s="31"/>
      <c r="P253" s="31"/>
      <c r="Q253" s="31"/>
      <c r="R253" s="31"/>
      <c r="S253" s="31"/>
      <c r="T253" s="762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</row>
    <row r="254">
      <c r="A254" s="31"/>
      <c r="B254" s="31"/>
      <c r="C254" s="31"/>
      <c r="D254" s="31"/>
      <c r="E254" s="187"/>
      <c r="F254" s="31"/>
      <c r="G254" s="31"/>
      <c r="H254" s="31"/>
      <c r="I254" s="31"/>
      <c r="J254" s="31"/>
      <c r="K254" s="760"/>
      <c r="L254" s="761"/>
      <c r="M254" s="760"/>
      <c r="N254" s="31"/>
      <c r="O254" s="31"/>
      <c r="P254" s="31"/>
      <c r="Q254" s="31"/>
      <c r="R254" s="31"/>
      <c r="S254" s="31"/>
      <c r="T254" s="762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</row>
    <row r="255">
      <c r="A255" s="31"/>
      <c r="B255" s="31"/>
      <c r="C255" s="31"/>
      <c r="D255" s="31"/>
      <c r="E255" s="187"/>
      <c r="F255" s="31"/>
      <c r="G255" s="31"/>
      <c r="H255" s="31"/>
      <c r="I255" s="31"/>
      <c r="J255" s="31"/>
      <c r="K255" s="760"/>
      <c r="L255" s="761"/>
      <c r="M255" s="760"/>
      <c r="N255" s="31"/>
      <c r="O255" s="31"/>
      <c r="P255" s="31"/>
      <c r="Q255" s="31"/>
      <c r="R255" s="31"/>
      <c r="S255" s="31"/>
      <c r="T255" s="762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</row>
    <row r="256">
      <c r="A256" s="31"/>
      <c r="B256" s="31"/>
      <c r="C256" s="31"/>
      <c r="D256" s="31"/>
      <c r="E256" s="187"/>
      <c r="F256" s="31"/>
      <c r="G256" s="31"/>
      <c r="H256" s="31"/>
      <c r="I256" s="31"/>
      <c r="J256" s="31"/>
      <c r="K256" s="760"/>
      <c r="L256" s="761"/>
      <c r="M256" s="760"/>
      <c r="N256" s="31"/>
      <c r="O256" s="31"/>
      <c r="P256" s="31"/>
      <c r="Q256" s="31"/>
      <c r="R256" s="31"/>
      <c r="S256" s="31"/>
      <c r="T256" s="762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</row>
    <row r="257">
      <c r="A257" s="31"/>
      <c r="B257" s="31"/>
      <c r="C257" s="31"/>
      <c r="D257" s="31"/>
      <c r="E257" s="187"/>
      <c r="F257" s="31"/>
      <c r="G257" s="31"/>
      <c r="H257" s="31"/>
      <c r="I257" s="31"/>
      <c r="J257" s="31"/>
      <c r="K257" s="760"/>
      <c r="L257" s="761"/>
      <c r="M257" s="760"/>
      <c r="N257" s="31"/>
      <c r="O257" s="31"/>
      <c r="P257" s="31"/>
      <c r="Q257" s="31"/>
      <c r="R257" s="31"/>
      <c r="S257" s="31"/>
      <c r="T257" s="762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</row>
    <row r="258">
      <c r="A258" s="31"/>
      <c r="B258" s="31"/>
      <c r="C258" s="31"/>
      <c r="D258" s="31"/>
      <c r="E258" s="187"/>
      <c r="F258" s="31"/>
      <c r="G258" s="31"/>
      <c r="H258" s="31"/>
      <c r="I258" s="31"/>
      <c r="J258" s="31"/>
      <c r="K258" s="760"/>
      <c r="L258" s="761"/>
      <c r="M258" s="760"/>
      <c r="N258" s="31"/>
      <c r="O258" s="31"/>
      <c r="P258" s="31"/>
      <c r="Q258" s="31"/>
      <c r="R258" s="31"/>
      <c r="S258" s="31"/>
      <c r="T258" s="762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</row>
    <row r="259">
      <c r="A259" s="31"/>
      <c r="B259" s="31"/>
      <c r="C259" s="31"/>
      <c r="D259" s="31"/>
      <c r="E259" s="187"/>
      <c r="F259" s="31"/>
      <c r="G259" s="31"/>
      <c r="H259" s="31"/>
      <c r="I259" s="31"/>
      <c r="J259" s="31"/>
      <c r="K259" s="760"/>
      <c r="L259" s="761"/>
      <c r="M259" s="760"/>
      <c r="N259" s="31"/>
      <c r="O259" s="31"/>
      <c r="P259" s="31"/>
      <c r="Q259" s="31"/>
      <c r="R259" s="31"/>
      <c r="S259" s="31"/>
      <c r="T259" s="762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</row>
    <row r="260">
      <c r="A260" s="31"/>
      <c r="B260" s="31"/>
      <c r="C260" s="31"/>
      <c r="D260" s="31"/>
      <c r="E260" s="187"/>
      <c r="F260" s="31"/>
      <c r="G260" s="31"/>
      <c r="H260" s="31"/>
      <c r="I260" s="31"/>
      <c r="J260" s="31"/>
      <c r="K260" s="760"/>
      <c r="L260" s="761"/>
      <c r="M260" s="760"/>
      <c r="N260" s="31"/>
      <c r="O260" s="31"/>
      <c r="P260" s="31"/>
      <c r="Q260" s="31"/>
      <c r="R260" s="31"/>
      <c r="S260" s="31"/>
      <c r="T260" s="762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</row>
    <row r="261">
      <c r="A261" s="31"/>
      <c r="B261" s="31"/>
      <c r="C261" s="31"/>
      <c r="D261" s="31"/>
      <c r="E261" s="187"/>
      <c r="F261" s="31"/>
      <c r="G261" s="31"/>
      <c r="H261" s="31"/>
      <c r="I261" s="31"/>
      <c r="J261" s="31"/>
      <c r="K261" s="760"/>
      <c r="L261" s="761"/>
      <c r="M261" s="760"/>
      <c r="N261" s="31"/>
      <c r="O261" s="31"/>
      <c r="P261" s="31"/>
      <c r="Q261" s="31"/>
      <c r="R261" s="31"/>
      <c r="S261" s="31"/>
      <c r="T261" s="762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</row>
    <row r="262">
      <c r="A262" s="31"/>
      <c r="B262" s="31"/>
      <c r="C262" s="31"/>
      <c r="D262" s="31"/>
      <c r="E262" s="187"/>
      <c r="F262" s="31"/>
      <c r="G262" s="31"/>
      <c r="H262" s="31"/>
      <c r="I262" s="31"/>
      <c r="J262" s="31"/>
      <c r="K262" s="760"/>
      <c r="L262" s="761"/>
      <c r="M262" s="760"/>
      <c r="N262" s="31"/>
      <c r="O262" s="31"/>
      <c r="P262" s="31"/>
      <c r="Q262" s="31"/>
      <c r="R262" s="31"/>
      <c r="S262" s="31"/>
      <c r="T262" s="762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</row>
    <row r="263">
      <c r="A263" s="31"/>
      <c r="B263" s="31"/>
      <c r="C263" s="31"/>
      <c r="D263" s="31"/>
      <c r="E263" s="187"/>
      <c r="F263" s="31"/>
      <c r="G263" s="31"/>
      <c r="H263" s="31"/>
      <c r="I263" s="31"/>
      <c r="J263" s="31"/>
      <c r="K263" s="760"/>
      <c r="L263" s="761"/>
      <c r="M263" s="760"/>
      <c r="N263" s="31"/>
      <c r="O263" s="31"/>
      <c r="P263" s="31"/>
      <c r="Q263" s="31"/>
      <c r="R263" s="31"/>
      <c r="S263" s="31"/>
      <c r="T263" s="762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</row>
    <row r="264">
      <c r="A264" s="31"/>
      <c r="B264" s="31"/>
      <c r="C264" s="31"/>
      <c r="D264" s="31"/>
      <c r="E264" s="187"/>
      <c r="F264" s="31"/>
      <c r="G264" s="31"/>
      <c r="H264" s="31"/>
      <c r="I264" s="31"/>
      <c r="J264" s="31"/>
      <c r="K264" s="760"/>
      <c r="L264" s="761"/>
      <c r="M264" s="760"/>
      <c r="N264" s="31"/>
      <c r="O264" s="31"/>
      <c r="P264" s="31"/>
      <c r="Q264" s="31"/>
      <c r="R264" s="31"/>
      <c r="S264" s="31"/>
      <c r="T264" s="762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</row>
    <row r="265">
      <c r="A265" s="31"/>
      <c r="B265" s="31"/>
      <c r="C265" s="31"/>
      <c r="D265" s="31"/>
      <c r="E265" s="187"/>
      <c r="F265" s="31"/>
      <c r="G265" s="31"/>
      <c r="H265" s="31"/>
      <c r="I265" s="31"/>
      <c r="J265" s="31"/>
      <c r="K265" s="760"/>
      <c r="L265" s="761"/>
      <c r="M265" s="760"/>
      <c r="N265" s="31"/>
      <c r="O265" s="31"/>
      <c r="P265" s="31"/>
      <c r="Q265" s="31"/>
      <c r="R265" s="31"/>
      <c r="S265" s="31"/>
      <c r="T265" s="762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</row>
    <row r="266">
      <c r="A266" s="31"/>
      <c r="B266" s="31"/>
      <c r="C266" s="31"/>
      <c r="D266" s="31"/>
      <c r="E266" s="187"/>
      <c r="F266" s="31"/>
      <c r="G266" s="31"/>
      <c r="H266" s="31"/>
      <c r="I266" s="31"/>
      <c r="J266" s="31"/>
      <c r="K266" s="760"/>
      <c r="L266" s="761"/>
      <c r="M266" s="760"/>
      <c r="N266" s="31"/>
      <c r="O266" s="31"/>
      <c r="P266" s="31"/>
      <c r="Q266" s="31"/>
      <c r="R266" s="31"/>
      <c r="S266" s="31"/>
      <c r="T266" s="762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</row>
    <row r="267">
      <c r="A267" s="31"/>
      <c r="B267" s="31"/>
      <c r="C267" s="31"/>
      <c r="D267" s="31"/>
      <c r="E267" s="187"/>
      <c r="F267" s="31"/>
      <c r="G267" s="31"/>
      <c r="H267" s="31"/>
      <c r="I267" s="31"/>
      <c r="J267" s="31"/>
      <c r="K267" s="760"/>
      <c r="L267" s="761"/>
      <c r="M267" s="760"/>
      <c r="N267" s="31"/>
      <c r="O267" s="31"/>
      <c r="P267" s="31"/>
      <c r="Q267" s="31"/>
      <c r="R267" s="31"/>
      <c r="S267" s="31"/>
      <c r="T267" s="762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</row>
    <row r="268">
      <c r="A268" s="31"/>
      <c r="B268" s="31"/>
      <c r="C268" s="31"/>
      <c r="D268" s="31"/>
      <c r="E268" s="187"/>
      <c r="F268" s="31"/>
      <c r="G268" s="31"/>
      <c r="H268" s="31"/>
      <c r="I268" s="31"/>
      <c r="J268" s="31"/>
      <c r="K268" s="760"/>
      <c r="L268" s="761"/>
      <c r="M268" s="760"/>
      <c r="N268" s="31"/>
      <c r="O268" s="31"/>
      <c r="P268" s="31"/>
      <c r="Q268" s="31"/>
      <c r="R268" s="31"/>
      <c r="S268" s="31"/>
      <c r="T268" s="762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</row>
    <row r="269">
      <c r="A269" s="31"/>
      <c r="B269" s="31"/>
      <c r="C269" s="31"/>
      <c r="D269" s="31"/>
      <c r="E269" s="187"/>
      <c r="F269" s="31"/>
      <c r="G269" s="31"/>
      <c r="H269" s="31"/>
      <c r="I269" s="31"/>
      <c r="J269" s="31"/>
      <c r="K269" s="760"/>
      <c r="L269" s="761"/>
      <c r="M269" s="760"/>
      <c r="N269" s="31"/>
      <c r="O269" s="31"/>
      <c r="P269" s="31"/>
      <c r="Q269" s="31"/>
      <c r="R269" s="31"/>
      <c r="S269" s="31"/>
      <c r="T269" s="762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</row>
    <row r="270">
      <c r="A270" s="31"/>
      <c r="B270" s="31"/>
      <c r="C270" s="31"/>
      <c r="D270" s="31"/>
      <c r="E270" s="187"/>
      <c r="F270" s="31"/>
      <c r="G270" s="31"/>
      <c r="H270" s="31"/>
      <c r="I270" s="31"/>
      <c r="J270" s="31"/>
      <c r="K270" s="760"/>
      <c r="L270" s="761"/>
      <c r="M270" s="760"/>
      <c r="N270" s="31"/>
      <c r="O270" s="31"/>
      <c r="P270" s="31"/>
      <c r="Q270" s="31"/>
      <c r="R270" s="31"/>
      <c r="S270" s="31"/>
      <c r="T270" s="762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</row>
    <row r="271">
      <c r="A271" s="31"/>
      <c r="B271" s="31"/>
      <c r="C271" s="31"/>
      <c r="D271" s="31"/>
      <c r="E271" s="187"/>
      <c r="F271" s="31"/>
      <c r="G271" s="31"/>
      <c r="H271" s="31"/>
      <c r="I271" s="31"/>
      <c r="J271" s="31"/>
      <c r="K271" s="760"/>
      <c r="L271" s="761"/>
      <c r="M271" s="760"/>
      <c r="N271" s="31"/>
      <c r="O271" s="31"/>
      <c r="P271" s="31"/>
      <c r="Q271" s="31"/>
      <c r="R271" s="31"/>
      <c r="S271" s="31"/>
      <c r="T271" s="762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</row>
    <row r="272">
      <c r="A272" s="31"/>
      <c r="B272" s="31"/>
      <c r="C272" s="31"/>
      <c r="D272" s="31"/>
      <c r="E272" s="187"/>
      <c r="F272" s="31"/>
      <c r="G272" s="31"/>
      <c r="H272" s="31"/>
      <c r="I272" s="31"/>
      <c r="J272" s="31"/>
      <c r="K272" s="760"/>
      <c r="L272" s="761"/>
      <c r="M272" s="760"/>
      <c r="N272" s="31"/>
      <c r="O272" s="31"/>
      <c r="P272" s="31"/>
      <c r="Q272" s="31"/>
      <c r="R272" s="31"/>
      <c r="S272" s="31"/>
      <c r="T272" s="762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</row>
    <row r="273">
      <c r="A273" s="31"/>
      <c r="B273" s="31"/>
      <c r="C273" s="31"/>
      <c r="D273" s="31"/>
      <c r="E273" s="187"/>
      <c r="F273" s="31"/>
      <c r="G273" s="31"/>
      <c r="H273" s="31"/>
      <c r="I273" s="31"/>
      <c r="J273" s="31"/>
      <c r="K273" s="760"/>
      <c r="L273" s="761"/>
      <c r="M273" s="760"/>
      <c r="N273" s="31"/>
      <c r="O273" s="31"/>
      <c r="P273" s="31"/>
      <c r="Q273" s="31"/>
      <c r="R273" s="31"/>
      <c r="S273" s="31"/>
      <c r="T273" s="762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</row>
    <row r="274">
      <c r="A274" s="31"/>
      <c r="B274" s="31"/>
      <c r="C274" s="31"/>
      <c r="D274" s="31"/>
      <c r="E274" s="187"/>
      <c r="F274" s="31"/>
      <c r="G274" s="31"/>
      <c r="H274" s="31"/>
      <c r="I274" s="31"/>
      <c r="J274" s="31"/>
      <c r="K274" s="760"/>
      <c r="L274" s="761"/>
      <c r="M274" s="760"/>
      <c r="N274" s="31"/>
      <c r="O274" s="31"/>
      <c r="P274" s="31"/>
      <c r="Q274" s="31"/>
      <c r="R274" s="31"/>
      <c r="S274" s="31"/>
      <c r="T274" s="762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</row>
    <row r="275">
      <c r="A275" s="31"/>
      <c r="B275" s="31"/>
      <c r="C275" s="31"/>
      <c r="D275" s="31"/>
      <c r="E275" s="187"/>
      <c r="F275" s="31"/>
      <c r="G275" s="31"/>
      <c r="H275" s="31"/>
      <c r="I275" s="31"/>
      <c r="J275" s="31"/>
      <c r="K275" s="760"/>
      <c r="L275" s="761"/>
      <c r="M275" s="760"/>
      <c r="N275" s="31"/>
      <c r="O275" s="31"/>
      <c r="P275" s="31"/>
      <c r="Q275" s="31"/>
      <c r="R275" s="31"/>
      <c r="S275" s="31"/>
      <c r="T275" s="762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</row>
    <row r="276">
      <c r="A276" s="31"/>
      <c r="B276" s="31"/>
      <c r="C276" s="31"/>
      <c r="D276" s="31"/>
      <c r="E276" s="187"/>
      <c r="F276" s="31"/>
      <c r="G276" s="31"/>
      <c r="H276" s="31"/>
      <c r="I276" s="31"/>
      <c r="J276" s="31"/>
      <c r="K276" s="760"/>
      <c r="L276" s="761"/>
      <c r="M276" s="760"/>
      <c r="N276" s="31"/>
      <c r="O276" s="31"/>
      <c r="P276" s="31"/>
      <c r="Q276" s="31"/>
      <c r="R276" s="31"/>
      <c r="S276" s="31"/>
      <c r="T276" s="762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</row>
    <row r="277">
      <c r="A277" s="31"/>
      <c r="B277" s="31"/>
      <c r="C277" s="31"/>
      <c r="D277" s="31"/>
      <c r="E277" s="187"/>
      <c r="F277" s="31"/>
      <c r="G277" s="31"/>
      <c r="H277" s="31"/>
      <c r="I277" s="31"/>
      <c r="J277" s="31"/>
      <c r="K277" s="760"/>
      <c r="L277" s="761"/>
      <c r="M277" s="760"/>
      <c r="N277" s="31"/>
      <c r="O277" s="31"/>
      <c r="P277" s="31"/>
      <c r="Q277" s="31"/>
      <c r="R277" s="31"/>
      <c r="S277" s="31"/>
      <c r="T277" s="762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</row>
    <row r="278">
      <c r="A278" s="31"/>
      <c r="B278" s="31"/>
      <c r="C278" s="31"/>
      <c r="D278" s="31"/>
      <c r="E278" s="187"/>
      <c r="F278" s="31"/>
      <c r="G278" s="31"/>
      <c r="H278" s="31"/>
      <c r="I278" s="31"/>
      <c r="J278" s="31"/>
      <c r="K278" s="760"/>
      <c r="L278" s="761"/>
      <c r="M278" s="760"/>
      <c r="N278" s="31"/>
      <c r="O278" s="31"/>
      <c r="P278" s="31"/>
      <c r="Q278" s="31"/>
      <c r="R278" s="31"/>
      <c r="S278" s="31"/>
      <c r="T278" s="762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</row>
    <row r="279">
      <c r="A279" s="31"/>
      <c r="B279" s="31"/>
      <c r="C279" s="31"/>
      <c r="D279" s="31"/>
      <c r="E279" s="187"/>
      <c r="F279" s="31"/>
      <c r="G279" s="31"/>
      <c r="H279" s="31"/>
      <c r="I279" s="31"/>
      <c r="J279" s="31"/>
      <c r="K279" s="760"/>
      <c r="L279" s="761"/>
      <c r="M279" s="760"/>
      <c r="N279" s="31"/>
      <c r="O279" s="31"/>
      <c r="P279" s="31"/>
      <c r="Q279" s="31"/>
      <c r="R279" s="31"/>
      <c r="S279" s="31"/>
      <c r="T279" s="762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</row>
    <row r="280">
      <c r="A280" s="31"/>
      <c r="B280" s="31"/>
      <c r="C280" s="31"/>
      <c r="D280" s="31"/>
      <c r="E280" s="187"/>
      <c r="F280" s="31"/>
      <c r="G280" s="31"/>
      <c r="H280" s="31"/>
      <c r="I280" s="31"/>
      <c r="J280" s="31"/>
      <c r="K280" s="760"/>
      <c r="L280" s="761"/>
      <c r="M280" s="760"/>
      <c r="N280" s="31"/>
      <c r="O280" s="31"/>
      <c r="P280" s="31"/>
      <c r="Q280" s="31"/>
      <c r="R280" s="31"/>
      <c r="S280" s="31"/>
      <c r="T280" s="762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</row>
    <row r="281">
      <c r="A281" s="31"/>
      <c r="B281" s="31"/>
      <c r="C281" s="31"/>
      <c r="D281" s="31"/>
      <c r="E281" s="187"/>
      <c r="F281" s="31"/>
      <c r="G281" s="31"/>
      <c r="H281" s="31"/>
      <c r="I281" s="31"/>
      <c r="J281" s="31"/>
      <c r="K281" s="760"/>
      <c r="L281" s="761"/>
      <c r="M281" s="760"/>
      <c r="N281" s="31"/>
      <c r="O281" s="31"/>
      <c r="P281" s="31"/>
      <c r="Q281" s="31"/>
      <c r="R281" s="31"/>
      <c r="S281" s="31"/>
      <c r="T281" s="762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</row>
    <row r="282">
      <c r="A282" s="31"/>
      <c r="B282" s="31"/>
      <c r="C282" s="31"/>
      <c r="D282" s="31"/>
      <c r="E282" s="187"/>
      <c r="F282" s="31"/>
      <c r="G282" s="31"/>
      <c r="H282" s="31"/>
      <c r="I282" s="31"/>
      <c r="J282" s="31"/>
      <c r="K282" s="760"/>
      <c r="L282" s="761"/>
      <c r="M282" s="760"/>
      <c r="N282" s="31"/>
      <c r="O282" s="31"/>
      <c r="P282" s="31"/>
      <c r="Q282" s="31"/>
      <c r="R282" s="31"/>
      <c r="S282" s="31"/>
      <c r="T282" s="762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</row>
    <row r="283">
      <c r="A283" s="31"/>
      <c r="B283" s="31"/>
      <c r="C283" s="31"/>
      <c r="D283" s="31"/>
      <c r="E283" s="187"/>
      <c r="F283" s="31"/>
      <c r="G283" s="31"/>
      <c r="H283" s="31"/>
      <c r="I283" s="31"/>
      <c r="J283" s="31"/>
      <c r="K283" s="760"/>
      <c r="L283" s="761"/>
      <c r="M283" s="760"/>
      <c r="N283" s="31"/>
      <c r="O283" s="31"/>
      <c r="P283" s="31"/>
      <c r="Q283" s="31"/>
      <c r="R283" s="31"/>
      <c r="S283" s="31"/>
      <c r="T283" s="762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</row>
    <row r="284">
      <c r="A284" s="31"/>
      <c r="B284" s="31"/>
      <c r="C284" s="31"/>
      <c r="D284" s="31"/>
      <c r="E284" s="187"/>
      <c r="F284" s="31"/>
      <c r="G284" s="31"/>
      <c r="H284" s="31"/>
      <c r="I284" s="31"/>
      <c r="J284" s="31"/>
      <c r="K284" s="760"/>
      <c r="L284" s="761"/>
      <c r="M284" s="760"/>
      <c r="N284" s="31"/>
      <c r="O284" s="31"/>
      <c r="P284" s="31"/>
      <c r="Q284" s="31"/>
      <c r="R284" s="31"/>
      <c r="S284" s="31"/>
      <c r="T284" s="762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</row>
    <row r="285">
      <c r="A285" s="31"/>
      <c r="B285" s="31"/>
      <c r="C285" s="31"/>
      <c r="D285" s="31"/>
      <c r="E285" s="187"/>
      <c r="F285" s="31"/>
      <c r="G285" s="31"/>
      <c r="H285" s="31"/>
      <c r="I285" s="31"/>
      <c r="J285" s="31"/>
      <c r="K285" s="760"/>
      <c r="L285" s="761"/>
      <c r="M285" s="760"/>
      <c r="N285" s="31"/>
      <c r="O285" s="31"/>
      <c r="P285" s="31"/>
      <c r="Q285" s="31"/>
      <c r="R285" s="31"/>
      <c r="S285" s="31"/>
      <c r="T285" s="762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</row>
    <row r="286">
      <c r="A286" s="31"/>
      <c r="B286" s="31"/>
      <c r="C286" s="31"/>
      <c r="D286" s="31"/>
      <c r="E286" s="187"/>
      <c r="F286" s="31"/>
      <c r="G286" s="31"/>
      <c r="H286" s="31"/>
      <c r="I286" s="31"/>
      <c r="J286" s="31"/>
      <c r="K286" s="760"/>
      <c r="L286" s="761"/>
      <c r="M286" s="760"/>
      <c r="N286" s="31"/>
      <c r="O286" s="31"/>
      <c r="P286" s="31"/>
      <c r="Q286" s="31"/>
      <c r="R286" s="31"/>
      <c r="S286" s="31"/>
      <c r="T286" s="762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</row>
    <row r="287">
      <c r="A287" s="31"/>
      <c r="B287" s="31"/>
      <c r="C287" s="31"/>
      <c r="D287" s="31"/>
      <c r="E287" s="187"/>
      <c r="F287" s="31"/>
      <c r="G287" s="31"/>
      <c r="H287" s="31"/>
      <c r="I287" s="31"/>
      <c r="J287" s="31"/>
      <c r="K287" s="760"/>
      <c r="L287" s="761"/>
      <c r="M287" s="760"/>
      <c r="N287" s="31"/>
      <c r="O287" s="31"/>
      <c r="P287" s="31"/>
      <c r="Q287" s="31"/>
      <c r="R287" s="31"/>
      <c r="S287" s="31"/>
      <c r="T287" s="762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</row>
    <row r="288">
      <c r="A288" s="31"/>
      <c r="B288" s="31"/>
      <c r="C288" s="31"/>
      <c r="D288" s="31"/>
      <c r="E288" s="187"/>
      <c r="F288" s="31"/>
      <c r="G288" s="31"/>
      <c r="H288" s="31"/>
      <c r="I288" s="31"/>
      <c r="J288" s="31"/>
      <c r="K288" s="760"/>
      <c r="L288" s="761"/>
      <c r="M288" s="760"/>
      <c r="N288" s="31"/>
      <c r="O288" s="31"/>
      <c r="P288" s="31"/>
      <c r="Q288" s="31"/>
      <c r="R288" s="31"/>
      <c r="S288" s="31"/>
      <c r="T288" s="762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</row>
    <row r="289">
      <c r="A289" s="31"/>
      <c r="B289" s="31"/>
      <c r="C289" s="31"/>
      <c r="D289" s="31"/>
      <c r="E289" s="187"/>
      <c r="F289" s="31"/>
      <c r="G289" s="31"/>
      <c r="H289" s="31"/>
      <c r="I289" s="31"/>
      <c r="J289" s="31"/>
      <c r="K289" s="760"/>
      <c r="L289" s="761"/>
      <c r="M289" s="760"/>
      <c r="N289" s="31"/>
      <c r="O289" s="31"/>
      <c r="P289" s="31"/>
      <c r="Q289" s="31"/>
      <c r="R289" s="31"/>
      <c r="S289" s="31"/>
      <c r="T289" s="762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</row>
    <row r="290">
      <c r="A290" s="31"/>
      <c r="B290" s="31"/>
      <c r="C290" s="31"/>
      <c r="D290" s="31"/>
      <c r="E290" s="187"/>
      <c r="F290" s="31"/>
      <c r="G290" s="31"/>
      <c r="H290" s="31"/>
      <c r="I290" s="31"/>
      <c r="J290" s="31"/>
      <c r="K290" s="760"/>
      <c r="L290" s="761"/>
      <c r="M290" s="760"/>
      <c r="N290" s="31"/>
      <c r="O290" s="31"/>
      <c r="P290" s="31"/>
      <c r="Q290" s="31"/>
      <c r="R290" s="31"/>
      <c r="S290" s="31"/>
      <c r="T290" s="762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</row>
    <row r="291">
      <c r="A291" s="31"/>
      <c r="B291" s="31"/>
      <c r="C291" s="31"/>
      <c r="D291" s="31"/>
      <c r="E291" s="187"/>
      <c r="F291" s="31"/>
      <c r="G291" s="31"/>
      <c r="H291" s="31"/>
      <c r="I291" s="31"/>
      <c r="J291" s="31"/>
      <c r="K291" s="760"/>
      <c r="L291" s="761"/>
      <c r="M291" s="760"/>
      <c r="N291" s="31"/>
      <c r="O291" s="31"/>
      <c r="P291" s="31"/>
      <c r="Q291" s="31"/>
      <c r="R291" s="31"/>
      <c r="S291" s="31"/>
      <c r="T291" s="762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</row>
    <row r="292">
      <c r="A292" s="31"/>
      <c r="B292" s="31"/>
      <c r="C292" s="31"/>
      <c r="D292" s="31"/>
      <c r="E292" s="187"/>
      <c r="F292" s="31"/>
      <c r="G292" s="31"/>
      <c r="H292" s="31"/>
      <c r="I292" s="31"/>
      <c r="J292" s="31"/>
      <c r="K292" s="760"/>
      <c r="L292" s="761"/>
      <c r="M292" s="760"/>
      <c r="N292" s="31"/>
      <c r="O292" s="31"/>
      <c r="P292" s="31"/>
      <c r="Q292" s="31"/>
      <c r="R292" s="31"/>
      <c r="S292" s="31"/>
      <c r="T292" s="762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</row>
    <row r="293">
      <c r="A293" s="31"/>
      <c r="B293" s="31"/>
      <c r="C293" s="31"/>
      <c r="D293" s="31"/>
      <c r="E293" s="187"/>
      <c r="F293" s="31"/>
      <c r="G293" s="31"/>
      <c r="H293" s="31"/>
      <c r="I293" s="31"/>
      <c r="J293" s="31"/>
      <c r="K293" s="760"/>
      <c r="L293" s="761"/>
      <c r="M293" s="760"/>
      <c r="N293" s="31"/>
      <c r="O293" s="31"/>
      <c r="P293" s="31"/>
      <c r="Q293" s="31"/>
      <c r="R293" s="31"/>
      <c r="S293" s="31"/>
      <c r="T293" s="762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</row>
    <row r="294">
      <c r="A294" s="31"/>
      <c r="B294" s="31"/>
      <c r="C294" s="31"/>
      <c r="D294" s="31"/>
      <c r="E294" s="187"/>
      <c r="F294" s="31"/>
      <c r="G294" s="31"/>
      <c r="H294" s="31"/>
      <c r="I294" s="31"/>
      <c r="J294" s="31"/>
      <c r="K294" s="760"/>
      <c r="L294" s="761"/>
      <c r="M294" s="760"/>
      <c r="N294" s="31"/>
      <c r="O294" s="31"/>
      <c r="P294" s="31"/>
      <c r="Q294" s="31"/>
      <c r="R294" s="31"/>
      <c r="S294" s="31"/>
      <c r="T294" s="762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</row>
    <row r="295">
      <c r="A295" s="31"/>
      <c r="B295" s="31"/>
      <c r="C295" s="31"/>
      <c r="D295" s="31"/>
      <c r="E295" s="187"/>
      <c r="F295" s="31"/>
      <c r="G295" s="31"/>
      <c r="H295" s="31"/>
      <c r="I295" s="31"/>
      <c r="J295" s="31"/>
      <c r="K295" s="760"/>
      <c r="L295" s="761"/>
      <c r="M295" s="760"/>
      <c r="N295" s="31"/>
      <c r="O295" s="31"/>
      <c r="P295" s="31"/>
      <c r="Q295" s="31"/>
      <c r="R295" s="31"/>
      <c r="S295" s="31"/>
      <c r="T295" s="762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</row>
    <row r="296">
      <c r="A296" s="31"/>
      <c r="B296" s="31"/>
      <c r="C296" s="31"/>
      <c r="D296" s="31"/>
      <c r="E296" s="187"/>
      <c r="F296" s="31"/>
      <c r="G296" s="31"/>
      <c r="H296" s="31"/>
      <c r="I296" s="31"/>
      <c r="J296" s="31"/>
      <c r="K296" s="760"/>
      <c r="L296" s="761"/>
      <c r="M296" s="760"/>
      <c r="N296" s="31"/>
      <c r="O296" s="31"/>
      <c r="P296" s="31"/>
      <c r="Q296" s="31"/>
      <c r="R296" s="31"/>
      <c r="S296" s="31"/>
      <c r="T296" s="762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</row>
    <row r="297">
      <c r="A297" s="31"/>
      <c r="B297" s="31"/>
      <c r="C297" s="31"/>
      <c r="D297" s="31"/>
      <c r="E297" s="187"/>
      <c r="F297" s="31"/>
      <c r="G297" s="31"/>
      <c r="H297" s="31"/>
      <c r="I297" s="31"/>
      <c r="J297" s="31"/>
      <c r="K297" s="760"/>
      <c r="L297" s="761"/>
      <c r="M297" s="760"/>
      <c r="N297" s="31"/>
      <c r="O297" s="31"/>
      <c r="P297" s="31"/>
      <c r="Q297" s="31"/>
      <c r="R297" s="31"/>
      <c r="S297" s="31"/>
      <c r="T297" s="762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</row>
    <row r="298">
      <c r="A298" s="31"/>
      <c r="B298" s="31"/>
      <c r="C298" s="31"/>
      <c r="D298" s="31"/>
      <c r="E298" s="187"/>
      <c r="F298" s="31"/>
      <c r="G298" s="31"/>
      <c r="H298" s="31"/>
      <c r="I298" s="31"/>
      <c r="J298" s="31"/>
      <c r="K298" s="760"/>
      <c r="L298" s="761"/>
      <c r="M298" s="760"/>
      <c r="N298" s="31"/>
      <c r="O298" s="31"/>
      <c r="P298" s="31"/>
      <c r="Q298" s="31"/>
      <c r="R298" s="31"/>
      <c r="S298" s="31"/>
      <c r="T298" s="762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</row>
    <row r="299">
      <c r="A299" s="31"/>
      <c r="B299" s="31"/>
      <c r="C299" s="31"/>
      <c r="D299" s="31"/>
      <c r="E299" s="187"/>
      <c r="F299" s="31"/>
      <c r="G299" s="31"/>
      <c r="H299" s="31"/>
      <c r="I299" s="31"/>
      <c r="J299" s="31"/>
      <c r="K299" s="760"/>
      <c r="L299" s="761"/>
      <c r="M299" s="760"/>
      <c r="N299" s="31"/>
      <c r="O299" s="31"/>
      <c r="P299" s="31"/>
      <c r="Q299" s="31"/>
      <c r="R299" s="31"/>
      <c r="S299" s="31"/>
      <c r="T299" s="762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</row>
    <row r="300">
      <c r="A300" s="31"/>
      <c r="B300" s="31"/>
      <c r="C300" s="31"/>
      <c r="D300" s="31"/>
      <c r="E300" s="187"/>
      <c r="F300" s="31"/>
      <c r="G300" s="31"/>
      <c r="H300" s="31"/>
      <c r="I300" s="31"/>
      <c r="J300" s="31"/>
      <c r="K300" s="760"/>
      <c r="L300" s="761"/>
      <c r="M300" s="760"/>
      <c r="N300" s="31"/>
      <c r="O300" s="31"/>
      <c r="P300" s="31"/>
      <c r="Q300" s="31"/>
      <c r="R300" s="31"/>
      <c r="S300" s="31"/>
      <c r="T300" s="762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</row>
    <row r="301">
      <c r="A301" s="31"/>
      <c r="B301" s="31"/>
      <c r="C301" s="31"/>
      <c r="D301" s="31"/>
      <c r="E301" s="187"/>
      <c r="F301" s="31"/>
      <c r="G301" s="31"/>
      <c r="H301" s="31"/>
      <c r="I301" s="31"/>
      <c r="J301" s="31"/>
      <c r="K301" s="760"/>
      <c r="L301" s="761"/>
      <c r="M301" s="760"/>
      <c r="N301" s="31"/>
      <c r="O301" s="31"/>
      <c r="P301" s="31"/>
      <c r="Q301" s="31"/>
      <c r="R301" s="31"/>
      <c r="S301" s="31"/>
      <c r="T301" s="762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</row>
    <row r="302">
      <c r="A302" s="31"/>
      <c r="B302" s="31"/>
      <c r="C302" s="31"/>
      <c r="D302" s="31"/>
      <c r="E302" s="187"/>
      <c r="F302" s="31"/>
      <c r="G302" s="31"/>
      <c r="H302" s="31"/>
      <c r="I302" s="31"/>
      <c r="J302" s="31"/>
      <c r="K302" s="760"/>
      <c r="L302" s="761"/>
      <c r="M302" s="760"/>
      <c r="N302" s="31"/>
      <c r="O302" s="31"/>
      <c r="P302" s="31"/>
      <c r="Q302" s="31"/>
      <c r="R302" s="31"/>
      <c r="S302" s="31"/>
      <c r="T302" s="762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</row>
    <row r="303">
      <c r="A303" s="31"/>
      <c r="B303" s="31"/>
      <c r="C303" s="31"/>
      <c r="D303" s="31"/>
      <c r="E303" s="187"/>
      <c r="F303" s="31"/>
      <c r="G303" s="31"/>
      <c r="H303" s="31"/>
      <c r="I303" s="31"/>
      <c r="J303" s="31"/>
      <c r="K303" s="760"/>
      <c r="L303" s="761"/>
      <c r="M303" s="760"/>
      <c r="N303" s="31"/>
      <c r="O303" s="31"/>
      <c r="P303" s="31"/>
      <c r="Q303" s="31"/>
      <c r="R303" s="31"/>
      <c r="S303" s="31"/>
      <c r="T303" s="762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</row>
    <row r="304">
      <c r="A304" s="31"/>
      <c r="B304" s="31"/>
      <c r="C304" s="31"/>
      <c r="D304" s="31"/>
      <c r="E304" s="187"/>
      <c r="F304" s="31"/>
      <c r="G304" s="31"/>
      <c r="H304" s="31"/>
      <c r="I304" s="31"/>
      <c r="J304" s="31"/>
      <c r="K304" s="760"/>
      <c r="L304" s="761"/>
      <c r="M304" s="760"/>
      <c r="N304" s="31"/>
      <c r="O304" s="31"/>
      <c r="P304" s="31"/>
      <c r="Q304" s="31"/>
      <c r="R304" s="31"/>
      <c r="S304" s="31"/>
      <c r="T304" s="762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</row>
    <row r="305">
      <c r="A305" s="31"/>
      <c r="B305" s="31"/>
      <c r="C305" s="31"/>
      <c r="D305" s="31"/>
      <c r="E305" s="187"/>
      <c r="F305" s="31"/>
      <c r="G305" s="31"/>
      <c r="H305" s="31"/>
      <c r="I305" s="31"/>
      <c r="J305" s="31"/>
      <c r="K305" s="760"/>
      <c r="L305" s="761"/>
      <c r="M305" s="760"/>
      <c r="N305" s="31"/>
      <c r="O305" s="31"/>
      <c r="P305" s="31"/>
      <c r="Q305" s="31"/>
      <c r="R305" s="31"/>
      <c r="S305" s="31"/>
      <c r="T305" s="762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</row>
    <row r="306">
      <c r="A306" s="31"/>
      <c r="B306" s="31"/>
      <c r="C306" s="31"/>
      <c r="D306" s="31"/>
      <c r="E306" s="187"/>
      <c r="F306" s="31"/>
      <c r="G306" s="31"/>
      <c r="H306" s="31"/>
      <c r="I306" s="31"/>
      <c r="J306" s="31"/>
      <c r="K306" s="760"/>
      <c r="L306" s="761"/>
      <c r="M306" s="760"/>
      <c r="N306" s="31"/>
      <c r="O306" s="31"/>
      <c r="P306" s="31"/>
      <c r="Q306" s="31"/>
      <c r="R306" s="31"/>
      <c r="S306" s="31"/>
      <c r="T306" s="762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</row>
    <row r="307">
      <c r="A307" s="31"/>
      <c r="B307" s="31"/>
      <c r="C307" s="31"/>
      <c r="D307" s="31"/>
      <c r="E307" s="187"/>
      <c r="F307" s="31"/>
      <c r="G307" s="31"/>
      <c r="H307" s="31"/>
      <c r="I307" s="31"/>
      <c r="J307" s="31"/>
      <c r="K307" s="760"/>
      <c r="L307" s="761"/>
      <c r="M307" s="760"/>
      <c r="N307" s="31"/>
      <c r="O307" s="31"/>
      <c r="P307" s="31"/>
      <c r="Q307" s="31"/>
      <c r="R307" s="31"/>
      <c r="S307" s="31"/>
      <c r="T307" s="762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</row>
    <row r="308">
      <c r="A308" s="31"/>
      <c r="B308" s="31"/>
      <c r="C308" s="31"/>
      <c r="D308" s="31"/>
      <c r="E308" s="187"/>
      <c r="F308" s="31"/>
      <c r="G308" s="31"/>
      <c r="H308" s="31"/>
      <c r="I308" s="31"/>
      <c r="J308" s="31"/>
      <c r="K308" s="760"/>
      <c r="L308" s="761"/>
      <c r="M308" s="760"/>
      <c r="N308" s="31"/>
      <c r="O308" s="31"/>
      <c r="P308" s="31"/>
      <c r="Q308" s="31"/>
      <c r="R308" s="31"/>
      <c r="S308" s="31"/>
      <c r="T308" s="762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</row>
    <row r="309">
      <c r="A309" s="31"/>
      <c r="B309" s="31"/>
      <c r="C309" s="31"/>
      <c r="D309" s="31"/>
      <c r="E309" s="187"/>
      <c r="F309" s="31"/>
      <c r="G309" s="31"/>
      <c r="H309" s="31"/>
      <c r="I309" s="31"/>
      <c r="J309" s="31"/>
      <c r="K309" s="760"/>
      <c r="L309" s="761"/>
      <c r="M309" s="760"/>
      <c r="N309" s="31"/>
      <c r="O309" s="31"/>
      <c r="P309" s="31"/>
      <c r="Q309" s="31"/>
      <c r="R309" s="31"/>
      <c r="S309" s="31"/>
      <c r="T309" s="762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</row>
    <row r="310">
      <c r="A310" s="31"/>
      <c r="B310" s="31"/>
      <c r="C310" s="31"/>
      <c r="D310" s="31"/>
      <c r="E310" s="187"/>
      <c r="F310" s="31"/>
      <c r="G310" s="31"/>
      <c r="H310" s="31"/>
      <c r="I310" s="31"/>
      <c r="J310" s="31"/>
      <c r="K310" s="760"/>
      <c r="L310" s="761"/>
      <c r="M310" s="760"/>
      <c r="N310" s="31"/>
      <c r="O310" s="31"/>
      <c r="P310" s="31"/>
      <c r="Q310" s="31"/>
      <c r="R310" s="31"/>
      <c r="S310" s="31"/>
      <c r="T310" s="762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</row>
    <row r="311">
      <c r="A311" s="31"/>
      <c r="B311" s="31"/>
      <c r="C311" s="31"/>
      <c r="D311" s="31"/>
      <c r="E311" s="187"/>
      <c r="F311" s="31"/>
      <c r="G311" s="31"/>
      <c r="H311" s="31"/>
      <c r="I311" s="31"/>
      <c r="J311" s="31"/>
      <c r="K311" s="760"/>
      <c r="L311" s="761"/>
      <c r="M311" s="760"/>
      <c r="N311" s="31"/>
      <c r="O311" s="31"/>
      <c r="P311" s="31"/>
      <c r="Q311" s="31"/>
      <c r="R311" s="31"/>
      <c r="S311" s="31"/>
      <c r="T311" s="762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</row>
    <row r="312">
      <c r="A312" s="31"/>
      <c r="B312" s="31"/>
      <c r="C312" s="31"/>
      <c r="D312" s="31"/>
      <c r="E312" s="187"/>
      <c r="F312" s="31"/>
      <c r="G312" s="31"/>
      <c r="H312" s="31"/>
      <c r="I312" s="31"/>
      <c r="J312" s="31"/>
      <c r="K312" s="760"/>
      <c r="L312" s="761"/>
      <c r="M312" s="760"/>
      <c r="N312" s="31"/>
      <c r="O312" s="31"/>
      <c r="P312" s="31"/>
      <c r="Q312" s="31"/>
      <c r="R312" s="31"/>
      <c r="S312" s="31"/>
      <c r="T312" s="762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</row>
    <row r="313">
      <c r="A313" s="31"/>
      <c r="B313" s="31"/>
      <c r="C313" s="31"/>
      <c r="D313" s="31"/>
      <c r="E313" s="187"/>
      <c r="F313" s="31"/>
      <c r="G313" s="31"/>
      <c r="H313" s="31"/>
      <c r="I313" s="31"/>
      <c r="J313" s="31"/>
      <c r="K313" s="760"/>
      <c r="L313" s="761"/>
      <c r="M313" s="760"/>
      <c r="N313" s="31"/>
      <c r="O313" s="31"/>
      <c r="P313" s="31"/>
      <c r="Q313" s="31"/>
      <c r="R313" s="31"/>
      <c r="S313" s="31"/>
      <c r="T313" s="762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</row>
    <row r="314">
      <c r="A314" s="31"/>
      <c r="B314" s="31"/>
      <c r="C314" s="31"/>
      <c r="D314" s="31"/>
      <c r="E314" s="187"/>
      <c r="F314" s="31"/>
      <c r="G314" s="31"/>
      <c r="H314" s="31"/>
      <c r="I314" s="31"/>
      <c r="J314" s="31"/>
      <c r="K314" s="760"/>
      <c r="L314" s="761"/>
      <c r="M314" s="760"/>
      <c r="N314" s="31"/>
      <c r="O314" s="31"/>
      <c r="P314" s="31"/>
      <c r="Q314" s="31"/>
      <c r="R314" s="31"/>
      <c r="S314" s="31"/>
      <c r="T314" s="762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</row>
    <row r="315">
      <c r="A315" s="31"/>
      <c r="B315" s="31"/>
      <c r="C315" s="31"/>
      <c r="D315" s="31"/>
      <c r="E315" s="187"/>
      <c r="F315" s="31"/>
      <c r="G315" s="31"/>
      <c r="H315" s="31"/>
      <c r="I315" s="31"/>
      <c r="J315" s="31"/>
      <c r="K315" s="760"/>
      <c r="L315" s="761"/>
      <c r="M315" s="760"/>
      <c r="N315" s="31"/>
      <c r="O315" s="31"/>
      <c r="P315" s="31"/>
      <c r="Q315" s="31"/>
      <c r="R315" s="31"/>
      <c r="S315" s="31"/>
      <c r="T315" s="762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</row>
    <row r="316">
      <c r="A316" s="31"/>
      <c r="B316" s="31"/>
      <c r="C316" s="31"/>
      <c r="D316" s="31"/>
      <c r="E316" s="187"/>
      <c r="F316" s="31"/>
      <c r="G316" s="31"/>
      <c r="H316" s="31"/>
      <c r="I316" s="31"/>
      <c r="J316" s="31"/>
      <c r="K316" s="760"/>
      <c r="L316" s="761"/>
      <c r="M316" s="760"/>
      <c r="N316" s="31"/>
      <c r="O316" s="31"/>
      <c r="P316" s="31"/>
      <c r="Q316" s="31"/>
      <c r="R316" s="31"/>
      <c r="S316" s="31"/>
      <c r="T316" s="762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</row>
    <row r="317">
      <c r="A317" s="31"/>
      <c r="B317" s="31"/>
      <c r="C317" s="31"/>
      <c r="D317" s="31"/>
      <c r="E317" s="187"/>
      <c r="F317" s="31"/>
      <c r="G317" s="31"/>
      <c r="H317" s="31"/>
      <c r="I317" s="31"/>
      <c r="J317" s="31"/>
      <c r="K317" s="760"/>
      <c r="L317" s="761"/>
      <c r="M317" s="760"/>
      <c r="N317" s="31"/>
      <c r="O317" s="31"/>
      <c r="P317" s="31"/>
      <c r="Q317" s="31"/>
      <c r="R317" s="31"/>
      <c r="S317" s="31"/>
      <c r="T317" s="762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</row>
    <row r="318">
      <c r="A318" s="31"/>
      <c r="B318" s="31"/>
      <c r="C318" s="31"/>
      <c r="D318" s="31"/>
      <c r="E318" s="187"/>
      <c r="F318" s="31"/>
      <c r="G318" s="31"/>
      <c r="H318" s="31"/>
      <c r="I318" s="31"/>
      <c r="J318" s="31"/>
      <c r="K318" s="760"/>
      <c r="L318" s="761"/>
      <c r="M318" s="760"/>
      <c r="N318" s="31"/>
      <c r="O318" s="31"/>
      <c r="P318" s="31"/>
      <c r="Q318" s="31"/>
      <c r="R318" s="31"/>
      <c r="S318" s="31"/>
      <c r="T318" s="762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</row>
    <row r="319">
      <c r="A319" s="31"/>
      <c r="B319" s="31"/>
      <c r="C319" s="31"/>
      <c r="D319" s="31"/>
      <c r="E319" s="187"/>
      <c r="F319" s="31"/>
      <c r="G319" s="31"/>
      <c r="H319" s="31"/>
      <c r="I319" s="31"/>
      <c r="J319" s="31"/>
      <c r="K319" s="760"/>
      <c r="L319" s="761"/>
      <c r="M319" s="760"/>
      <c r="N319" s="31"/>
      <c r="O319" s="31"/>
      <c r="P319" s="31"/>
      <c r="Q319" s="31"/>
      <c r="R319" s="31"/>
      <c r="S319" s="31"/>
      <c r="T319" s="762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</row>
    <row r="320">
      <c r="A320" s="31"/>
      <c r="B320" s="31"/>
      <c r="C320" s="31"/>
      <c r="D320" s="31"/>
      <c r="E320" s="187"/>
      <c r="F320" s="31"/>
      <c r="G320" s="31"/>
      <c r="H320" s="31"/>
      <c r="I320" s="31"/>
      <c r="J320" s="31"/>
      <c r="K320" s="760"/>
      <c r="L320" s="761"/>
      <c r="M320" s="760"/>
      <c r="N320" s="31"/>
      <c r="O320" s="31"/>
      <c r="P320" s="31"/>
      <c r="Q320" s="31"/>
      <c r="R320" s="31"/>
      <c r="S320" s="31"/>
      <c r="T320" s="762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</row>
    <row r="321">
      <c r="A321" s="31"/>
      <c r="B321" s="31"/>
      <c r="C321" s="31"/>
      <c r="D321" s="31"/>
      <c r="E321" s="187"/>
      <c r="F321" s="31"/>
      <c r="G321" s="31"/>
      <c r="H321" s="31"/>
      <c r="I321" s="31"/>
      <c r="J321" s="31"/>
      <c r="K321" s="760"/>
      <c r="L321" s="761"/>
      <c r="M321" s="760"/>
      <c r="N321" s="31"/>
      <c r="O321" s="31"/>
      <c r="P321" s="31"/>
      <c r="Q321" s="31"/>
      <c r="R321" s="31"/>
      <c r="S321" s="31"/>
      <c r="T321" s="762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</row>
    <row r="322">
      <c r="A322" s="31"/>
      <c r="B322" s="31"/>
      <c r="C322" s="31"/>
      <c r="D322" s="31"/>
      <c r="E322" s="187"/>
      <c r="F322" s="31"/>
      <c r="G322" s="31"/>
      <c r="H322" s="31"/>
      <c r="I322" s="31"/>
      <c r="J322" s="31"/>
      <c r="K322" s="760"/>
      <c r="L322" s="761"/>
      <c r="M322" s="760"/>
      <c r="N322" s="31"/>
      <c r="O322" s="31"/>
      <c r="P322" s="31"/>
      <c r="Q322" s="31"/>
      <c r="R322" s="31"/>
      <c r="S322" s="31"/>
      <c r="T322" s="762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</row>
    <row r="323">
      <c r="A323" s="31"/>
      <c r="B323" s="31"/>
      <c r="C323" s="31"/>
      <c r="D323" s="31"/>
      <c r="E323" s="187"/>
      <c r="F323" s="31"/>
      <c r="G323" s="31"/>
      <c r="H323" s="31"/>
      <c r="I323" s="31"/>
      <c r="J323" s="31"/>
      <c r="K323" s="760"/>
      <c r="L323" s="761"/>
      <c r="M323" s="760"/>
      <c r="N323" s="31"/>
      <c r="O323" s="31"/>
      <c r="P323" s="31"/>
      <c r="Q323" s="31"/>
      <c r="R323" s="31"/>
      <c r="S323" s="31"/>
      <c r="T323" s="762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</row>
    <row r="324">
      <c r="A324" s="31"/>
      <c r="B324" s="31"/>
      <c r="C324" s="31"/>
      <c r="D324" s="31"/>
      <c r="E324" s="187"/>
      <c r="F324" s="31"/>
      <c r="G324" s="31"/>
      <c r="H324" s="31"/>
      <c r="I324" s="31"/>
      <c r="J324" s="31"/>
      <c r="K324" s="760"/>
      <c r="L324" s="761"/>
      <c r="M324" s="760"/>
      <c r="N324" s="31"/>
      <c r="O324" s="31"/>
      <c r="P324" s="31"/>
      <c r="Q324" s="31"/>
      <c r="R324" s="31"/>
      <c r="S324" s="31"/>
      <c r="T324" s="762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</row>
    <row r="325">
      <c r="A325" s="31"/>
      <c r="B325" s="31"/>
      <c r="C325" s="31"/>
      <c r="D325" s="31"/>
      <c r="E325" s="187"/>
      <c r="F325" s="31"/>
      <c r="G325" s="31"/>
      <c r="H325" s="31"/>
      <c r="I325" s="31"/>
      <c r="J325" s="31"/>
      <c r="K325" s="760"/>
      <c r="L325" s="761"/>
      <c r="M325" s="760"/>
      <c r="N325" s="31"/>
      <c r="O325" s="31"/>
      <c r="P325" s="31"/>
      <c r="Q325" s="31"/>
      <c r="R325" s="31"/>
      <c r="S325" s="31"/>
      <c r="T325" s="762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</row>
    <row r="326">
      <c r="A326" s="31"/>
      <c r="B326" s="31"/>
      <c r="C326" s="31"/>
      <c r="D326" s="31"/>
      <c r="E326" s="187"/>
      <c r="F326" s="31"/>
      <c r="G326" s="31"/>
      <c r="H326" s="31"/>
      <c r="I326" s="31"/>
      <c r="J326" s="31"/>
      <c r="K326" s="760"/>
      <c r="L326" s="761"/>
      <c r="M326" s="760"/>
      <c r="N326" s="31"/>
      <c r="O326" s="31"/>
      <c r="P326" s="31"/>
      <c r="Q326" s="31"/>
      <c r="R326" s="31"/>
      <c r="S326" s="31"/>
      <c r="T326" s="762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</row>
    <row r="327">
      <c r="A327" s="31"/>
      <c r="B327" s="31"/>
      <c r="C327" s="31"/>
      <c r="D327" s="31"/>
      <c r="E327" s="187"/>
      <c r="F327" s="31"/>
      <c r="G327" s="31"/>
      <c r="H327" s="31"/>
      <c r="I327" s="31"/>
      <c r="J327" s="31"/>
      <c r="K327" s="760"/>
      <c r="L327" s="761"/>
      <c r="M327" s="760"/>
      <c r="N327" s="31"/>
      <c r="O327" s="31"/>
      <c r="P327" s="31"/>
      <c r="Q327" s="31"/>
      <c r="R327" s="31"/>
      <c r="S327" s="31"/>
      <c r="T327" s="762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</row>
    <row r="328">
      <c r="A328" s="31"/>
      <c r="B328" s="31"/>
      <c r="C328" s="31"/>
      <c r="D328" s="31"/>
      <c r="E328" s="187"/>
      <c r="F328" s="31"/>
      <c r="G328" s="31"/>
      <c r="H328" s="31"/>
      <c r="I328" s="31"/>
      <c r="J328" s="31"/>
      <c r="K328" s="760"/>
      <c r="L328" s="761"/>
      <c r="M328" s="760"/>
      <c r="N328" s="31"/>
      <c r="O328" s="31"/>
      <c r="P328" s="31"/>
      <c r="Q328" s="31"/>
      <c r="R328" s="31"/>
      <c r="S328" s="31"/>
      <c r="T328" s="762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</row>
    <row r="329">
      <c r="A329" s="31"/>
      <c r="B329" s="31"/>
      <c r="C329" s="31"/>
      <c r="D329" s="31"/>
      <c r="E329" s="187"/>
      <c r="F329" s="31"/>
      <c r="G329" s="31"/>
      <c r="H329" s="31"/>
      <c r="I329" s="31"/>
      <c r="J329" s="31"/>
      <c r="K329" s="760"/>
      <c r="L329" s="761"/>
      <c r="M329" s="760"/>
      <c r="N329" s="31"/>
      <c r="O329" s="31"/>
      <c r="P329" s="31"/>
      <c r="Q329" s="31"/>
      <c r="R329" s="31"/>
      <c r="S329" s="31"/>
      <c r="T329" s="762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</row>
    <row r="330">
      <c r="A330" s="31"/>
      <c r="B330" s="31"/>
      <c r="C330" s="31"/>
      <c r="D330" s="31"/>
      <c r="E330" s="187"/>
      <c r="F330" s="31"/>
      <c r="G330" s="31"/>
      <c r="H330" s="31"/>
      <c r="I330" s="31"/>
      <c r="J330" s="31"/>
      <c r="K330" s="760"/>
      <c r="L330" s="761"/>
      <c r="M330" s="760"/>
      <c r="N330" s="31"/>
      <c r="O330" s="31"/>
      <c r="P330" s="31"/>
      <c r="Q330" s="31"/>
      <c r="R330" s="31"/>
      <c r="S330" s="31"/>
      <c r="T330" s="762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</row>
    <row r="331">
      <c r="A331" s="31"/>
      <c r="B331" s="31"/>
      <c r="C331" s="31"/>
      <c r="D331" s="31"/>
      <c r="E331" s="187"/>
      <c r="F331" s="31"/>
      <c r="G331" s="31"/>
      <c r="H331" s="31"/>
      <c r="I331" s="31"/>
      <c r="J331" s="31"/>
      <c r="K331" s="760"/>
      <c r="L331" s="761"/>
      <c r="M331" s="760"/>
      <c r="N331" s="31"/>
      <c r="O331" s="31"/>
      <c r="P331" s="31"/>
      <c r="Q331" s="31"/>
      <c r="R331" s="31"/>
      <c r="S331" s="31"/>
      <c r="T331" s="762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</row>
    <row r="332">
      <c r="A332" s="31"/>
      <c r="B332" s="31"/>
      <c r="C332" s="31"/>
      <c r="D332" s="31"/>
      <c r="E332" s="187"/>
      <c r="F332" s="31"/>
      <c r="G332" s="31"/>
      <c r="H332" s="31"/>
      <c r="I332" s="31"/>
      <c r="J332" s="31"/>
      <c r="K332" s="760"/>
      <c r="L332" s="761"/>
      <c r="M332" s="760"/>
      <c r="N332" s="31"/>
      <c r="O332" s="31"/>
      <c r="P332" s="31"/>
      <c r="Q332" s="31"/>
      <c r="R332" s="31"/>
      <c r="S332" s="31"/>
      <c r="T332" s="762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</row>
    <row r="333">
      <c r="A333" s="31"/>
      <c r="B333" s="31"/>
      <c r="C333" s="31"/>
      <c r="D333" s="31"/>
      <c r="E333" s="187"/>
      <c r="F333" s="31"/>
      <c r="G333" s="31"/>
      <c r="H333" s="31"/>
      <c r="I333" s="31"/>
      <c r="J333" s="31"/>
      <c r="K333" s="760"/>
      <c r="L333" s="761"/>
      <c r="M333" s="760"/>
      <c r="N333" s="31"/>
      <c r="O333" s="31"/>
      <c r="P333" s="31"/>
      <c r="Q333" s="31"/>
      <c r="R333" s="31"/>
      <c r="S333" s="31"/>
      <c r="T333" s="762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</row>
    <row r="334">
      <c r="A334" s="31"/>
      <c r="B334" s="31"/>
      <c r="C334" s="31"/>
      <c r="D334" s="31"/>
      <c r="E334" s="187"/>
      <c r="F334" s="31"/>
      <c r="G334" s="31"/>
      <c r="H334" s="31"/>
      <c r="I334" s="31"/>
      <c r="J334" s="31"/>
      <c r="K334" s="760"/>
      <c r="L334" s="761"/>
      <c r="M334" s="760"/>
      <c r="N334" s="31"/>
      <c r="O334" s="31"/>
      <c r="P334" s="31"/>
      <c r="Q334" s="31"/>
      <c r="R334" s="31"/>
      <c r="S334" s="31"/>
      <c r="T334" s="762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</row>
    <row r="335">
      <c r="A335" s="31"/>
      <c r="B335" s="31"/>
      <c r="C335" s="31"/>
      <c r="D335" s="31"/>
      <c r="E335" s="187"/>
      <c r="F335" s="31"/>
      <c r="G335" s="31"/>
      <c r="H335" s="31"/>
      <c r="I335" s="31"/>
      <c r="J335" s="31"/>
      <c r="K335" s="760"/>
      <c r="L335" s="761"/>
      <c r="M335" s="760"/>
      <c r="N335" s="31"/>
      <c r="O335" s="31"/>
      <c r="P335" s="31"/>
      <c r="Q335" s="31"/>
      <c r="R335" s="31"/>
      <c r="S335" s="31"/>
      <c r="T335" s="762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</row>
    <row r="336">
      <c r="A336" s="31"/>
      <c r="B336" s="31"/>
      <c r="C336" s="31"/>
      <c r="D336" s="31"/>
      <c r="E336" s="187"/>
      <c r="F336" s="31"/>
      <c r="G336" s="31"/>
      <c r="H336" s="31"/>
      <c r="I336" s="31"/>
      <c r="J336" s="31"/>
      <c r="K336" s="760"/>
      <c r="L336" s="761"/>
      <c r="M336" s="760"/>
      <c r="N336" s="31"/>
      <c r="O336" s="31"/>
      <c r="P336" s="31"/>
      <c r="Q336" s="31"/>
      <c r="R336" s="31"/>
      <c r="S336" s="31"/>
      <c r="T336" s="762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</row>
    <row r="337">
      <c r="A337" s="31"/>
      <c r="B337" s="31"/>
      <c r="C337" s="31"/>
      <c r="D337" s="31"/>
      <c r="E337" s="187"/>
      <c r="F337" s="31"/>
      <c r="G337" s="31"/>
      <c r="H337" s="31"/>
      <c r="I337" s="31"/>
      <c r="J337" s="31"/>
      <c r="K337" s="760"/>
      <c r="L337" s="761"/>
      <c r="M337" s="760"/>
      <c r="N337" s="31"/>
      <c r="O337" s="31"/>
      <c r="P337" s="31"/>
      <c r="Q337" s="31"/>
      <c r="R337" s="31"/>
      <c r="S337" s="31"/>
      <c r="T337" s="762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</row>
    <row r="338">
      <c r="A338" s="31"/>
      <c r="B338" s="31"/>
      <c r="C338" s="31"/>
      <c r="D338" s="31"/>
      <c r="E338" s="187"/>
      <c r="F338" s="31"/>
      <c r="G338" s="31"/>
      <c r="H338" s="31"/>
      <c r="I338" s="31"/>
      <c r="J338" s="31"/>
      <c r="K338" s="760"/>
      <c r="L338" s="761"/>
      <c r="M338" s="760"/>
      <c r="N338" s="31"/>
      <c r="O338" s="31"/>
      <c r="P338" s="31"/>
      <c r="Q338" s="31"/>
      <c r="R338" s="31"/>
      <c r="S338" s="31"/>
      <c r="T338" s="762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</row>
    <row r="339">
      <c r="A339" s="31"/>
      <c r="B339" s="31"/>
      <c r="C339" s="31"/>
      <c r="D339" s="31"/>
      <c r="E339" s="187"/>
      <c r="F339" s="31"/>
      <c r="G339" s="31"/>
      <c r="H339" s="31"/>
      <c r="I339" s="31"/>
      <c r="J339" s="31"/>
      <c r="K339" s="760"/>
      <c r="L339" s="761"/>
      <c r="M339" s="760"/>
      <c r="N339" s="31"/>
      <c r="O339" s="31"/>
      <c r="P339" s="31"/>
      <c r="Q339" s="31"/>
      <c r="R339" s="31"/>
      <c r="S339" s="31"/>
      <c r="T339" s="762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</row>
    <row r="340">
      <c r="A340" s="31"/>
      <c r="B340" s="31"/>
      <c r="C340" s="31"/>
      <c r="D340" s="31"/>
      <c r="E340" s="187"/>
      <c r="F340" s="31"/>
      <c r="G340" s="31"/>
      <c r="H340" s="31"/>
      <c r="I340" s="31"/>
      <c r="J340" s="31"/>
      <c r="K340" s="760"/>
      <c r="L340" s="761"/>
      <c r="M340" s="760"/>
      <c r="N340" s="31"/>
      <c r="O340" s="31"/>
      <c r="P340" s="31"/>
      <c r="Q340" s="31"/>
      <c r="R340" s="31"/>
      <c r="S340" s="31"/>
      <c r="T340" s="762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</row>
    <row r="341">
      <c r="A341" s="31"/>
      <c r="B341" s="31"/>
      <c r="C341" s="31"/>
      <c r="D341" s="31"/>
      <c r="E341" s="187"/>
      <c r="F341" s="31"/>
      <c r="G341" s="31"/>
      <c r="H341" s="31"/>
      <c r="I341" s="31"/>
      <c r="J341" s="31"/>
      <c r="K341" s="760"/>
      <c r="L341" s="761"/>
      <c r="M341" s="760"/>
      <c r="N341" s="31"/>
      <c r="O341" s="31"/>
      <c r="P341" s="31"/>
      <c r="Q341" s="31"/>
      <c r="R341" s="31"/>
      <c r="S341" s="31"/>
      <c r="T341" s="762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</row>
    <row r="342">
      <c r="A342" s="31"/>
      <c r="B342" s="31"/>
      <c r="C342" s="31"/>
      <c r="D342" s="31"/>
      <c r="E342" s="187"/>
      <c r="F342" s="31"/>
      <c r="G342" s="31"/>
      <c r="H342" s="31"/>
      <c r="I342" s="31"/>
      <c r="J342" s="31"/>
      <c r="K342" s="760"/>
      <c r="L342" s="761"/>
      <c r="M342" s="760"/>
      <c r="N342" s="31"/>
      <c r="O342" s="31"/>
      <c r="P342" s="31"/>
      <c r="Q342" s="31"/>
      <c r="R342" s="31"/>
      <c r="S342" s="31"/>
      <c r="T342" s="762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</row>
    <row r="343">
      <c r="A343" s="31"/>
      <c r="B343" s="31"/>
      <c r="C343" s="31"/>
      <c r="D343" s="31"/>
      <c r="E343" s="187"/>
      <c r="F343" s="31"/>
      <c r="G343" s="31"/>
      <c r="H343" s="31"/>
      <c r="I343" s="31"/>
      <c r="J343" s="31"/>
      <c r="K343" s="760"/>
      <c r="L343" s="761"/>
      <c r="M343" s="760"/>
      <c r="N343" s="31"/>
      <c r="O343" s="31"/>
      <c r="P343" s="31"/>
      <c r="Q343" s="31"/>
      <c r="R343" s="31"/>
      <c r="S343" s="31"/>
      <c r="T343" s="762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</row>
    <row r="344">
      <c r="A344" s="31"/>
      <c r="B344" s="31"/>
      <c r="C344" s="31"/>
      <c r="D344" s="31"/>
      <c r="E344" s="187"/>
      <c r="F344" s="31"/>
      <c r="G344" s="31"/>
      <c r="H344" s="31"/>
      <c r="I344" s="31"/>
      <c r="J344" s="31"/>
      <c r="K344" s="760"/>
      <c r="L344" s="761"/>
      <c r="M344" s="760"/>
      <c r="N344" s="31"/>
      <c r="O344" s="31"/>
      <c r="P344" s="31"/>
      <c r="Q344" s="31"/>
      <c r="R344" s="31"/>
      <c r="S344" s="31"/>
      <c r="T344" s="762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</row>
    <row r="345">
      <c r="A345" s="31"/>
      <c r="B345" s="31"/>
      <c r="C345" s="31"/>
      <c r="D345" s="31"/>
      <c r="E345" s="187"/>
      <c r="F345" s="31"/>
      <c r="G345" s="31"/>
      <c r="H345" s="31"/>
      <c r="I345" s="31"/>
      <c r="J345" s="31"/>
      <c r="K345" s="760"/>
      <c r="L345" s="761"/>
      <c r="M345" s="760"/>
      <c r="N345" s="31"/>
      <c r="O345" s="31"/>
      <c r="P345" s="31"/>
      <c r="Q345" s="31"/>
      <c r="R345" s="31"/>
      <c r="S345" s="31"/>
      <c r="T345" s="762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</row>
    <row r="346">
      <c r="A346" s="31"/>
      <c r="B346" s="31"/>
      <c r="C346" s="31"/>
      <c r="D346" s="31"/>
      <c r="E346" s="187"/>
      <c r="F346" s="31"/>
      <c r="G346" s="31"/>
      <c r="H346" s="31"/>
      <c r="I346" s="31"/>
      <c r="J346" s="31"/>
      <c r="K346" s="760"/>
      <c r="L346" s="761"/>
      <c r="M346" s="760"/>
      <c r="N346" s="31"/>
      <c r="O346" s="31"/>
      <c r="P346" s="31"/>
      <c r="Q346" s="31"/>
      <c r="R346" s="31"/>
      <c r="S346" s="31"/>
      <c r="T346" s="762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</row>
    <row r="347">
      <c r="A347" s="31"/>
      <c r="B347" s="31"/>
      <c r="C347" s="31"/>
      <c r="D347" s="31"/>
      <c r="E347" s="187"/>
      <c r="F347" s="31"/>
      <c r="G347" s="31"/>
      <c r="H347" s="31"/>
      <c r="I347" s="31"/>
      <c r="J347" s="31"/>
      <c r="K347" s="760"/>
      <c r="L347" s="761"/>
      <c r="M347" s="760"/>
      <c r="N347" s="31"/>
      <c r="O347" s="31"/>
      <c r="P347" s="31"/>
      <c r="Q347" s="31"/>
      <c r="R347" s="31"/>
      <c r="S347" s="31"/>
      <c r="T347" s="762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</row>
    <row r="348">
      <c r="A348" s="31"/>
      <c r="B348" s="31"/>
      <c r="C348" s="31"/>
      <c r="D348" s="31"/>
      <c r="E348" s="187"/>
      <c r="F348" s="31"/>
      <c r="G348" s="31"/>
      <c r="H348" s="31"/>
      <c r="I348" s="31"/>
      <c r="J348" s="31"/>
      <c r="K348" s="760"/>
      <c r="L348" s="761"/>
      <c r="M348" s="760"/>
      <c r="N348" s="31"/>
      <c r="O348" s="31"/>
      <c r="P348" s="31"/>
      <c r="Q348" s="31"/>
      <c r="R348" s="31"/>
      <c r="S348" s="31"/>
      <c r="T348" s="762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</row>
    <row r="349">
      <c r="A349" s="31"/>
      <c r="B349" s="31"/>
      <c r="C349" s="31"/>
      <c r="D349" s="31"/>
      <c r="E349" s="187"/>
      <c r="F349" s="31"/>
      <c r="G349" s="31"/>
      <c r="H349" s="31"/>
      <c r="I349" s="31"/>
      <c r="J349" s="31"/>
      <c r="K349" s="760"/>
      <c r="L349" s="761"/>
      <c r="M349" s="760"/>
      <c r="N349" s="31"/>
      <c r="O349" s="31"/>
      <c r="P349" s="31"/>
      <c r="Q349" s="31"/>
      <c r="R349" s="31"/>
      <c r="S349" s="31"/>
      <c r="T349" s="762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</row>
    <row r="350">
      <c r="A350" s="31"/>
      <c r="B350" s="31"/>
      <c r="C350" s="31"/>
      <c r="D350" s="31"/>
      <c r="E350" s="187"/>
      <c r="F350" s="31"/>
      <c r="G350" s="31"/>
      <c r="H350" s="31"/>
      <c r="I350" s="31"/>
      <c r="J350" s="31"/>
      <c r="K350" s="760"/>
      <c r="L350" s="761"/>
      <c r="M350" s="760"/>
      <c r="N350" s="31"/>
      <c r="O350" s="31"/>
      <c r="P350" s="31"/>
      <c r="Q350" s="31"/>
      <c r="R350" s="31"/>
      <c r="S350" s="31"/>
      <c r="T350" s="762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</row>
    <row r="351">
      <c r="A351" s="31"/>
      <c r="B351" s="31"/>
      <c r="C351" s="31"/>
      <c r="D351" s="31"/>
      <c r="E351" s="187"/>
      <c r="F351" s="31"/>
      <c r="G351" s="31"/>
      <c r="H351" s="31"/>
      <c r="I351" s="31"/>
      <c r="J351" s="31"/>
      <c r="K351" s="760"/>
      <c r="L351" s="761"/>
      <c r="M351" s="760"/>
      <c r="N351" s="31"/>
      <c r="O351" s="31"/>
      <c r="P351" s="31"/>
      <c r="Q351" s="31"/>
      <c r="R351" s="31"/>
      <c r="S351" s="31"/>
      <c r="T351" s="762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</row>
    <row r="352">
      <c r="A352" s="31"/>
      <c r="B352" s="31"/>
      <c r="C352" s="31"/>
      <c r="D352" s="31"/>
      <c r="E352" s="187"/>
      <c r="F352" s="31"/>
      <c r="G352" s="31"/>
      <c r="H352" s="31"/>
      <c r="I352" s="31"/>
      <c r="J352" s="31"/>
      <c r="K352" s="760"/>
      <c r="L352" s="761"/>
      <c r="M352" s="760"/>
      <c r="N352" s="31"/>
      <c r="O352" s="31"/>
      <c r="P352" s="31"/>
      <c r="Q352" s="31"/>
      <c r="R352" s="31"/>
      <c r="S352" s="31"/>
      <c r="T352" s="762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</row>
    <row r="353">
      <c r="A353" s="31"/>
      <c r="B353" s="31"/>
      <c r="C353" s="31"/>
      <c r="D353" s="31"/>
      <c r="E353" s="187"/>
      <c r="F353" s="31"/>
      <c r="G353" s="31"/>
      <c r="H353" s="31"/>
      <c r="I353" s="31"/>
      <c r="J353" s="31"/>
      <c r="K353" s="760"/>
      <c r="L353" s="761"/>
      <c r="M353" s="760"/>
      <c r="N353" s="31"/>
      <c r="O353" s="31"/>
      <c r="P353" s="31"/>
      <c r="Q353" s="31"/>
      <c r="R353" s="31"/>
      <c r="S353" s="31"/>
      <c r="T353" s="762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</row>
    <row r="354">
      <c r="A354" s="31"/>
      <c r="B354" s="31"/>
      <c r="C354" s="31"/>
      <c r="D354" s="31"/>
      <c r="E354" s="187"/>
      <c r="F354" s="31"/>
      <c r="G354" s="31"/>
      <c r="H354" s="31"/>
      <c r="I354" s="31"/>
      <c r="J354" s="31"/>
      <c r="K354" s="760"/>
      <c r="L354" s="761"/>
      <c r="M354" s="760"/>
      <c r="N354" s="31"/>
      <c r="O354" s="31"/>
      <c r="P354" s="31"/>
      <c r="Q354" s="31"/>
      <c r="R354" s="31"/>
      <c r="S354" s="31"/>
      <c r="T354" s="762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</row>
    <row r="355">
      <c r="A355" s="31"/>
      <c r="B355" s="31"/>
      <c r="C355" s="31"/>
      <c r="D355" s="31"/>
      <c r="E355" s="187"/>
      <c r="F355" s="31"/>
      <c r="G355" s="31"/>
      <c r="H355" s="31"/>
      <c r="I355" s="31"/>
      <c r="J355" s="31"/>
      <c r="K355" s="760"/>
      <c r="L355" s="761"/>
      <c r="M355" s="760"/>
      <c r="N355" s="31"/>
      <c r="O355" s="31"/>
      <c r="P355" s="31"/>
      <c r="Q355" s="31"/>
      <c r="R355" s="31"/>
      <c r="S355" s="31"/>
      <c r="T355" s="762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</row>
    <row r="356">
      <c r="A356" s="31"/>
      <c r="B356" s="31"/>
      <c r="C356" s="31"/>
      <c r="D356" s="31"/>
      <c r="E356" s="187"/>
      <c r="F356" s="31"/>
      <c r="G356" s="31"/>
      <c r="H356" s="31"/>
      <c r="I356" s="31"/>
      <c r="J356" s="31"/>
      <c r="K356" s="760"/>
      <c r="L356" s="761"/>
      <c r="M356" s="760"/>
      <c r="N356" s="31"/>
      <c r="O356" s="31"/>
      <c r="P356" s="31"/>
      <c r="Q356" s="31"/>
      <c r="R356" s="31"/>
      <c r="S356" s="31"/>
      <c r="T356" s="762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</row>
    <row r="357">
      <c r="A357" s="31"/>
      <c r="B357" s="31"/>
      <c r="C357" s="31"/>
      <c r="D357" s="31"/>
      <c r="E357" s="187"/>
      <c r="F357" s="31"/>
      <c r="G357" s="31"/>
      <c r="H357" s="31"/>
      <c r="I357" s="31"/>
      <c r="J357" s="31"/>
      <c r="K357" s="760"/>
      <c r="L357" s="761"/>
      <c r="M357" s="760"/>
      <c r="N357" s="31"/>
      <c r="O357" s="31"/>
      <c r="P357" s="31"/>
      <c r="Q357" s="31"/>
      <c r="R357" s="31"/>
      <c r="S357" s="31"/>
      <c r="T357" s="762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</row>
    <row r="358">
      <c r="A358" s="31"/>
      <c r="B358" s="31"/>
      <c r="C358" s="31"/>
      <c r="D358" s="31"/>
      <c r="E358" s="187"/>
      <c r="F358" s="31"/>
      <c r="G358" s="31"/>
      <c r="H358" s="31"/>
      <c r="I358" s="31"/>
      <c r="J358" s="31"/>
      <c r="K358" s="760"/>
      <c r="L358" s="761"/>
      <c r="M358" s="760"/>
      <c r="N358" s="31"/>
      <c r="O358" s="31"/>
      <c r="P358" s="31"/>
      <c r="Q358" s="31"/>
      <c r="R358" s="31"/>
      <c r="S358" s="31"/>
      <c r="T358" s="762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</row>
    <row r="359">
      <c r="A359" s="31"/>
      <c r="B359" s="31"/>
      <c r="C359" s="31"/>
      <c r="D359" s="31"/>
      <c r="E359" s="187"/>
      <c r="F359" s="31"/>
      <c r="G359" s="31"/>
      <c r="H359" s="31"/>
      <c r="I359" s="31"/>
      <c r="J359" s="31"/>
      <c r="K359" s="760"/>
      <c r="L359" s="761"/>
      <c r="M359" s="760"/>
      <c r="N359" s="31"/>
      <c r="O359" s="31"/>
      <c r="P359" s="31"/>
      <c r="Q359" s="31"/>
      <c r="R359" s="31"/>
      <c r="S359" s="31"/>
      <c r="T359" s="762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</row>
    <row r="360">
      <c r="A360" s="31"/>
      <c r="B360" s="31"/>
      <c r="C360" s="31"/>
      <c r="D360" s="31"/>
      <c r="E360" s="187"/>
      <c r="F360" s="31"/>
      <c r="G360" s="31"/>
      <c r="H360" s="31"/>
      <c r="I360" s="31"/>
      <c r="J360" s="31"/>
      <c r="K360" s="760"/>
      <c r="L360" s="761"/>
      <c r="M360" s="760"/>
      <c r="N360" s="31"/>
      <c r="O360" s="31"/>
      <c r="P360" s="31"/>
      <c r="Q360" s="31"/>
      <c r="R360" s="31"/>
      <c r="S360" s="31"/>
      <c r="T360" s="762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</row>
    <row r="361">
      <c r="A361" s="31"/>
      <c r="B361" s="31"/>
      <c r="C361" s="31"/>
      <c r="D361" s="31"/>
      <c r="E361" s="187"/>
      <c r="F361" s="31"/>
      <c r="G361" s="31"/>
      <c r="H361" s="31"/>
      <c r="I361" s="31"/>
      <c r="J361" s="31"/>
      <c r="K361" s="760"/>
      <c r="L361" s="761"/>
      <c r="M361" s="760"/>
      <c r="N361" s="31"/>
      <c r="O361" s="31"/>
      <c r="P361" s="31"/>
      <c r="Q361" s="31"/>
      <c r="R361" s="31"/>
      <c r="S361" s="31"/>
      <c r="T361" s="762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</row>
    <row r="362">
      <c r="A362" s="31"/>
      <c r="B362" s="31"/>
      <c r="C362" s="31"/>
      <c r="D362" s="31"/>
      <c r="E362" s="187"/>
      <c r="F362" s="31"/>
      <c r="G362" s="31"/>
      <c r="H362" s="31"/>
      <c r="I362" s="31"/>
      <c r="J362" s="31"/>
      <c r="K362" s="760"/>
      <c r="L362" s="761"/>
      <c r="M362" s="760"/>
      <c r="N362" s="31"/>
      <c r="O362" s="31"/>
      <c r="P362" s="31"/>
      <c r="Q362" s="31"/>
      <c r="R362" s="31"/>
      <c r="S362" s="31"/>
      <c r="T362" s="762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</row>
    <row r="363">
      <c r="A363" s="31"/>
      <c r="B363" s="31"/>
      <c r="C363" s="31"/>
      <c r="D363" s="31"/>
      <c r="E363" s="187"/>
      <c r="F363" s="31"/>
      <c r="G363" s="31"/>
      <c r="H363" s="31"/>
      <c r="I363" s="31"/>
      <c r="J363" s="31"/>
      <c r="K363" s="760"/>
      <c r="L363" s="761"/>
      <c r="M363" s="760"/>
      <c r="N363" s="31"/>
      <c r="O363" s="31"/>
      <c r="P363" s="31"/>
      <c r="Q363" s="31"/>
      <c r="R363" s="31"/>
      <c r="S363" s="31"/>
      <c r="T363" s="762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</row>
    <row r="364">
      <c r="A364" s="31"/>
      <c r="B364" s="31"/>
      <c r="C364" s="31"/>
      <c r="D364" s="31"/>
      <c r="E364" s="187"/>
      <c r="F364" s="31"/>
      <c r="G364" s="31"/>
      <c r="H364" s="31"/>
      <c r="I364" s="31"/>
      <c r="J364" s="31"/>
      <c r="K364" s="760"/>
      <c r="L364" s="761"/>
      <c r="M364" s="760"/>
      <c r="N364" s="31"/>
      <c r="O364" s="31"/>
      <c r="P364" s="31"/>
      <c r="Q364" s="31"/>
      <c r="R364" s="31"/>
      <c r="S364" s="31"/>
      <c r="T364" s="762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</row>
    <row r="365">
      <c r="A365" s="31"/>
      <c r="B365" s="31"/>
      <c r="C365" s="31"/>
      <c r="D365" s="31"/>
      <c r="E365" s="187"/>
      <c r="F365" s="31"/>
      <c r="G365" s="31"/>
      <c r="H365" s="31"/>
      <c r="I365" s="31"/>
      <c r="J365" s="31"/>
      <c r="K365" s="760"/>
      <c r="L365" s="761"/>
      <c r="M365" s="760"/>
      <c r="N365" s="31"/>
      <c r="O365" s="31"/>
      <c r="P365" s="31"/>
      <c r="Q365" s="31"/>
      <c r="R365" s="31"/>
      <c r="S365" s="31"/>
      <c r="T365" s="762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</row>
    <row r="366">
      <c r="A366" s="31"/>
      <c r="B366" s="31"/>
      <c r="C366" s="31"/>
      <c r="D366" s="31"/>
      <c r="E366" s="187"/>
      <c r="F366" s="31"/>
      <c r="G366" s="31"/>
      <c r="H366" s="31"/>
      <c r="I366" s="31"/>
      <c r="J366" s="31"/>
      <c r="K366" s="760"/>
      <c r="L366" s="761"/>
      <c r="M366" s="760"/>
      <c r="N366" s="31"/>
      <c r="O366" s="31"/>
      <c r="P366" s="31"/>
      <c r="Q366" s="31"/>
      <c r="R366" s="31"/>
      <c r="S366" s="31"/>
      <c r="T366" s="762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</row>
    <row r="367">
      <c r="A367" s="31"/>
      <c r="B367" s="31"/>
      <c r="C367" s="31"/>
      <c r="D367" s="31"/>
      <c r="E367" s="187"/>
      <c r="F367" s="31"/>
      <c r="G367" s="31"/>
      <c r="H367" s="31"/>
      <c r="I367" s="31"/>
      <c r="J367" s="31"/>
      <c r="K367" s="760"/>
      <c r="L367" s="761"/>
      <c r="M367" s="760"/>
      <c r="N367" s="31"/>
      <c r="O367" s="31"/>
      <c r="P367" s="31"/>
      <c r="Q367" s="31"/>
      <c r="R367" s="31"/>
      <c r="S367" s="31"/>
      <c r="T367" s="762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</row>
    <row r="368">
      <c r="A368" s="31"/>
      <c r="B368" s="31"/>
      <c r="C368" s="31"/>
      <c r="D368" s="31"/>
      <c r="E368" s="187"/>
      <c r="F368" s="31"/>
      <c r="G368" s="31"/>
      <c r="H368" s="31"/>
      <c r="I368" s="31"/>
      <c r="J368" s="31"/>
      <c r="K368" s="760"/>
      <c r="L368" s="761"/>
      <c r="M368" s="760"/>
      <c r="N368" s="31"/>
      <c r="O368" s="31"/>
      <c r="P368" s="31"/>
      <c r="Q368" s="31"/>
      <c r="R368" s="31"/>
      <c r="S368" s="31"/>
      <c r="T368" s="762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</row>
    <row r="369">
      <c r="A369" s="31"/>
      <c r="B369" s="31"/>
      <c r="C369" s="31"/>
      <c r="D369" s="31"/>
      <c r="E369" s="187"/>
      <c r="F369" s="31"/>
      <c r="G369" s="31"/>
      <c r="H369" s="31"/>
      <c r="I369" s="31"/>
      <c r="J369" s="31"/>
      <c r="K369" s="760"/>
      <c r="L369" s="761"/>
      <c r="M369" s="760"/>
      <c r="N369" s="31"/>
      <c r="O369" s="31"/>
      <c r="P369" s="31"/>
      <c r="Q369" s="31"/>
      <c r="R369" s="31"/>
      <c r="S369" s="31"/>
      <c r="T369" s="762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</row>
    <row r="370">
      <c r="A370" s="31"/>
      <c r="B370" s="31"/>
      <c r="C370" s="31"/>
      <c r="D370" s="31"/>
      <c r="E370" s="187"/>
      <c r="F370" s="31"/>
      <c r="G370" s="31"/>
      <c r="H370" s="31"/>
      <c r="I370" s="31"/>
      <c r="J370" s="31"/>
      <c r="K370" s="760"/>
      <c r="L370" s="761"/>
      <c r="M370" s="760"/>
      <c r="N370" s="31"/>
      <c r="O370" s="31"/>
      <c r="P370" s="31"/>
      <c r="Q370" s="31"/>
      <c r="R370" s="31"/>
      <c r="S370" s="31"/>
      <c r="T370" s="762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</row>
    <row r="371">
      <c r="A371" s="31"/>
      <c r="B371" s="31"/>
      <c r="C371" s="31"/>
      <c r="D371" s="31"/>
      <c r="E371" s="187"/>
      <c r="F371" s="31"/>
      <c r="G371" s="31"/>
      <c r="H371" s="31"/>
      <c r="I371" s="31"/>
      <c r="J371" s="31"/>
      <c r="K371" s="760"/>
      <c r="L371" s="761"/>
      <c r="M371" s="760"/>
      <c r="N371" s="31"/>
      <c r="O371" s="31"/>
      <c r="P371" s="31"/>
      <c r="Q371" s="31"/>
      <c r="R371" s="31"/>
      <c r="S371" s="31"/>
      <c r="T371" s="762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</row>
    <row r="372">
      <c r="A372" s="31"/>
      <c r="B372" s="31"/>
      <c r="C372" s="31"/>
      <c r="D372" s="31"/>
      <c r="E372" s="187"/>
      <c r="F372" s="31"/>
      <c r="G372" s="31"/>
      <c r="H372" s="31"/>
      <c r="I372" s="31"/>
      <c r="J372" s="31"/>
      <c r="K372" s="760"/>
      <c r="L372" s="761"/>
      <c r="M372" s="760"/>
      <c r="N372" s="31"/>
      <c r="O372" s="31"/>
      <c r="P372" s="31"/>
      <c r="Q372" s="31"/>
      <c r="R372" s="31"/>
      <c r="S372" s="31"/>
      <c r="T372" s="762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</row>
    <row r="373">
      <c r="A373" s="31"/>
      <c r="B373" s="31"/>
      <c r="C373" s="31"/>
      <c r="D373" s="31"/>
      <c r="E373" s="187"/>
      <c r="F373" s="31"/>
      <c r="G373" s="31"/>
      <c r="H373" s="31"/>
      <c r="I373" s="31"/>
      <c r="J373" s="31"/>
      <c r="K373" s="760"/>
      <c r="L373" s="761"/>
      <c r="M373" s="760"/>
      <c r="N373" s="31"/>
      <c r="O373" s="31"/>
      <c r="P373" s="31"/>
      <c r="Q373" s="31"/>
      <c r="R373" s="31"/>
      <c r="S373" s="31"/>
      <c r="T373" s="762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</row>
    <row r="374">
      <c r="A374" s="31"/>
      <c r="B374" s="31"/>
      <c r="C374" s="31"/>
      <c r="D374" s="31"/>
      <c r="E374" s="187"/>
      <c r="F374" s="31"/>
      <c r="G374" s="31"/>
      <c r="H374" s="31"/>
      <c r="I374" s="31"/>
      <c r="J374" s="31"/>
      <c r="K374" s="760"/>
      <c r="L374" s="761"/>
      <c r="M374" s="760"/>
      <c r="N374" s="31"/>
      <c r="O374" s="31"/>
      <c r="P374" s="31"/>
      <c r="Q374" s="31"/>
      <c r="R374" s="31"/>
      <c r="S374" s="31"/>
      <c r="T374" s="762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</row>
    <row r="375">
      <c r="A375" s="31"/>
      <c r="B375" s="31"/>
      <c r="C375" s="31"/>
      <c r="D375" s="31"/>
      <c r="E375" s="187"/>
      <c r="F375" s="31"/>
      <c r="G375" s="31"/>
      <c r="H375" s="31"/>
      <c r="I375" s="31"/>
      <c r="J375" s="31"/>
      <c r="K375" s="760"/>
      <c r="L375" s="761"/>
      <c r="M375" s="760"/>
      <c r="N375" s="31"/>
      <c r="O375" s="31"/>
      <c r="P375" s="31"/>
      <c r="Q375" s="31"/>
      <c r="R375" s="31"/>
      <c r="S375" s="31"/>
      <c r="T375" s="762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</row>
    <row r="376">
      <c r="A376" s="31"/>
      <c r="B376" s="31"/>
      <c r="C376" s="31"/>
      <c r="D376" s="31"/>
      <c r="E376" s="187"/>
      <c r="F376" s="31"/>
      <c r="G376" s="31"/>
      <c r="H376" s="31"/>
      <c r="I376" s="31"/>
      <c r="J376" s="31"/>
      <c r="K376" s="760"/>
      <c r="L376" s="761"/>
      <c r="M376" s="760"/>
      <c r="N376" s="31"/>
      <c r="O376" s="31"/>
      <c r="P376" s="31"/>
      <c r="Q376" s="31"/>
      <c r="R376" s="31"/>
      <c r="S376" s="31"/>
      <c r="T376" s="762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</row>
    <row r="377">
      <c r="A377" s="31"/>
      <c r="B377" s="31"/>
      <c r="C377" s="31"/>
      <c r="D377" s="31"/>
      <c r="E377" s="187"/>
      <c r="F377" s="31"/>
      <c r="G377" s="31"/>
      <c r="H377" s="31"/>
      <c r="I377" s="31"/>
      <c r="J377" s="31"/>
      <c r="K377" s="760"/>
      <c r="L377" s="761"/>
      <c r="M377" s="760"/>
      <c r="N377" s="31"/>
      <c r="O377" s="31"/>
      <c r="P377" s="31"/>
      <c r="Q377" s="31"/>
      <c r="R377" s="31"/>
      <c r="S377" s="31"/>
      <c r="T377" s="762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</row>
    <row r="378">
      <c r="A378" s="31"/>
      <c r="B378" s="31"/>
      <c r="C378" s="31"/>
      <c r="D378" s="31"/>
      <c r="E378" s="187"/>
      <c r="F378" s="31"/>
      <c r="G378" s="31"/>
      <c r="H378" s="31"/>
      <c r="I378" s="31"/>
      <c r="J378" s="31"/>
      <c r="K378" s="760"/>
      <c r="L378" s="761"/>
      <c r="M378" s="760"/>
      <c r="N378" s="31"/>
      <c r="O378" s="31"/>
      <c r="P378" s="31"/>
      <c r="Q378" s="31"/>
      <c r="R378" s="31"/>
      <c r="S378" s="31"/>
      <c r="T378" s="762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</row>
    <row r="379">
      <c r="A379" s="31"/>
      <c r="B379" s="31"/>
      <c r="C379" s="31"/>
      <c r="D379" s="31"/>
      <c r="E379" s="187"/>
      <c r="F379" s="31"/>
      <c r="G379" s="31"/>
      <c r="H379" s="31"/>
      <c r="I379" s="31"/>
      <c r="J379" s="31"/>
      <c r="K379" s="760"/>
      <c r="L379" s="761"/>
      <c r="M379" s="760"/>
      <c r="N379" s="31"/>
      <c r="O379" s="31"/>
      <c r="P379" s="31"/>
      <c r="Q379" s="31"/>
      <c r="R379" s="31"/>
      <c r="S379" s="31"/>
      <c r="T379" s="762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</row>
    <row r="380">
      <c r="A380" s="31"/>
      <c r="B380" s="31"/>
      <c r="C380" s="31"/>
      <c r="D380" s="31"/>
      <c r="E380" s="187"/>
      <c r="F380" s="31"/>
      <c r="G380" s="31"/>
      <c r="H380" s="31"/>
      <c r="I380" s="31"/>
      <c r="J380" s="31"/>
      <c r="K380" s="760"/>
      <c r="L380" s="761"/>
      <c r="M380" s="760"/>
      <c r="N380" s="31"/>
      <c r="O380" s="31"/>
      <c r="P380" s="31"/>
      <c r="Q380" s="31"/>
      <c r="R380" s="31"/>
      <c r="S380" s="31"/>
      <c r="T380" s="762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</row>
    <row r="381">
      <c r="A381" s="31"/>
      <c r="B381" s="31"/>
      <c r="C381" s="31"/>
      <c r="D381" s="31"/>
      <c r="E381" s="187"/>
      <c r="F381" s="31"/>
      <c r="G381" s="31"/>
      <c r="H381" s="31"/>
      <c r="I381" s="31"/>
      <c r="J381" s="31"/>
      <c r="K381" s="760"/>
      <c r="L381" s="761"/>
      <c r="M381" s="760"/>
      <c r="N381" s="31"/>
      <c r="O381" s="31"/>
      <c r="P381" s="31"/>
      <c r="Q381" s="31"/>
      <c r="R381" s="31"/>
      <c r="S381" s="31"/>
      <c r="T381" s="762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</row>
    <row r="382">
      <c r="A382" s="31"/>
      <c r="B382" s="31"/>
      <c r="C382" s="31"/>
      <c r="D382" s="31"/>
      <c r="E382" s="187"/>
      <c r="F382" s="31"/>
      <c r="G382" s="31"/>
      <c r="H382" s="31"/>
      <c r="I382" s="31"/>
      <c r="J382" s="31"/>
      <c r="K382" s="760"/>
      <c r="L382" s="761"/>
      <c r="M382" s="760"/>
      <c r="N382" s="31"/>
      <c r="O382" s="31"/>
      <c r="P382" s="31"/>
      <c r="Q382" s="31"/>
      <c r="R382" s="31"/>
      <c r="S382" s="31"/>
      <c r="T382" s="762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</row>
    <row r="383">
      <c r="A383" s="31"/>
      <c r="B383" s="31"/>
      <c r="C383" s="31"/>
      <c r="D383" s="31"/>
      <c r="E383" s="187"/>
      <c r="F383" s="31"/>
      <c r="G383" s="31"/>
      <c r="H383" s="31"/>
      <c r="I383" s="31"/>
      <c r="J383" s="31"/>
      <c r="K383" s="760"/>
      <c r="L383" s="761"/>
      <c r="M383" s="760"/>
      <c r="N383" s="31"/>
      <c r="O383" s="31"/>
      <c r="P383" s="31"/>
      <c r="Q383" s="31"/>
      <c r="R383" s="31"/>
      <c r="S383" s="31"/>
      <c r="T383" s="762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</row>
    <row r="384">
      <c r="A384" s="31"/>
      <c r="B384" s="31"/>
      <c r="C384" s="31"/>
      <c r="D384" s="31"/>
      <c r="E384" s="187"/>
      <c r="F384" s="31"/>
      <c r="G384" s="31"/>
      <c r="H384" s="31"/>
      <c r="I384" s="31"/>
      <c r="J384" s="31"/>
      <c r="K384" s="760"/>
      <c r="L384" s="761"/>
      <c r="M384" s="760"/>
      <c r="N384" s="31"/>
      <c r="O384" s="31"/>
      <c r="P384" s="31"/>
      <c r="Q384" s="31"/>
      <c r="R384" s="31"/>
      <c r="S384" s="31"/>
      <c r="T384" s="762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</row>
    <row r="385">
      <c r="A385" s="31"/>
      <c r="B385" s="31"/>
      <c r="C385" s="31"/>
      <c r="D385" s="31"/>
      <c r="E385" s="187"/>
      <c r="F385" s="31"/>
      <c r="G385" s="31"/>
      <c r="H385" s="31"/>
      <c r="I385" s="31"/>
      <c r="J385" s="31"/>
      <c r="K385" s="760"/>
      <c r="L385" s="761"/>
      <c r="M385" s="760"/>
      <c r="N385" s="31"/>
      <c r="O385" s="31"/>
      <c r="P385" s="31"/>
      <c r="Q385" s="31"/>
      <c r="R385" s="31"/>
      <c r="S385" s="31"/>
      <c r="T385" s="762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</row>
    <row r="386">
      <c r="A386" s="31"/>
      <c r="B386" s="31"/>
      <c r="C386" s="31"/>
      <c r="D386" s="31"/>
      <c r="E386" s="187"/>
      <c r="F386" s="31"/>
      <c r="G386" s="31"/>
      <c r="H386" s="31"/>
      <c r="I386" s="31"/>
      <c r="J386" s="31"/>
      <c r="K386" s="760"/>
      <c r="L386" s="761"/>
      <c r="M386" s="760"/>
      <c r="N386" s="31"/>
      <c r="O386" s="31"/>
      <c r="P386" s="31"/>
      <c r="Q386" s="31"/>
      <c r="R386" s="31"/>
      <c r="S386" s="31"/>
      <c r="T386" s="762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</row>
    <row r="387">
      <c r="A387" s="31"/>
      <c r="B387" s="31"/>
      <c r="C387" s="31"/>
      <c r="D387" s="31"/>
      <c r="E387" s="187"/>
      <c r="F387" s="31"/>
      <c r="G387" s="31"/>
      <c r="H387" s="31"/>
      <c r="I387" s="31"/>
      <c r="J387" s="31"/>
      <c r="K387" s="760"/>
      <c r="L387" s="761"/>
      <c r="M387" s="760"/>
      <c r="N387" s="31"/>
      <c r="O387" s="31"/>
      <c r="P387" s="31"/>
      <c r="Q387" s="31"/>
      <c r="R387" s="31"/>
      <c r="S387" s="31"/>
      <c r="T387" s="762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</row>
    <row r="388">
      <c r="A388" s="31"/>
      <c r="B388" s="31"/>
      <c r="C388" s="31"/>
      <c r="D388" s="31"/>
      <c r="E388" s="187"/>
      <c r="F388" s="31"/>
      <c r="G388" s="31"/>
      <c r="H388" s="31"/>
      <c r="I388" s="31"/>
      <c r="J388" s="31"/>
      <c r="K388" s="760"/>
      <c r="L388" s="761"/>
      <c r="M388" s="760"/>
      <c r="N388" s="31"/>
      <c r="O388" s="31"/>
      <c r="P388" s="31"/>
      <c r="Q388" s="31"/>
      <c r="R388" s="31"/>
      <c r="S388" s="31"/>
      <c r="T388" s="762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</row>
    <row r="389">
      <c r="A389" s="31"/>
      <c r="B389" s="31"/>
      <c r="C389" s="31"/>
      <c r="D389" s="31"/>
      <c r="E389" s="187"/>
      <c r="F389" s="31"/>
      <c r="G389" s="31"/>
      <c r="H389" s="31"/>
      <c r="I389" s="31"/>
      <c r="J389" s="31"/>
      <c r="K389" s="760"/>
      <c r="L389" s="761"/>
      <c r="M389" s="760"/>
      <c r="N389" s="31"/>
      <c r="O389" s="31"/>
      <c r="P389" s="31"/>
      <c r="Q389" s="31"/>
      <c r="R389" s="31"/>
      <c r="S389" s="31"/>
      <c r="T389" s="762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</row>
    <row r="390">
      <c r="A390" s="31"/>
      <c r="B390" s="31"/>
      <c r="C390" s="31"/>
      <c r="D390" s="31"/>
      <c r="E390" s="187"/>
      <c r="F390" s="31"/>
      <c r="G390" s="31"/>
      <c r="H390" s="31"/>
      <c r="I390" s="31"/>
      <c r="J390" s="31"/>
      <c r="K390" s="760"/>
      <c r="L390" s="761"/>
      <c r="M390" s="760"/>
      <c r="N390" s="31"/>
      <c r="O390" s="31"/>
      <c r="P390" s="31"/>
      <c r="Q390" s="31"/>
      <c r="R390" s="31"/>
      <c r="S390" s="31"/>
      <c r="T390" s="762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</row>
    <row r="391">
      <c r="A391" s="31"/>
      <c r="B391" s="31"/>
      <c r="C391" s="31"/>
      <c r="D391" s="31"/>
      <c r="E391" s="187"/>
      <c r="F391" s="31"/>
      <c r="G391" s="31"/>
      <c r="H391" s="31"/>
      <c r="I391" s="31"/>
      <c r="J391" s="31"/>
      <c r="K391" s="760"/>
      <c r="L391" s="761"/>
      <c r="M391" s="760"/>
      <c r="N391" s="31"/>
      <c r="O391" s="31"/>
      <c r="P391" s="31"/>
      <c r="Q391" s="31"/>
      <c r="R391" s="31"/>
      <c r="S391" s="31"/>
      <c r="T391" s="762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</row>
    <row r="392">
      <c r="A392" s="31"/>
      <c r="B392" s="31"/>
      <c r="C392" s="31"/>
      <c r="D392" s="31"/>
      <c r="E392" s="187"/>
      <c r="F392" s="31"/>
      <c r="G392" s="31"/>
      <c r="H392" s="31"/>
      <c r="I392" s="31"/>
      <c r="J392" s="31"/>
      <c r="K392" s="760"/>
      <c r="L392" s="761"/>
      <c r="M392" s="760"/>
      <c r="N392" s="31"/>
      <c r="O392" s="31"/>
      <c r="P392" s="31"/>
      <c r="Q392" s="31"/>
      <c r="R392" s="31"/>
      <c r="S392" s="31"/>
      <c r="T392" s="762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</row>
    <row r="393">
      <c r="A393" s="31"/>
      <c r="B393" s="31"/>
      <c r="C393" s="31"/>
      <c r="D393" s="31"/>
      <c r="E393" s="187"/>
      <c r="F393" s="31"/>
      <c r="G393" s="31"/>
      <c r="H393" s="31"/>
      <c r="I393" s="31"/>
      <c r="J393" s="31"/>
      <c r="K393" s="760"/>
      <c r="L393" s="761"/>
      <c r="M393" s="760"/>
      <c r="N393" s="31"/>
      <c r="O393" s="31"/>
      <c r="P393" s="31"/>
      <c r="Q393" s="31"/>
      <c r="R393" s="31"/>
      <c r="S393" s="31"/>
      <c r="T393" s="762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</row>
    <row r="394">
      <c r="A394" s="31"/>
      <c r="B394" s="31"/>
      <c r="C394" s="31"/>
      <c r="D394" s="31"/>
      <c r="E394" s="187"/>
      <c r="F394" s="31"/>
      <c r="G394" s="31"/>
      <c r="H394" s="31"/>
      <c r="I394" s="31"/>
      <c r="J394" s="31"/>
      <c r="K394" s="760"/>
      <c r="L394" s="761"/>
      <c r="M394" s="760"/>
      <c r="N394" s="31"/>
      <c r="O394" s="31"/>
      <c r="P394" s="31"/>
      <c r="Q394" s="31"/>
      <c r="R394" s="31"/>
      <c r="S394" s="31"/>
      <c r="T394" s="762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</row>
    <row r="395">
      <c r="A395" s="31"/>
      <c r="B395" s="31"/>
      <c r="C395" s="31"/>
      <c r="D395" s="31"/>
      <c r="E395" s="187"/>
      <c r="F395" s="31"/>
      <c r="G395" s="31"/>
      <c r="H395" s="31"/>
      <c r="I395" s="31"/>
      <c r="J395" s="31"/>
      <c r="K395" s="760"/>
      <c r="L395" s="761"/>
      <c r="M395" s="760"/>
      <c r="N395" s="31"/>
      <c r="O395" s="31"/>
      <c r="P395" s="31"/>
      <c r="Q395" s="31"/>
      <c r="R395" s="31"/>
      <c r="S395" s="31"/>
      <c r="T395" s="762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</row>
    <row r="396">
      <c r="A396" s="31"/>
      <c r="B396" s="31"/>
      <c r="C396" s="31"/>
      <c r="D396" s="31"/>
      <c r="E396" s="187"/>
      <c r="F396" s="31"/>
      <c r="G396" s="31"/>
      <c r="H396" s="31"/>
      <c r="I396" s="31"/>
      <c r="J396" s="31"/>
      <c r="K396" s="760"/>
      <c r="L396" s="761"/>
      <c r="M396" s="760"/>
      <c r="N396" s="31"/>
      <c r="O396" s="31"/>
      <c r="P396" s="31"/>
      <c r="Q396" s="31"/>
      <c r="R396" s="31"/>
      <c r="S396" s="31"/>
      <c r="T396" s="762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</row>
    <row r="397">
      <c r="A397" s="31"/>
      <c r="B397" s="31"/>
      <c r="C397" s="31"/>
      <c r="D397" s="31"/>
      <c r="E397" s="187"/>
      <c r="F397" s="31"/>
      <c r="G397" s="31"/>
      <c r="H397" s="31"/>
      <c r="I397" s="31"/>
      <c r="J397" s="31"/>
      <c r="K397" s="760"/>
      <c r="L397" s="761"/>
      <c r="M397" s="760"/>
      <c r="N397" s="31"/>
      <c r="O397" s="31"/>
      <c r="P397" s="31"/>
      <c r="Q397" s="31"/>
      <c r="R397" s="31"/>
      <c r="S397" s="31"/>
      <c r="T397" s="762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</row>
    <row r="398">
      <c r="A398" s="31"/>
      <c r="B398" s="31"/>
      <c r="C398" s="31"/>
      <c r="D398" s="31"/>
      <c r="E398" s="187"/>
      <c r="F398" s="31"/>
      <c r="G398" s="31"/>
      <c r="H398" s="31"/>
      <c r="I398" s="31"/>
      <c r="J398" s="31"/>
      <c r="K398" s="760"/>
      <c r="L398" s="761"/>
      <c r="M398" s="760"/>
      <c r="N398" s="31"/>
      <c r="O398" s="31"/>
      <c r="P398" s="31"/>
      <c r="Q398" s="31"/>
      <c r="R398" s="31"/>
      <c r="S398" s="31"/>
      <c r="T398" s="762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</row>
    <row r="399">
      <c r="A399" s="31"/>
      <c r="B399" s="31"/>
      <c r="C399" s="31"/>
      <c r="D399" s="31"/>
      <c r="E399" s="187"/>
      <c r="F399" s="31"/>
      <c r="G399" s="31"/>
      <c r="H399" s="31"/>
      <c r="I399" s="31"/>
      <c r="J399" s="31"/>
      <c r="K399" s="760"/>
      <c r="L399" s="761"/>
      <c r="M399" s="760"/>
      <c r="N399" s="31"/>
      <c r="O399" s="31"/>
      <c r="P399" s="31"/>
      <c r="Q399" s="31"/>
      <c r="R399" s="31"/>
      <c r="S399" s="31"/>
      <c r="T399" s="762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</row>
    <row r="400">
      <c r="A400" s="31"/>
      <c r="B400" s="31"/>
      <c r="C400" s="31"/>
      <c r="D400" s="31"/>
      <c r="E400" s="187"/>
      <c r="F400" s="31"/>
      <c r="G400" s="31"/>
      <c r="H400" s="31"/>
      <c r="I400" s="31"/>
      <c r="J400" s="31"/>
      <c r="K400" s="760"/>
      <c r="L400" s="761"/>
      <c r="M400" s="760"/>
      <c r="N400" s="31"/>
      <c r="O400" s="31"/>
      <c r="P400" s="31"/>
      <c r="Q400" s="31"/>
      <c r="R400" s="31"/>
      <c r="S400" s="31"/>
      <c r="T400" s="762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</row>
    <row r="401">
      <c r="A401" s="31"/>
      <c r="B401" s="31"/>
      <c r="C401" s="31"/>
      <c r="D401" s="31"/>
      <c r="E401" s="187"/>
      <c r="F401" s="31"/>
      <c r="G401" s="31"/>
      <c r="H401" s="31"/>
      <c r="I401" s="31"/>
      <c r="J401" s="31"/>
      <c r="K401" s="760"/>
      <c r="L401" s="761"/>
      <c r="M401" s="760"/>
      <c r="N401" s="31"/>
      <c r="O401" s="31"/>
      <c r="P401" s="31"/>
      <c r="Q401" s="31"/>
      <c r="R401" s="31"/>
      <c r="S401" s="31"/>
      <c r="T401" s="762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</row>
    <row r="402">
      <c r="A402" s="31"/>
      <c r="B402" s="31"/>
      <c r="C402" s="31"/>
      <c r="D402" s="31"/>
      <c r="E402" s="187"/>
      <c r="F402" s="31"/>
      <c r="G402" s="31"/>
      <c r="H402" s="31"/>
      <c r="I402" s="31"/>
      <c r="J402" s="31"/>
      <c r="K402" s="760"/>
      <c r="L402" s="761"/>
      <c r="M402" s="760"/>
      <c r="N402" s="31"/>
      <c r="O402" s="31"/>
      <c r="P402" s="31"/>
      <c r="Q402" s="31"/>
      <c r="R402" s="31"/>
      <c r="S402" s="31"/>
      <c r="T402" s="762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</row>
    <row r="403">
      <c r="A403" s="31"/>
      <c r="B403" s="31"/>
      <c r="C403" s="31"/>
      <c r="D403" s="31"/>
      <c r="E403" s="187"/>
      <c r="F403" s="31"/>
      <c r="G403" s="31"/>
      <c r="H403" s="31"/>
      <c r="I403" s="31"/>
      <c r="J403" s="31"/>
      <c r="K403" s="760"/>
      <c r="L403" s="761"/>
      <c r="M403" s="760"/>
      <c r="N403" s="31"/>
      <c r="O403" s="31"/>
      <c r="P403" s="31"/>
      <c r="Q403" s="31"/>
      <c r="R403" s="31"/>
      <c r="S403" s="31"/>
      <c r="T403" s="762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</row>
    <row r="404">
      <c r="A404" s="31"/>
      <c r="B404" s="31"/>
      <c r="C404" s="31"/>
      <c r="D404" s="31"/>
      <c r="E404" s="187"/>
      <c r="F404" s="31"/>
      <c r="G404" s="31"/>
      <c r="H404" s="31"/>
      <c r="I404" s="31"/>
      <c r="J404" s="31"/>
      <c r="K404" s="760"/>
      <c r="L404" s="761"/>
      <c r="M404" s="760"/>
      <c r="N404" s="31"/>
      <c r="O404" s="31"/>
      <c r="P404" s="31"/>
      <c r="Q404" s="31"/>
      <c r="R404" s="31"/>
      <c r="S404" s="31"/>
      <c r="T404" s="762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</row>
    <row r="405">
      <c r="A405" s="31"/>
      <c r="B405" s="31"/>
      <c r="C405" s="31"/>
      <c r="D405" s="31"/>
      <c r="E405" s="187"/>
      <c r="F405" s="31"/>
      <c r="G405" s="31"/>
      <c r="H405" s="31"/>
      <c r="I405" s="31"/>
      <c r="J405" s="31"/>
      <c r="K405" s="760"/>
      <c r="L405" s="761"/>
      <c r="M405" s="760"/>
      <c r="N405" s="31"/>
      <c r="O405" s="31"/>
      <c r="P405" s="31"/>
      <c r="Q405" s="31"/>
      <c r="R405" s="31"/>
      <c r="S405" s="31"/>
      <c r="T405" s="762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</row>
    <row r="406">
      <c r="A406" s="31"/>
      <c r="B406" s="31"/>
      <c r="C406" s="31"/>
      <c r="D406" s="31"/>
      <c r="E406" s="187"/>
      <c r="F406" s="31"/>
      <c r="G406" s="31"/>
      <c r="H406" s="31"/>
      <c r="I406" s="31"/>
      <c r="J406" s="31"/>
      <c r="K406" s="760"/>
      <c r="L406" s="761"/>
      <c r="M406" s="760"/>
      <c r="N406" s="31"/>
      <c r="O406" s="31"/>
      <c r="P406" s="31"/>
      <c r="Q406" s="31"/>
      <c r="R406" s="31"/>
      <c r="S406" s="31"/>
      <c r="T406" s="762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</row>
    <row r="407">
      <c r="A407" s="31"/>
      <c r="B407" s="31"/>
      <c r="C407" s="31"/>
      <c r="D407" s="31"/>
      <c r="E407" s="187"/>
      <c r="F407" s="31"/>
      <c r="G407" s="31"/>
      <c r="H407" s="31"/>
      <c r="I407" s="31"/>
      <c r="J407" s="31"/>
      <c r="K407" s="760"/>
      <c r="L407" s="761"/>
      <c r="M407" s="760"/>
      <c r="N407" s="31"/>
      <c r="O407" s="31"/>
      <c r="P407" s="31"/>
      <c r="Q407" s="31"/>
      <c r="R407" s="31"/>
      <c r="S407" s="31"/>
      <c r="T407" s="762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</row>
    <row r="408">
      <c r="A408" s="31"/>
      <c r="B408" s="31"/>
      <c r="C408" s="31"/>
      <c r="D408" s="31"/>
      <c r="E408" s="187"/>
      <c r="F408" s="31"/>
      <c r="G408" s="31"/>
      <c r="H408" s="31"/>
      <c r="I408" s="31"/>
      <c r="J408" s="31"/>
      <c r="K408" s="760"/>
      <c r="L408" s="761"/>
      <c r="M408" s="760"/>
      <c r="N408" s="31"/>
      <c r="O408" s="31"/>
      <c r="P408" s="31"/>
      <c r="Q408" s="31"/>
      <c r="R408" s="31"/>
      <c r="S408" s="31"/>
      <c r="T408" s="762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</row>
    <row r="409">
      <c r="A409" s="31"/>
      <c r="B409" s="31"/>
      <c r="C409" s="31"/>
      <c r="D409" s="31"/>
      <c r="E409" s="187"/>
      <c r="F409" s="31"/>
      <c r="G409" s="31"/>
      <c r="H409" s="31"/>
      <c r="I409" s="31"/>
      <c r="J409" s="31"/>
      <c r="K409" s="760"/>
      <c r="L409" s="761"/>
      <c r="M409" s="760"/>
      <c r="N409" s="31"/>
      <c r="O409" s="31"/>
      <c r="P409" s="31"/>
      <c r="Q409" s="31"/>
      <c r="R409" s="31"/>
      <c r="S409" s="31"/>
      <c r="T409" s="762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</row>
    <row r="410">
      <c r="A410" s="31"/>
      <c r="B410" s="31"/>
      <c r="C410" s="31"/>
      <c r="D410" s="31"/>
      <c r="E410" s="187"/>
      <c r="F410" s="31"/>
      <c r="G410" s="31"/>
      <c r="H410" s="31"/>
      <c r="I410" s="31"/>
      <c r="J410" s="31"/>
      <c r="K410" s="760"/>
      <c r="L410" s="761"/>
      <c r="M410" s="760"/>
      <c r="N410" s="31"/>
      <c r="O410" s="31"/>
      <c r="P410" s="31"/>
      <c r="Q410" s="31"/>
      <c r="R410" s="31"/>
      <c r="S410" s="31"/>
      <c r="T410" s="762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</row>
    <row r="411">
      <c r="A411" s="31"/>
      <c r="B411" s="31"/>
      <c r="C411" s="31"/>
      <c r="D411" s="31"/>
      <c r="E411" s="187"/>
      <c r="F411" s="31"/>
      <c r="G411" s="31"/>
      <c r="H411" s="31"/>
      <c r="I411" s="31"/>
      <c r="J411" s="31"/>
      <c r="K411" s="760"/>
      <c r="L411" s="761"/>
      <c r="M411" s="760"/>
      <c r="N411" s="31"/>
      <c r="O411" s="31"/>
      <c r="P411" s="31"/>
      <c r="Q411" s="31"/>
      <c r="R411" s="31"/>
      <c r="S411" s="31"/>
      <c r="T411" s="762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</row>
    <row r="412">
      <c r="A412" s="31"/>
      <c r="B412" s="31"/>
      <c r="C412" s="31"/>
      <c r="D412" s="31"/>
      <c r="E412" s="187"/>
      <c r="F412" s="31"/>
      <c r="G412" s="31"/>
      <c r="H412" s="31"/>
      <c r="I412" s="31"/>
      <c r="J412" s="31"/>
      <c r="K412" s="760"/>
      <c r="L412" s="761"/>
      <c r="M412" s="760"/>
      <c r="N412" s="31"/>
      <c r="O412" s="31"/>
      <c r="P412" s="31"/>
      <c r="Q412" s="31"/>
      <c r="R412" s="31"/>
      <c r="S412" s="31"/>
      <c r="T412" s="762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</row>
    <row r="413">
      <c r="A413" s="31"/>
      <c r="B413" s="31"/>
      <c r="C413" s="31"/>
      <c r="D413" s="31"/>
      <c r="E413" s="187"/>
      <c r="F413" s="31"/>
      <c r="G413" s="31"/>
      <c r="H413" s="31"/>
      <c r="I413" s="31"/>
      <c r="J413" s="31"/>
      <c r="K413" s="760"/>
      <c r="L413" s="761"/>
      <c r="M413" s="760"/>
      <c r="N413" s="31"/>
      <c r="O413" s="31"/>
      <c r="P413" s="31"/>
      <c r="Q413" s="31"/>
      <c r="R413" s="31"/>
      <c r="S413" s="31"/>
      <c r="T413" s="762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</row>
    <row r="414">
      <c r="A414" s="31"/>
      <c r="B414" s="31"/>
      <c r="C414" s="31"/>
      <c r="D414" s="31"/>
      <c r="E414" s="187"/>
      <c r="F414" s="31"/>
      <c r="G414" s="31"/>
      <c r="H414" s="31"/>
      <c r="I414" s="31"/>
      <c r="J414" s="31"/>
      <c r="K414" s="760"/>
      <c r="L414" s="761"/>
      <c r="M414" s="760"/>
      <c r="N414" s="31"/>
      <c r="O414" s="31"/>
      <c r="P414" s="31"/>
      <c r="Q414" s="31"/>
      <c r="R414" s="31"/>
      <c r="S414" s="31"/>
      <c r="T414" s="762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</row>
    <row r="415">
      <c r="A415" s="31"/>
      <c r="B415" s="31"/>
      <c r="C415" s="31"/>
      <c r="D415" s="31"/>
      <c r="E415" s="187"/>
      <c r="F415" s="31"/>
      <c r="G415" s="31"/>
      <c r="H415" s="31"/>
      <c r="I415" s="31"/>
      <c r="J415" s="31"/>
      <c r="K415" s="760"/>
      <c r="L415" s="761"/>
      <c r="M415" s="760"/>
      <c r="N415" s="31"/>
      <c r="O415" s="31"/>
      <c r="P415" s="31"/>
      <c r="Q415" s="31"/>
      <c r="R415" s="31"/>
      <c r="S415" s="31"/>
      <c r="T415" s="762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</row>
    <row r="416">
      <c r="A416" s="31"/>
      <c r="B416" s="31"/>
      <c r="C416" s="31"/>
      <c r="D416" s="31"/>
      <c r="E416" s="187"/>
      <c r="F416" s="31"/>
      <c r="G416" s="31"/>
      <c r="H416" s="31"/>
      <c r="I416" s="31"/>
      <c r="J416" s="31"/>
      <c r="K416" s="760"/>
      <c r="L416" s="761"/>
      <c r="M416" s="760"/>
      <c r="N416" s="31"/>
      <c r="O416" s="31"/>
      <c r="P416" s="31"/>
      <c r="Q416" s="31"/>
      <c r="R416" s="31"/>
      <c r="S416" s="31"/>
      <c r="T416" s="762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</row>
    <row r="417">
      <c r="A417" s="31"/>
      <c r="T417" s="818"/>
    </row>
    <row r="418">
      <c r="A418" s="31"/>
      <c r="T418" s="818"/>
    </row>
    <row r="419">
      <c r="A419" s="31"/>
      <c r="T419" s="818"/>
    </row>
    <row r="420">
      <c r="A420" s="31"/>
      <c r="T420" s="818"/>
    </row>
    <row r="421">
      <c r="A421" s="31"/>
      <c r="T421" s="818"/>
    </row>
    <row r="422">
      <c r="A422" s="31"/>
      <c r="T422" s="818"/>
    </row>
    <row r="423">
      <c r="A423" s="31"/>
      <c r="T423" s="818"/>
    </row>
    <row r="424">
      <c r="A424" s="31"/>
      <c r="T424" s="818"/>
    </row>
    <row r="425">
      <c r="A425" s="31"/>
      <c r="T425" s="818"/>
    </row>
    <row r="426">
      <c r="A426" s="31"/>
      <c r="T426" s="818"/>
    </row>
    <row r="427">
      <c r="A427" s="31"/>
      <c r="T427" s="818"/>
    </row>
    <row r="428">
      <c r="A428" s="31"/>
      <c r="T428" s="818"/>
    </row>
    <row r="429">
      <c r="A429" s="31"/>
      <c r="T429" s="818"/>
    </row>
    <row r="430">
      <c r="A430" s="31"/>
      <c r="T430" s="818"/>
    </row>
    <row r="431">
      <c r="A431" s="31"/>
      <c r="T431" s="818"/>
    </row>
    <row r="432">
      <c r="A432" s="31"/>
      <c r="T432" s="818"/>
    </row>
    <row r="433">
      <c r="A433" s="31"/>
      <c r="T433" s="818"/>
    </row>
    <row r="434">
      <c r="A434" s="31"/>
      <c r="T434" s="818"/>
    </row>
    <row r="435">
      <c r="A435" s="31"/>
      <c r="T435" s="818"/>
    </row>
    <row r="436">
      <c r="A436" s="31"/>
      <c r="T436" s="818"/>
    </row>
    <row r="437">
      <c r="A437" s="31"/>
      <c r="T437" s="818"/>
    </row>
    <row r="438">
      <c r="A438" s="31"/>
      <c r="T438" s="818"/>
    </row>
    <row r="439">
      <c r="A439" s="31"/>
      <c r="T439" s="818"/>
    </row>
    <row r="440">
      <c r="A440" s="31"/>
      <c r="T440" s="818"/>
    </row>
    <row r="441">
      <c r="A441" s="31"/>
      <c r="T441" s="818"/>
    </row>
    <row r="442">
      <c r="A442" s="31"/>
      <c r="T442" s="818"/>
    </row>
    <row r="443">
      <c r="A443" s="31"/>
      <c r="T443" s="818"/>
    </row>
    <row r="444">
      <c r="A444" s="31"/>
      <c r="T444" s="818"/>
    </row>
    <row r="445">
      <c r="A445" s="31"/>
      <c r="T445" s="818"/>
    </row>
    <row r="446">
      <c r="A446" s="31"/>
      <c r="T446" s="818"/>
    </row>
    <row r="447">
      <c r="A447" s="31"/>
      <c r="T447" s="818"/>
    </row>
    <row r="448">
      <c r="A448" s="31"/>
      <c r="T448" s="818"/>
    </row>
    <row r="449">
      <c r="A449" s="31"/>
      <c r="T449" s="818"/>
    </row>
    <row r="450">
      <c r="A450" s="31"/>
      <c r="T450" s="818"/>
    </row>
    <row r="451">
      <c r="A451" s="31"/>
      <c r="T451" s="818"/>
    </row>
    <row r="452">
      <c r="A452" s="31"/>
      <c r="T452" s="818"/>
    </row>
    <row r="453">
      <c r="A453" s="31"/>
      <c r="T453" s="818"/>
    </row>
    <row r="454">
      <c r="A454" s="31"/>
      <c r="T454" s="818"/>
    </row>
    <row r="455">
      <c r="A455" s="31"/>
      <c r="T455" s="818"/>
    </row>
    <row r="456">
      <c r="A456" s="31"/>
      <c r="T456" s="818"/>
    </row>
    <row r="457">
      <c r="A457" s="31"/>
      <c r="T457" s="818"/>
    </row>
    <row r="458">
      <c r="A458" s="31"/>
      <c r="T458" s="818"/>
    </row>
    <row r="459">
      <c r="A459" s="31"/>
      <c r="T459" s="818"/>
    </row>
    <row r="460">
      <c r="A460" s="31"/>
      <c r="T460" s="818"/>
    </row>
    <row r="461">
      <c r="A461" s="31"/>
      <c r="T461" s="818"/>
    </row>
    <row r="462">
      <c r="A462" s="31"/>
      <c r="T462" s="818"/>
    </row>
    <row r="463">
      <c r="A463" s="31"/>
      <c r="T463" s="818"/>
    </row>
    <row r="464">
      <c r="A464" s="31"/>
      <c r="T464" s="818"/>
    </row>
    <row r="465">
      <c r="A465" s="31"/>
      <c r="T465" s="818"/>
    </row>
    <row r="466">
      <c r="A466" s="31"/>
      <c r="T466" s="818"/>
    </row>
    <row r="467">
      <c r="A467" s="31"/>
      <c r="T467" s="818"/>
    </row>
    <row r="468">
      <c r="A468" s="31"/>
      <c r="T468" s="818"/>
    </row>
    <row r="469">
      <c r="A469" s="31"/>
      <c r="T469" s="818"/>
    </row>
    <row r="470">
      <c r="A470" s="31"/>
      <c r="T470" s="818"/>
    </row>
    <row r="471">
      <c r="A471" s="31"/>
      <c r="T471" s="818"/>
    </row>
    <row r="472">
      <c r="A472" s="31"/>
      <c r="T472" s="818"/>
    </row>
    <row r="473">
      <c r="A473" s="31"/>
      <c r="T473" s="818"/>
    </row>
    <row r="474">
      <c r="A474" s="31"/>
      <c r="T474" s="818"/>
    </row>
    <row r="475">
      <c r="A475" s="31"/>
      <c r="T475" s="818"/>
    </row>
    <row r="476">
      <c r="A476" s="31"/>
      <c r="T476" s="818"/>
    </row>
    <row r="477">
      <c r="A477" s="31"/>
      <c r="T477" s="818"/>
    </row>
    <row r="478">
      <c r="A478" s="31"/>
      <c r="T478" s="818"/>
    </row>
    <row r="479">
      <c r="A479" s="31"/>
      <c r="T479" s="818"/>
    </row>
    <row r="480">
      <c r="A480" s="31"/>
      <c r="T480" s="818"/>
    </row>
    <row r="481">
      <c r="A481" s="31"/>
      <c r="T481" s="818"/>
    </row>
    <row r="482">
      <c r="A482" s="31"/>
      <c r="T482" s="818"/>
    </row>
    <row r="483">
      <c r="A483" s="31"/>
      <c r="T483" s="818"/>
    </row>
    <row r="484">
      <c r="A484" s="31"/>
      <c r="T484" s="818"/>
    </row>
    <row r="485">
      <c r="A485" s="31"/>
      <c r="T485" s="818"/>
    </row>
    <row r="486">
      <c r="A486" s="31"/>
      <c r="T486" s="818"/>
    </row>
    <row r="487">
      <c r="A487" s="31"/>
      <c r="T487" s="818"/>
    </row>
    <row r="488">
      <c r="A488" s="31"/>
      <c r="T488" s="818"/>
    </row>
    <row r="489">
      <c r="A489" s="31"/>
      <c r="T489" s="818"/>
    </row>
    <row r="490">
      <c r="A490" s="31"/>
      <c r="T490" s="818"/>
    </row>
    <row r="491">
      <c r="A491" s="31"/>
      <c r="T491" s="818"/>
    </row>
    <row r="492">
      <c r="A492" s="31"/>
      <c r="T492" s="818"/>
    </row>
    <row r="493">
      <c r="A493" s="31"/>
      <c r="T493" s="818"/>
    </row>
    <row r="494">
      <c r="A494" s="31"/>
      <c r="T494" s="818"/>
    </row>
    <row r="495">
      <c r="A495" s="31"/>
      <c r="T495" s="818"/>
    </row>
    <row r="496">
      <c r="A496" s="31"/>
      <c r="T496" s="818"/>
    </row>
    <row r="497">
      <c r="A497" s="31"/>
      <c r="T497" s="818"/>
    </row>
    <row r="498">
      <c r="A498" s="31"/>
      <c r="T498" s="818"/>
    </row>
    <row r="499">
      <c r="A499" s="31"/>
      <c r="T499" s="818"/>
    </row>
    <row r="500">
      <c r="A500" s="31"/>
      <c r="T500" s="818"/>
    </row>
    <row r="501">
      <c r="A501" s="31"/>
      <c r="T501" s="818"/>
    </row>
    <row r="502">
      <c r="A502" s="31"/>
      <c r="T502" s="818"/>
    </row>
    <row r="503">
      <c r="A503" s="31"/>
      <c r="T503" s="818"/>
    </row>
    <row r="504">
      <c r="A504" s="31"/>
      <c r="T504" s="818"/>
    </row>
    <row r="505">
      <c r="A505" s="31"/>
      <c r="T505" s="818"/>
    </row>
    <row r="506">
      <c r="A506" s="31"/>
      <c r="T506" s="818"/>
    </row>
    <row r="507">
      <c r="A507" s="31"/>
      <c r="T507" s="818"/>
    </row>
    <row r="508">
      <c r="A508" s="31"/>
      <c r="T508" s="818"/>
    </row>
    <row r="509">
      <c r="A509" s="31"/>
      <c r="T509" s="818"/>
    </row>
    <row r="510">
      <c r="A510" s="31"/>
      <c r="T510" s="818"/>
    </row>
    <row r="511">
      <c r="A511" s="31"/>
      <c r="T511" s="818"/>
    </row>
    <row r="512">
      <c r="A512" s="31"/>
      <c r="T512" s="818"/>
    </row>
    <row r="513">
      <c r="A513" s="31"/>
      <c r="T513" s="818"/>
    </row>
    <row r="514">
      <c r="A514" s="31"/>
      <c r="T514" s="818"/>
    </row>
    <row r="515">
      <c r="A515" s="31"/>
      <c r="T515" s="818"/>
    </row>
    <row r="516">
      <c r="A516" s="31"/>
      <c r="T516" s="818"/>
    </row>
    <row r="517">
      <c r="A517" s="31"/>
      <c r="T517" s="818"/>
    </row>
    <row r="518">
      <c r="A518" s="31"/>
      <c r="T518" s="818"/>
    </row>
    <row r="519">
      <c r="A519" s="31"/>
      <c r="T519" s="818"/>
    </row>
    <row r="520">
      <c r="A520" s="31"/>
      <c r="T520" s="818"/>
    </row>
    <row r="521">
      <c r="A521" s="31"/>
      <c r="T521" s="818"/>
    </row>
    <row r="522">
      <c r="A522" s="31"/>
      <c r="T522" s="818"/>
    </row>
    <row r="523">
      <c r="A523" s="31"/>
      <c r="T523" s="818"/>
    </row>
    <row r="524">
      <c r="A524" s="31"/>
      <c r="T524" s="818"/>
    </row>
    <row r="525">
      <c r="A525" s="31"/>
      <c r="T525" s="818"/>
    </row>
    <row r="526">
      <c r="A526" s="31"/>
      <c r="T526" s="818"/>
    </row>
    <row r="527">
      <c r="A527" s="31"/>
      <c r="T527" s="818"/>
    </row>
    <row r="528">
      <c r="A528" s="31"/>
      <c r="T528" s="818"/>
    </row>
    <row r="529">
      <c r="A529" s="31"/>
      <c r="T529" s="818"/>
    </row>
    <row r="530">
      <c r="A530" s="31"/>
      <c r="T530" s="818"/>
    </row>
    <row r="531">
      <c r="A531" s="31"/>
      <c r="T531" s="818"/>
    </row>
    <row r="532">
      <c r="A532" s="31"/>
      <c r="T532" s="818"/>
    </row>
    <row r="533">
      <c r="A533" s="31"/>
      <c r="T533" s="818"/>
    </row>
    <row r="534">
      <c r="A534" s="31"/>
      <c r="T534" s="818"/>
    </row>
    <row r="535">
      <c r="A535" s="31"/>
      <c r="T535" s="818"/>
    </row>
    <row r="536">
      <c r="A536" s="31"/>
      <c r="T536" s="818"/>
    </row>
    <row r="537">
      <c r="A537" s="31"/>
      <c r="T537" s="818"/>
    </row>
    <row r="538">
      <c r="A538" s="31"/>
      <c r="T538" s="818"/>
    </row>
    <row r="539">
      <c r="T539" s="818"/>
    </row>
    <row r="540">
      <c r="T540" s="818"/>
    </row>
    <row r="541">
      <c r="T541" s="818"/>
    </row>
    <row r="542">
      <c r="T542" s="818"/>
    </row>
    <row r="543">
      <c r="T543" s="818"/>
    </row>
    <row r="544">
      <c r="T544" s="818"/>
    </row>
    <row r="545">
      <c r="T545" s="818"/>
    </row>
    <row r="546">
      <c r="T546" s="818"/>
    </row>
    <row r="547">
      <c r="T547" s="818"/>
    </row>
    <row r="548">
      <c r="T548" s="818"/>
    </row>
    <row r="549">
      <c r="T549" s="818"/>
    </row>
    <row r="550">
      <c r="T550" s="818"/>
    </row>
    <row r="551">
      <c r="T551" s="818"/>
    </row>
    <row r="552">
      <c r="T552" s="818"/>
    </row>
    <row r="553">
      <c r="T553" s="818"/>
    </row>
    <row r="554">
      <c r="T554" s="818"/>
    </row>
    <row r="555">
      <c r="T555" s="818"/>
    </row>
    <row r="556">
      <c r="T556" s="818"/>
    </row>
    <row r="557">
      <c r="T557" s="818"/>
    </row>
    <row r="558">
      <c r="T558" s="818"/>
    </row>
    <row r="559">
      <c r="T559" s="818"/>
    </row>
    <row r="560">
      <c r="T560" s="818"/>
    </row>
    <row r="561">
      <c r="T561" s="818"/>
    </row>
    <row r="562">
      <c r="T562" s="818"/>
    </row>
    <row r="563">
      <c r="T563" s="818"/>
    </row>
    <row r="564">
      <c r="T564" s="818"/>
    </row>
    <row r="565">
      <c r="T565" s="818"/>
    </row>
    <row r="566">
      <c r="T566" s="818"/>
    </row>
    <row r="567">
      <c r="T567" s="818"/>
    </row>
    <row r="568">
      <c r="T568" s="818"/>
    </row>
    <row r="569">
      <c r="T569" s="818"/>
    </row>
    <row r="570">
      <c r="T570" s="818"/>
    </row>
    <row r="571">
      <c r="T571" s="818"/>
    </row>
    <row r="572">
      <c r="T572" s="818"/>
    </row>
    <row r="573">
      <c r="T573" s="818"/>
    </row>
    <row r="574">
      <c r="T574" s="818"/>
    </row>
    <row r="575">
      <c r="T575" s="818"/>
    </row>
    <row r="576">
      <c r="T576" s="818"/>
    </row>
    <row r="577">
      <c r="T577" s="818"/>
    </row>
    <row r="578">
      <c r="T578" s="818"/>
    </row>
    <row r="579">
      <c r="T579" s="818"/>
    </row>
    <row r="580">
      <c r="T580" s="818"/>
    </row>
    <row r="581">
      <c r="T581" s="818"/>
    </row>
    <row r="582">
      <c r="T582" s="818"/>
    </row>
    <row r="583">
      <c r="T583" s="818"/>
    </row>
    <row r="584">
      <c r="T584" s="818"/>
    </row>
    <row r="585">
      <c r="T585" s="818"/>
    </row>
    <row r="586">
      <c r="T586" s="818"/>
    </row>
    <row r="587">
      <c r="T587" s="818"/>
    </row>
    <row r="588">
      <c r="T588" s="818"/>
    </row>
    <row r="589">
      <c r="T589" s="818"/>
    </row>
    <row r="590">
      <c r="T590" s="818"/>
    </row>
    <row r="591">
      <c r="T591" s="818"/>
    </row>
    <row r="592">
      <c r="T592" s="818"/>
    </row>
    <row r="593">
      <c r="T593" s="818"/>
    </row>
    <row r="594">
      <c r="T594" s="818"/>
    </row>
    <row r="595">
      <c r="T595" s="818"/>
    </row>
    <row r="596">
      <c r="T596" s="818"/>
    </row>
    <row r="597">
      <c r="T597" s="818"/>
    </row>
    <row r="598">
      <c r="T598" s="818"/>
    </row>
    <row r="599">
      <c r="T599" s="818"/>
    </row>
    <row r="600">
      <c r="T600" s="818"/>
    </row>
    <row r="601">
      <c r="T601" s="818"/>
    </row>
    <row r="602">
      <c r="T602" s="818"/>
    </row>
    <row r="603">
      <c r="T603" s="818"/>
    </row>
    <row r="604">
      <c r="T604" s="818"/>
    </row>
    <row r="605">
      <c r="T605" s="818"/>
    </row>
    <row r="606">
      <c r="T606" s="818"/>
    </row>
    <row r="607">
      <c r="T607" s="818"/>
    </row>
    <row r="608">
      <c r="T608" s="818"/>
    </row>
    <row r="609">
      <c r="T609" s="818"/>
    </row>
    <row r="610">
      <c r="T610" s="818"/>
    </row>
    <row r="611">
      <c r="T611" s="818"/>
    </row>
    <row r="612">
      <c r="T612" s="818"/>
    </row>
    <row r="613">
      <c r="T613" s="818"/>
    </row>
    <row r="614">
      <c r="T614" s="818"/>
    </row>
    <row r="615">
      <c r="T615" s="818"/>
    </row>
    <row r="616">
      <c r="T616" s="818"/>
    </row>
    <row r="617">
      <c r="T617" s="818"/>
    </row>
    <row r="618">
      <c r="T618" s="818"/>
    </row>
    <row r="619">
      <c r="T619" s="818"/>
    </row>
    <row r="620">
      <c r="T620" s="818"/>
    </row>
    <row r="621">
      <c r="T621" s="818"/>
    </row>
    <row r="622">
      <c r="T622" s="818"/>
    </row>
    <row r="623">
      <c r="T623" s="818"/>
    </row>
    <row r="624">
      <c r="T624" s="818"/>
    </row>
    <row r="625">
      <c r="T625" s="818"/>
    </row>
    <row r="626">
      <c r="T626" s="818"/>
    </row>
    <row r="627">
      <c r="T627" s="818"/>
    </row>
    <row r="628">
      <c r="T628" s="818"/>
    </row>
    <row r="629">
      <c r="T629" s="818"/>
    </row>
    <row r="630">
      <c r="T630" s="818"/>
    </row>
    <row r="631">
      <c r="T631" s="818"/>
    </row>
    <row r="632">
      <c r="T632" s="818"/>
    </row>
    <row r="633">
      <c r="T633" s="818"/>
    </row>
    <row r="634">
      <c r="T634" s="818"/>
    </row>
    <row r="635">
      <c r="T635" s="818"/>
    </row>
    <row r="636">
      <c r="T636" s="818"/>
    </row>
    <row r="637">
      <c r="T637" s="818"/>
    </row>
    <row r="638">
      <c r="T638" s="818"/>
    </row>
    <row r="639">
      <c r="T639" s="818"/>
    </row>
    <row r="640">
      <c r="T640" s="818"/>
    </row>
    <row r="641">
      <c r="T641" s="818"/>
    </row>
    <row r="642">
      <c r="T642" s="818"/>
    </row>
    <row r="643">
      <c r="T643" s="818"/>
    </row>
    <row r="644">
      <c r="T644" s="818"/>
    </row>
    <row r="645">
      <c r="T645" s="818"/>
    </row>
    <row r="646">
      <c r="T646" s="818"/>
    </row>
    <row r="647">
      <c r="T647" s="818"/>
    </row>
    <row r="648">
      <c r="T648" s="818"/>
    </row>
    <row r="649">
      <c r="T649" s="818"/>
    </row>
    <row r="650">
      <c r="T650" s="818"/>
    </row>
    <row r="651">
      <c r="T651" s="818"/>
    </row>
    <row r="652">
      <c r="T652" s="818"/>
    </row>
    <row r="653">
      <c r="T653" s="818"/>
    </row>
    <row r="654">
      <c r="T654" s="818"/>
    </row>
    <row r="655">
      <c r="T655" s="818"/>
    </row>
    <row r="656">
      <c r="T656" s="818"/>
    </row>
    <row r="657">
      <c r="T657" s="818"/>
    </row>
    <row r="658">
      <c r="T658" s="818"/>
    </row>
    <row r="659">
      <c r="T659" s="818"/>
    </row>
    <row r="660">
      <c r="T660" s="818"/>
    </row>
    <row r="661">
      <c r="T661" s="818"/>
    </row>
    <row r="662">
      <c r="T662" s="818"/>
    </row>
    <row r="663">
      <c r="T663" s="818"/>
    </row>
    <row r="664">
      <c r="T664" s="818"/>
    </row>
    <row r="665">
      <c r="T665" s="818"/>
    </row>
    <row r="666">
      <c r="T666" s="818"/>
    </row>
    <row r="667">
      <c r="T667" s="818"/>
    </row>
    <row r="668">
      <c r="T668" s="818"/>
    </row>
    <row r="669">
      <c r="T669" s="818"/>
    </row>
    <row r="670">
      <c r="T670" s="818"/>
    </row>
    <row r="671">
      <c r="T671" s="818"/>
    </row>
    <row r="672">
      <c r="T672" s="818"/>
    </row>
    <row r="673">
      <c r="T673" s="818"/>
    </row>
    <row r="674">
      <c r="T674" s="818"/>
    </row>
    <row r="675">
      <c r="T675" s="818"/>
    </row>
    <row r="676">
      <c r="T676" s="818"/>
    </row>
    <row r="677">
      <c r="T677" s="818"/>
    </row>
    <row r="678">
      <c r="T678" s="818"/>
    </row>
    <row r="679">
      <c r="T679" s="818"/>
    </row>
    <row r="680">
      <c r="T680" s="818"/>
    </row>
    <row r="681">
      <c r="T681" s="818"/>
    </row>
    <row r="682">
      <c r="T682" s="818"/>
    </row>
    <row r="683">
      <c r="T683" s="818"/>
    </row>
    <row r="684">
      <c r="T684" s="818"/>
    </row>
    <row r="685">
      <c r="T685" s="818"/>
    </row>
    <row r="686">
      <c r="T686" s="818"/>
    </row>
    <row r="687">
      <c r="T687" s="818"/>
    </row>
    <row r="688">
      <c r="T688" s="818"/>
    </row>
    <row r="689">
      <c r="T689" s="818"/>
    </row>
    <row r="690">
      <c r="T690" s="818"/>
    </row>
    <row r="691">
      <c r="T691" s="818"/>
    </row>
    <row r="692">
      <c r="T692" s="818"/>
    </row>
    <row r="693">
      <c r="T693" s="818"/>
    </row>
    <row r="694">
      <c r="T694" s="818"/>
    </row>
    <row r="695">
      <c r="T695" s="818"/>
    </row>
    <row r="696">
      <c r="T696" s="818"/>
    </row>
    <row r="697">
      <c r="T697" s="818"/>
    </row>
    <row r="698">
      <c r="T698" s="818"/>
    </row>
    <row r="699">
      <c r="T699" s="818"/>
    </row>
    <row r="700">
      <c r="T700" s="818"/>
    </row>
    <row r="701">
      <c r="T701" s="818"/>
    </row>
    <row r="702">
      <c r="T702" s="818"/>
    </row>
    <row r="703">
      <c r="T703" s="818"/>
    </row>
    <row r="704">
      <c r="T704" s="818"/>
    </row>
    <row r="705">
      <c r="T705" s="818"/>
    </row>
    <row r="706">
      <c r="T706" s="818"/>
    </row>
    <row r="707">
      <c r="T707" s="818"/>
    </row>
    <row r="708">
      <c r="T708" s="818"/>
    </row>
    <row r="709">
      <c r="T709" s="818"/>
    </row>
    <row r="710">
      <c r="T710" s="818"/>
    </row>
    <row r="711">
      <c r="T711" s="818"/>
    </row>
    <row r="712">
      <c r="T712" s="818"/>
    </row>
    <row r="713">
      <c r="T713" s="818"/>
    </row>
    <row r="714">
      <c r="T714" s="818"/>
    </row>
    <row r="715">
      <c r="T715" s="818"/>
    </row>
    <row r="716">
      <c r="T716" s="818"/>
    </row>
    <row r="717">
      <c r="T717" s="818"/>
    </row>
    <row r="718">
      <c r="T718" s="818"/>
    </row>
    <row r="719">
      <c r="T719" s="818"/>
    </row>
    <row r="720">
      <c r="T720" s="818"/>
    </row>
    <row r="721">
      <c r="T721" s="818"/>
    </row>
    <row r="722">
      <c r="T722" s="818"/>
    </row>
    <row r="723">
      <c r="T723" s="818"/>
    </row>
    <row r="724">
      <c r="T724" s="818"/>
    </row>
    <row r="725">
      <c r="T725" s="818"/>
    </row>
    <row r="726">
      <c r="T726" s="818"/>
    </row>
    <row r="727">
      <c r="T727" s="818"/>
    </row>
    <row r="728">
      <c r="T728" s="818"/>
    </row>
    <row r="729">
      <c r="T729" s="818"/>
    </row>
    <row r="730">
      <c r="T730" s="818"/>
    </row>
    <row r="731">
      <c r="T731" s="818"/>
    </row>
    <row r="732">
      <c r="T732" s="818"/>
    </row>
    <row r="733">
      <c r="T733" s="818"/>
    </row>
    <row r="734">
      <c r="T734" s="818"/>
    </row>
    <row r="735">
      <c r="T735" s="818"/>
    </row>
    <row r="736">
      <c r="T736" s="818"/>
    </row>
    <row r="737">
      <c r="T737" s="818"/>
    </row>
    <row r="738">
      <c r="T738" s="818"/>
    </row>
    <row r="739">
      <c r="T739" s="818"/>
    </row>
    <row r="740">
      <c r="T740" s="818"/>
    </row>
    <row r="741">
      <c r="T741" s="818"/>
    </row>
    <row r="742">
      <c r="T742" s="818"/>
    </row>
    <row r="743">
      <c r="T743" s="818"/>
    </row>
    <row r="744">
      <c r="T744" s="818"/>
    </row>
    <row r="745">
      <c r="T745" s="818"/>
    </row>
    <row r="746">
      <c r="T746" s="818"/>
    </row>
    <row r="747">
      <c r="T747" s="818"/>
    </row>
    <row r="748">
      <c r="T748" s="818"/>
    </row>
    <row r="749">
      <c r="T749" s="818"/>
    </row>
    <row r="750">
      <c r="T750" s="818"/>
    </row>
    <row r="751">
      <c r="T751" s="818"/>
    </row>
    <row r="752">
      <c r="T752" s="818"/>
    </row>
    <row r="753">
      <c r="T753" s="818"/>
    </row>
    <row r="754">
      <c r="T754" s="818"/>
    </row>
    <row r="755">
      <c r="T755" s="818"/>
    </row>
    <row r="756">
      <c r="T756" s="818"/>
    </row>
    <row r="757">
      <c r="T757" s="818"/>
    </row>
    <row r="758">
      <c r="T758" s="818"/>
    </row>
    <row r="759">
      <c r="T759" s="818"/>
    </row>
    <row r="760">
      <c r="T760" s="818"/>
    </row>
    <row r="761">
      <c r="T761" s="818"/>
    </row>
    <row r="762">
      <c r="T762" s="818"/>
    </row>
    <row r="763">
      <c r="T763" s="818"/>
    </row>
    <row r="764">
      <c r="T764" s="818"/>
    </row>
    <row r="765">
      <c r="T765" s="818"/>
    </row>
    <row r="766">
      <c r="T766" s="818"/>
    </row>
    <row r="767">
      <c r="T767" s="818"/>
    </row>
    <row r="768">
      <c r="T768" s="818"/>
    </row>
    <row r="769">
      <c r="T769" s="818"/>
    </row>
    <row r="770">
      <c r="T770" s="818"/>
    </row>
    <row r="771">
      <c r="T771" s="818"/>
    </row>
    <row r="772">
      <c r="T772" s="818"/>
    </row>
    <row r="773">
      <c r="T773" s="818"/>
    </row>
    <row r="774">
      <c r="T774" s="818"/>
    </row>
    <row r="775">
      <c r="T775" s="818"/>
    </row>
    <row r="776">
      <c r="T776" s="818"/>
    </row>
    <row r="777">
      <c r="T777" s="818"/>
    </row>
    <row r="778">
      <c r="T778" s="818"/>
    </row>
    <row r="779">
      <c r="T779" s="818"/>
    </row>
    <row r="780">
      <c r="T780" s="818"/>
    </row>
    <row r="781">
      <c r="T781" s="818"/>
    </row>
    <row r="782">
      <c r="T782" s="818"/>
    </row>
    <row r="783">
      <c r="T783" s="818"/>
    </row>
    <row r="784">
      <c r="T784" s="818"/>
    </row>
    <row r="785">
      <c r="T785" s="818"/>
    </row>
    <row r="786">
      <c r="T786" s="818"/>
    </row>
    <row r="787">
      <c r="T787" s="818"/>
    </row>
    <row r="788">
      <c r="T788" s="818"/>
    </row>
    <row r="789">
      <c r="T789" s="818"/>
    </row>
    <row r="790">
      <c r="T790" s="818"/>
    </row>
    <row r="791">
      <c r="T791" s="818"/>
    </row>
    <row r="792">
      <c r="T792" s="818"/>
    </row>
    <row r="793">
      <c r="T793" s="818"/>
    </row>
    <row r="794">
      <c r="T794" s="818"/>
    </row>
    <row r="795">
      <c r="T795" s="818"/>
    </row>
    <row r="796">
      <c r="T796" s="818"/>
    </row>
    <row r="797">
      <c r="T797" s="818"/>
    </row>
    <row r="798">
      <c r="T798" s="818"/>
    </row>
    <row r="799">
      <c r="T799" s="818"/>
    </row>
    <row r="800">
      <c r="T800" s="818"/>
    </row>
    <row r="801">
      <c r="T801" s="818"/>
    </row>
    <row r="802">
      <c r="T802" s="818"/>
    </row>
    <row r="803">
      <c r="T803" s="818"/>
    </row>
    <row r="804">
      <c r="T804" s="818"/>
    </row>
    <row r="805">
      <c r="T805" s="818"/>
    </row>
    <row r="806">
      <c r="T806" s="818"/>
    </row>
    <row r="807">
      <c r="T807" s="818"/>
    </row>
    <row r="808">
      <c r="T808" s="818"/>
    </row>
    <row r="809">
      <c r="T809" s="818"/>
    </row>
    <row r="810">
      <c r="T810" s="818"/>
    </row>
    <row r="811">
      <c r="T811" s="818"/>
    </row>
    <row r="812">
      <c r="T812" s="818"/>
    </row>
    <row r="813">
      <c r="T813" s="818"/>
    </row>
    <row r="814">
      <c r="T814" s="818"/>
    </row>
    <row r="815">
      <c r="T815" s="818"/>
    </row>
    <row r="816">
      <c r="T816" s="818"/>
    </row>
    <row r="817">
      <c r="T817" s="818"/>
    </row>
    <row r="818">
      <c r="T818" s="818"/>
    </row>
    <row r="819">
      <c r="T819" s="818"/>
    </row>
    <row r="820">
      <c r="T820" s="818"/>
    </row>
    <row r="821">
      <c r="T821" s="818"/>
    </row>
    <row r="822">
      <c r="T822" s="818"/>
    </row>
    <row r="823">
      <c r="T823" s="818"/>
    </row>
    <row r="824">
      <c r="T824" s="818"/>
    </row>
    <row r="825">
      <c r="T825" s="818"/>
    </row>
    <row r="826">
      <c r="T826" s="818"/>
    </row>
    <row r="827">
      <c r="T827" s="818"/>
    </row>
    <row r="828">
      <c r="T828" s="818"/>
    </row>
  </sheetData>
  <mergeCells count="3">
    <mergeCell ref="A1:G3"/>
    <mergeCell ref="H1:P3"/>
    <mergeCell ref="Q1:T3"/>
  </mergeCells>
  <dataValidations>
    <dataValidation type="list" allowBlank="1" showErrorMessage="1" sqref="P5 P9:P12 P15 P18:P19 P24">
      <formula1>"MINUTA ENVIADA,MINUTA ASSINADA,PEDIDO DE VENDA"</formula1>
    </dataValidation>
    <dataValidation type="list" allowBlank="1" showErrorMessage="1" sqref="N6:N8 N13:N14 N16:N18 N20:N23 N26:N112">
      <formula1>"PROPOSTA ENVIADA,CONTRATO FECHADO,RECUSADO,FECHADO CRISTIANO"</formula1>
    </dataValidation>
    <dataValidation type="list" allowBlank="1" showErrorMessage="1" sqref="S5 S9:S12 S15 S18:S19 S24:S25">
      <formula1>"LUCAS,VITÓRIA,VINICIOS,VINICIUS,ALEXANDRE,MIKAELLE,CRISTIANO,GUSTAVO,CAILLANE,WENDY"</formula1>
    </dataValidation>
    <dataValidation type="list" allowBlank="1" showErrorMessage="1" sqref="S8 S14 S17 S35:S38 S40:S49 S58 S67:S79 S84:S96 S99 S102:S105 S107:S108 S110:S112">
      <formula1>"LUCAS,VITÓRIA,VINICIOS,ALEXANDRE,MIKAELLE,CRISTIANO,GUSTAVO,CAILLANE,AMANDA,JESSICA"</formula1>
    </dataValidation>
    <dataValidation type="list" allowBlank="1" showErrorMessage="1" sqref="R5 R9:R12 R15 R19 R24:R25 R90">
      <formula1>"E-MAIL,KOMMO,TELEFONE FIXO,WHATSAPP,INDICAÇÃO,CONARH,PLANILHA LEAD,SSOMED / SITE,CONTABILIDADE"</formula1>
    </dataValidation>
    <dataValidation type="list" allowBlank="1" showErrorMessage="1" sqref="S6:S7 S13 S16 S20:S23 S26:S28 S32:S34">
      <formula1>"LUCAS,VITÓRIA,VINICIUS,ALEXANDRE,MIKAELLE,CRISTIANO,GUSTAVO,CAILLANE,AMANDA"</formula1>
    </dataValidation>
    <dataValidation type="list" allowBlank="1" showErrorMessage="1" sqref="R6:R7 R13 R16 R18 R20:R23 R26:R34 R39 R50:R57 R59:R66 R80:R83 R97:R98 R100:R101 R106 R109">
      <formula1>"E-MAIL,KOMMO,TELEFONE FIXO,WHATSAPP,INDICAÇÃO,CONARH,SSOMED/SITE"</formula1>
    </dataValidation>
    <dataValidation type="list" allowBlank="1" showErrorMessage="1" sqref="S97">
      <formula1>"LUCAS,VITÓRIA,VINICIOS,VINICIUS,ALEXANDRE,MIKAELLE,CRISTIANO,GUSTAVO"</formula1>
    </dataValidation>
    <dataValidation type="list" allowBlank="1" showErrorMessage="1" sqref="O5:O112">
      <formula1>"NOVO,ANTIGO"</formula1>
    </dataValidation>
    <dataValidation type="list" allowBlank="1" showErrorMessage="1" sqref="S29:S31 S39 S50:S57 S59:S66 S80:S83 S98 S100:S101 S106 S109">
      <formula1>"LUCAS,VITÓRIA,VINICIOS,VINICIUS,ALEXANDRE,MIKAELLE,CRISTIANO,GUSTAVO,CAILLANE"</formula1>
    </dataValidation>
    <dataValidation type="list" allowBlank="1" showErrorMessage="1" sqref="R8 R14 R17 R35:R38 R40:R49 R58 R67:R79 R84:R89 R91:R96 R99 R102:R105 R107:R108 R110:R112">
      <formula1>"E-MAIL,TELEFONE FIXO,WHATSAPP,INDICAÇÃO,SSOMED / SITE,CONTABILIDADE"</formula1>
    </dataValidation>
    <dataValidation type="list" allowBlank="1" showErrorMessage="1" sqref="N5 N9:N12 N15 N19 N24:N25">
      <formula1>"PROPOSTA ENVIADA,CONTRATO FECHADO,RECUSADO"</formula1>
    </dataValidation>
    <dataValidation type="list" allowBlank="1" showErrorMessage="1" sqref="P6:P8 P13:P14 P16:P17 P20:P23 P25:P112">
      <formula1>"MINUTA ENVIADA,MINUTA ASSINADA"</formula1>
    </dataValidation>
  </dataValidations>
  <hyperlinks>
    <hyperlink r:id="rId1" ref="F6"/>
    <hyperlink r:id="rId2" ref="E7"/>
    <hyperlink r:id="rId3" ref="F7"/>
    <hyperlink r:id="rId4" ref="F13"/>
    <hyperlink r:id="rId5" ref="F15"/>
    <hyperlink r:id="rId6" ref="F19"/>
    <hyperlink r:id="rId7" ref="E20"/>
    <hyperlink r:id="rId8" ref="F20"/>
    <hyperlink r:id="rId9" ref="F21"/>
    <hyperlink r:id="rId10" ref="F23"/>
    <hyperlink r:id="rId11" ref="F26"/>
    <hyperlink r:id="rId12" ref="F27"/>
    <hyperlink r:id="rId13" ref="F31"/>
    <hyperlink r:id="rId14" ref="F34"/>
    <hyperlink r:id="rId15" ref="F46"/>
    <hyperlink r:id="rId16" ref="F50"/>
    <hyperlink r:id="rId17" ref="F54"/>
    <hyperlink r:id="rId18" ref="F57"/>
    <hyperlink r:id="rId19" ref="F63"/>
    <hyperlink r:id="rId20" ref="F65"/>
    <hyperlink r:id="rId21" ref="F67"/>
    <hyperlink r:id="rId22" ref="F69"/>
    <hyperlink r:id="rId23" ref="F73"/>
    <hyperlink r:id="rId24" ref="F77"/>
    <hyperlink r:id="rId25" ref="F84"/>
    <hyperlink r:id="rId26" ref="F88"/>
    <hyperlink r:id="rId27" ref="F89"/>
    <hyperlink r:id="rId28" ref="F106"/>
    <hyperlink r:id="rId29" ref="F107"/>
    <hyperlink r:id="rId30" ref="F108"/>
    <hyperlink r:id="rId31" ref="F111"/>
  </hyperlinks>
  <drawing r:id="rId32"/>
</worksheet>
</file>